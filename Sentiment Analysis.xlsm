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Aya_A\Downloads\"/>
    </mc:Choice>
  </mc:AlternateContent>
  <xr:revisionPtr revIDLastSave="0" documentId="13_ncr:1_{AC935F39-7A3B-4EF5-8BD7-F55D732F77B5}" xr6:coauthVersionLast="47" xr6:coauthVersionMax="47" xr10:uidLastSave="{00000000-0000-0000-0000-000000000000}"/>
  <bookViews>
    <workbookView xWindow="-120" yWindow="-120" windowWidth="29040" windowHeight="16440" activeTab="3" xr2:uid="{00000000-000D-0000-FFFF-FFFF00000000}"/>
  </bookViews>
  <sheets>
    <sheet name="Data" sheetId="1" r:id="rId1"/>
    <sheet name="Countries" sheetId="2" r:id="rId2"/>
    <sheet name="Keywords" sheetId="3" r:id="rId3"/>
    <sheet name="Analysis" sheetId="4" r:id="rId4"/>
  </sheets>
  <functionGroups builtInGroupCount="19"/>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1" l="1" a="1"/>
  <c r="K7" i="1" a="1"/>
  <c r="K11" i="1" a="1"/>
  <c r="K15" i="1" a="1"/>
  <c r="K19" i="1" a="1"/>
  <c r="K23" i="1" a="1"/>
  <c r="K27" i="1" a="1"/>
  <c r="K31" i="1" a="1"/>
  <c r="K35" i="1" a="1"/>
  <c r="K39" i="1" a="1"/>
  <c r="K43" i="1" a="1"/>
  <c r="K47" i="1" a="1"/>
  <c r="K51" i="1" a="1"/>
  <c r="K55" i="1" a="1"/>
  <c r="K59" i="1" a="1"/>
  <c r="K63" i="1" a="1"/>
  <c r="K67" i="1" a="1"/>
  <c r="K71" i="1" a="1"/>
  <c r="K75" i="1" a="1"/>
  <c r="K79" i="1" a="1"/>
  <c r="K83" i="1" a="1"/>
  <c r="K87" i="1" a="1"/>
  <c r="K91" i="1" a="1"/>
  <c r="K95" i="1" a="1"/>
  <c r="K99" i="1" a="1"/>
  <c r="K103" i="1" a="1"/>
  <c r="K107" i="1" a="1"/>
  <c r="K111" i="1" a="1"/>
  <c r="K115" i="1" a="1"/>
  <c r="K119" i="1" a="1"/>
  <c r="K123" i="1" a="1"/>
  <c r="K127" i="1" a="1"/>
  <c r="K4" i="1" a="1"/>
  <c r="K8" i="1" a="1"/>
  <c r="K12" i="1" a="1"/>
  <c r="K16" i="1" a="1"/>
  <c r="K20" i="1" a="1"/>
  <c r="K24" i="1" a="1"/>
  <c r="K28" i="1" a="1"/>
  <c r="K32" i="1" a="1"/>
  <c r="K36" i="1" a="1"/>
  <c r="K40" i="1" a="1"/>
  <c r="K44" i="1" a="1"/>
  <c r="K48" i="1" a="1"/>
  <c r="K52" i="1" a="1"/>
  <c r="K56" i="1" a="1"/>
  <c r="K60" i="1" a="1"/>
  <c r="K64" i="1" a="1"/>
  <c r="K68" i="1" a="1"/>
  <c r="K72" i="1" a="1"/>
  <c r="K76" i="1" a="1"/>
  <c r="K80" i="1" a="1"/>
  <c r="K84" i="1" a="1"/>
  <c r="K88" i="1" a="1"/>
  <c r="K92" i="1" a="1"/>
  <c r="K96" i="1" a="1"/>
  <c r="K5" i="1" a="1"/>
  <c r="K9" i="1" a="1"/>
  <c r="K13" i="1" a="1"/>
  <c r="K17" i="1" a="1"/>
  <c r="K21" i="1" a="1"/>
  <c r="K25" i="1" a="1"/>
  <c r="K29" i="1" a="1"/>
  <c r="K33" i="1" a="1"/>
  <c r="K37" i="1" a="1"/>
  <c r="K41" i="1" a="1"/>
  <c r="K45" i="1" a="1"/>
  <c r="K49" i="1" a="1"/>
  <c r="K53" i="1" a="1"/>
  <c r="K57" i="1" a="1"/>
  <c r="K61" i="1" a="1"/>
  <c r="K65" i="1" a="1"/>
  <c r="K69" i="1" a="1"/>
  <c r="K73" i="1" a="1"/>
  <c r="K77" i="1" a="1"/>
  <c r="K81" i="1" a="1"/>
  <c r="K85" i="1" a="1"/>
  <c r="K89" i="1" a="1"/>
  <c r="K93" i="1" a="1"/>
  <c r="K97" i="1" a="1"/>
  <c r="K101" i="1" a="1"/>
  <c r="K105" i="1" a="1"/>
  <c r="K109" i="1" a="1"/>
  <c r="K113" i="1" a="1"/>
  <c r="K117" i="1" a="1"/>
  <c r="K121" i="1" a="1"/>
  <c r="K26" i="1" a="1"/>
  <c r="K58" i="1" a="1"/>
  <c r="K90" i="1" a="1"/>
  <c r="K100" i="1" a="1"/>
  <c r="K108" i="1" a="1"/>
  <c r="K116" i="1" a="1"/>
  <c r="K124" i="1" a="1"/>
  <c r="K130" i="1" a="1"/>
  <c r="K135" i="1" a="1"/>
  <c r="K141" i="1" a="1"/>
  <c r="K146" i="1" a="1"/>
  <c r="K151" i="1" a="1"/>
  <c r="K157" i="1" a="1"/>
  <c r="K162" i="1" a="1"/>
  <c r="K167" i="1" a="1"/>
  <c r="K173" i="1" a="1"/>
  <c r="K178" i="1" a="1"/>
  <c r="K183" i="1" a="1"/>
  <c r="K189" i="1" a="1"/>
  <c r="K194" i="1" a="1"/>
  <c r="K199" i="1" a="1"/>
  <c r="K205" i="1" a="1"/>
  <c r="K210" i="1" a="1"/>
  <c r="K215" i="1" a="1"/>
  <c r="K221" i="1" a="1"/>
  <c r="K226" i="1" a="1"/>
  <c r="K231" i="1" a="1"/>
  <c r="K237" i="1" a="1"/>
  <c r="K242" i="1" a="1"/>
  <c r="K247" i="1" a="1"/>
  <c r="K253" i="1" a="1"/>
  <c r="K258" i="1" a="1"/>
  <c r="K263" i="1" a="1"/>
  <c r="K269" i="1" a="1"/>
  <c r="K274" i="1" a="1"/>
  <c r="K279" i="1" a="1"/>
  <c r="K285" i="1" a="1"/>
  <c r="K290" i="1" a="1"/>
  <c r="K295" i="1" a="1"/>
  <c r="K301" i="1" a="1"/>
  <c r="K306" i="1" a="1"/>
  <c r="K311" i="1" a="1"/>
  <c r="K317" i="1" a="1"/>
  <c r="K322" i="1" a="1"/>
  <c r="K327" i="1" a="1"/>
  <c r="K333" i="1" a="1"/>
  <c r="K338" i="1" a="1"/>
  <c r="K343" i="1" a="1"/>
  <c r="K347" i="1" a="1"/>
  <c r="K351" i="1" a="1"/>
  <c r="K355" i="1" a="1"/>
  <c r="K359" i="1" a="1"/>
  <c r="K363" i="1" a="1"/>
  <c r="K367" i="1" a="1"/>
  <c r="K371" i="1" a="1"/>
  <c r="K375" i="1" a="1"/>
  <c r="K379" i="1" a="1"/>
  <c r="K383" i="1" a="1"/>
  <c r="K387" i="1" a="1"/>
  <c r="K6" i="1" a="1"/>
  <c r="K38" i="1" a="1"/>
  <c r="K70" i="1" a="1"/>
  <c r="K125" i="1" a="1"/>
  <c r="K136" i="1" a="1"/>
  <c r="K152" i="1" a="1"/>
  <c r="K168" i="1" a="1"/>
  <c r="K184" i="1" a="1"/>
  <c r="K200" i="1" a="1"/>
  <c r="K216" i="1" a="1"/>
  <c r="K232" i="1" a="1"/>
  <c r="K248" i="1" a="1"/>
  <c r="K264" i="1" a="1"/>
  <c r="K280" i="1" a="1"/>
  <c r="K296" i="1" a="1"/>
  <c r="K312" i="1" a="1"/>
  <c r="K328" i="1" a="1"/>
  <c r="K18" i="1" a="1"/>
  <c r="K50" i="1" a="1"/>
  <c r="K82" i="1" a="1"/>
  <c r="K102" i="1" a="1"/>
  <c r="K110" i="1" a="1"/>
  <c r="K118" i="1" a="1"/>
  <c r="K131" i="1" a="1"/>
  <c r="K137" i="1" a="1"/>
  <c r="K142" i="1" a="1"/>
  <c r="K147" i="1" a="1"/>
  <c r="K153" i="1" a="1"/>
  <c r="K158" i="1" a="1"/>
  <c r="K163" i="1" a="1"/>
  <c r="K169" i="1" a="1"/>
  <c r="K174" i="1" a="1"/>
  <c r="K179" i="1" a="1"/>
  <c r="K185" i="1" a="1"/>
  <c r="K190" i="1" a="1"/>
  <c r="K195" i="1" a="1"/>
  <c r="K201" i="1" a="1"/>
  <c r="K206" i="1" a="1"/>
  <c r="K211" i="1" a="1"/>
  <c r="K217" i="1" a="1"/>
  <c r="K222" i="1" a="1"/>
  <c r="K227" i="1" a="1"/>
  <c r="K233" i="1" a="1"/>
  <c r="K238" i="1" a="1"/>
  <c r="K243" i="1" a="1"/>
  <c r="K249" i="1" a="1"/>
  <c r="K254" i="1" a="1"/>
  <c r="K259" i="1" a="1"/>
  <c r="K265" i="1" a="1"/>
  <c r="K270" i="1" a="1"/>
  <c r="K275" i="1" a="1"/>
  <c r="K281" i="1" a="1"/>
  <c r="K286" i="1" a="1"/>
  <c r="K291" i="1" a="1"/>
  <c r="K297" i="1" a="1"/>
  <c r="K302" i="1" a="1"/>
  <c r="K307" i="1" a="1"/>
  <c r="K313" i="1" a="1"/>
  <c r="K318" i="1" a="1"/>
  <c r="K323" i="1" a="1"/>
  <c r="K329" i="1" a="1"/>
  <c r="K334" i="1" a="1"/>
  <c r="K339" i="1" a="1"/>
  <c r="K344" i="1" a="1"/>
  <c r="K348" i="1" a="1"/>
  <c r="K352" i="1" a="1"/>
  <c r="K356" i="1" a="1"/>
  <c r="K360" i="1" a="1"/>
  <c r="K364" i="1" a="1"/>
  <c r="K368" i="1" a="1"/>
  <c r="K372" i="1" a="1"/>
  <c r="K30" i="1" a="1"/>
  <c r="K62" i="1" a="1"/>
  <c r="K94" i="1" a="1"/>
  <c r="K126" i="1" a="1"/>
  <c r="K132" i="1" a="1"/>
  <c r="K148" i="1" a="1"/>
  <c r="K164" i="1" a="1"/>
  <c r="K180" i="1" a="1"/>
  <c r="K196" i="1" a="1"/>
  <c r="K212" i="1" a="1"/>
  <c r="K228" i="1" a="1"/>
  <c r="K244" i="1" a="1"/>
  <c r="K260" i="1" a="1"/>
  <c r="K276" i="1" a="1"/>
  <c r="K292" i="1" a="1"/>
  <c r="K308" i="1" a="1"/>
  <c r="K324" i="1" a="1"/>
  <c r="K340" i="1" a="1"/>
  <c r="K10" i="1" a="1"/>
  <c r="K42" i="1" a="1"/>
  <c r="K74" i="1" a="1"/>
  <c r="K104" i="1" a="1"/>
  <c r="K112" i="1" a="1"/>
  <c r="K120" i="1" a="1"/>
  <c r="K133" i="1" a="1"/>
  <c r="K138" i="1" a="1"/>
  <c r="K143" i="1" a="1"/>
  <c r="K149" i="1" a="1"/>
  <c r="K154" i="1" a="1"/>
  <c r="K159" i="1" a="1"/>
  <c r="K165" i="1" a="1"/>
  <c r="K170" i="1" a="1"/>
  <c r="K175" i="1" a="1"/>
  <c r="K181" i="1" a="1"/>
  <c r="K186" i="1" a="1"/>
  <c r="K191" i="1" a="1"/>
  <c r="K197" i="1" a="1"/>
  <c r="K202" i="1" a="1"/>
  <c r="K207" i="1" a="1"/>
  <c r="K213" i="1" a="1"/>
  <c r="K218" i="1" a="1"/>
  <c r="K223" i="1" a="1"/>
  <c r="K229" i="1" a="1"/>
  <c r="K234" i="1" a="1"/>
  <c r="K239" i="1" a="1"/>
  <c r="K245" i="1" a="1"/>
  <c r="K250" i="1" a="1"/>
  <c r="K255" i="1" a="1"/>
  <c r="K261" i="1" a="1"/>
  <c r="K266" i="1" a="1"/>
  <c r="K271" i="1" a="1"/>
  <c r="K277" i="1" a="1"/>
  <c r="K282" i="1" a="1"/>
  <c r="K287" i="1" a="1"/>
  <c r="K293" i="1" a="1"/>
  <c r="K298" i="1" a="1"/>
  <c r="K303" i="1" a="1"/>
  <c r="K309" i="1" a="1"/>
  <c r="K314" i="1" a="1"/>
  <c r="K319" i="1" a="1"/>
  <c r="K325" i="1" a="1"/>
  <c r="K330" i="1" a="1"/>
  <c r="K335" i="1" a="1"/>
  <c r="K341" i="1" a="1"/>
  <c r="K345" i="1" a="1"/>
  <c r="K349" i="1" a="1"/>
  <c r="K353" i="1" a="1"/>
  <c r="K357" i="1" a="1"/>
  <c r="K361" i="1" a="1"/>
  <c r="K365" i="1" a="1"/>
  <c r="K369" i="1" a="1"/>
  <c r="K22" i="1" a="1"/>
  <c r="K54" i="1" a="1"/>
  <c r="K86" i="1" a="1"/>
  <c r="K128" i="1" a="1"/>
  <c r="K144" i="1" a="1"/>
  <c r="K160" i="1" a="1"/>
  <c r="K176" i="1" a="1"/>
  <c r="K192" i="1" a="1"/>
  <c r="K208" i="1" a="1"/>
  <c r="K224" i="1" a="1"/>
  <c r="K240" i="1" a="1"/>
  <c r="K256" i="1" a="1"/>
  <c r="K272" i="1" a="1"/>
  <c r="K288" i="1" a="1"/>
  <c r="K304" i="1" a="1"/>
  <c r="K320" i="1" a="1"/>
  <c r="K336" i="1" a="1"/>
  <c r="K14" i="1" a="1"/>
  <c r="K172" i="1" a="1"/>
  <c r="K236" i="1" a="1"/>
  <c r="K300" i="1" a="1"/>
  <c r="K374" i="1" a="1"/>
  <c r="K382" i="1" a="1"/>
  <c r="K390" i="1" a="1"/>
  <c r="K396" i="1" a="1"/>
  <c r="K409" i="1" a="1"/>
  <c r="K415" i="1" a="1"/>
  <c r="K422" i="1" a="1"/>
  <c r="K428" i="1" a="1"/>
  <c r="K441" i="1" a="1"/>
  <c r="K447" i="1" a="1"/>
  <c r="K454" i="1" a="1"/>
  <c r="K460" i="1" a="1"/>
  <c r="K473" i="1" a="1"/>
  <c r="K479" i="1" a="1"/>
  <c r="K486" i="1" a="1"/>
  <c r="K492" i="1" a="1"/>
  <c r="K498" i="1" a="1"/>
  <c r="K503" i="1" a="1"/>
  <c r="K509" i="1" a="1"/>
  <c r="K514" i="1" a="1"/>
  <c r="K519" i="1" a="1"/>
  <c r="K525" i="1" a="1"/>
  <c r="K530" i="1" a="1"/>
  <c r="K535" i="1" a="1"/>
  <c r="K541" i="1" a="1"/>
  <c r="K546" i="1" a="1"/>
  <c r="K550" i="1" a="1"/>
  <c r="K554" i="1" a="1"/>
  <c r="K558" i="1" a="1"/>
  <c r="K562" i="1" a="1"/>
  <c r="K566" i="1" a="1"/>
  <c r="K570" i="1" a="1"/>
  <c r="K574" i="1" a="1"/>
  <c r="K578" i="1" a="1"/>
  <c r="K582" i="1" a="1"/>
  <c r="K586" i="1" a="1"/>
  <c r="K590" i="1" a="1"/>
  <c r="K594" i="1" a="1"/>
  <c r="K598" i="1" a="1"/>
  <c r="K602" i="1" a="1"/>
  <c r="K606" i="1" a="1"/>
  <c r="K610" i="1" a="1"/>
  <c r="K614" i="1" a="1"/>
  <c r="K618" i="1" a="1"/>
  <c r="K622" i="1" a="1"/>
  <c r="K626" i="1" a="1"/>
  <c r="K630" i="1" a="1"/>
  <c r="K634" i="1" a="1"/>
  <c r="K638" i="1" a="1"/>
  <c r="K642" i="1" a="1"/>
  <c r="K646" i="1" a="1"/>
  <c r="K650" i="1" a="1"/>
  <c r="K654" i="1" a="1"/>
  <c r="K658" i="1" a="1"/>
  <c r="K662" i="1" a="1"/>
  <c r="K666" i="1" a="1"/>
  <c r="K670" i="1" a="1"/>
  <c r="K674" i="1" a="1"/>
  <c r="K678" i="1" a="1"/>
  <c r="K682" i="1" a="1"/>
  <c r="K686" i="1" a="1"/>
  <c r="K156" i="1" a="1"/>
  <c r="K220" i="1" a="1"/>
  <c r="K284" i="1" a="1"/>
  <c r="K376" i="1" a="1"/>
  <c r="K384" i="1" a="1"/>
  <c r="K391" i="1" a="1"/>
  <c r="K398" i="1" a="1"/>
  <c r="K404" i="1" a="1"/>
  <c r="K417" i="1" a="1"/>
  <c r="K423" i="1" a="1"/>
  <c r="K430" i="1" a="1"/>
  <c r="K436" i="1" a="1"/>
  <c r="K449" i="1" a="1"/>
  <c r="K455" i="1" a="1"/>
  <c r="K462" i="1" a="1"/>
  <c r="K468" i="1" a="1"/>
  <c r="K481" i="1" a="1"/>
  <c r="K487" i="1" a="1"/>
  <c r="K494" i="1" a="1"/>
  <c r="K499" i="1" a="1"/>
  <c r="K505" i="1" a="1"/>
  <c r="K510" i="1" a="1"/>
  <c r="K515" i="1" a="1"/>
  <c r="K521" i="1" a="1"/>
  <c r="K526" i="1" a="1"/>
  <c r="K531" i="1" a="1"/>
  <c r="K537" i="1" a="1"/>
  <c r="K542" i="1" a="1"/>
  <c r="K547" i="1" a="1"/>
  <c r="K551" i="1" a="1"/>
  <c r="K555" i="1" a="1"/>
  <c r="K559" i="1" a="1"/>
  <c r="K563" i="1" a="1"/>
  <c r="K567" i="1" a="1"/>
  <c r="K571" i="1" a="1"/>
  <c r="K575" i="1" a="1"/>
  <c r="K579" i="1" a="1"/>
  <c r="K583" i="1" a="1"/>
  <c r="K587" i="1" a="1"/>
  <c r="K591" i="1" a="1"/>
  <c r="K595" i="1" a="1"/>
  <c r="K599" i="1" a="1"/>
  <c r="K603" i="1" a="1"/>
  <c r="K607" i="1" a="1"/>
  <c r="K611" i="1" a="1"/>
  <c r="K615" i="1" a="1"/>
  <c r="K619" i="1" a="1"/>
  <c r="K623" i="1" a="1"/>
  <c r="K627" i="1" a="1"/>
  <c r="K631" i="1" a="1"/>
  <c r="K635" i="1" a="1"/>
  <c r="K639" i="1" a="1"/>
  <c r="K78" i="1" a="1"/>
  <c r="K140" i="1" a="1"/>
  <c r="K204" i="1" a="1"/>
  <c r="K268" i="1" a="1"/>
  <c r="K332" i="1" a="1"/>
  <c r="K378" i="1" a="1"/>
  <c r="K386" i="1" a="1"/>
  <c r="K393" i="1" a="1"/>
  <c r="K399" i="1" a="1"/>
  <c r="K406" i="1" a="1"/>
  <c r="K412" i="1" a="1"/>
  <c r="K425" i="1" a="1"/>
  <c r="K431" i="1" a="1"/>
  <c r="K438" i="1" a="1"/>
  <c r="K444" i="1" a="1"/>
  <c r="K457" i="1" a="1"/>
  <c r="K463" i="1" a="1"/>
  <c r="K470" i="1" a="1"/>
  <c r="K476" i="1" a="1"/>
  <c r="K489" i="1" a="1"/>
  <c r="K495" i="1" a="1"/>
  <c r="K501" i="1" a="1"/>
  <c r="K506" i="1" a="1"/>
  <c r="K511" i="1" a="1"/>
  <c r="K517" i="1" a="1"/>
  <c r="K522" i="1" a="1"/>
  <c r="K527" i="1" a="1"/>
  <c r="K533" i="1" a="1"/>
  <c r="K538" i="1" a="1"/>
  <c r="K543" i="1" a="1"/>
  <c r="K548" i="1" a="1"/>
  <c r="K552" i="1" a="1"/>
  <c r="K556" i="1" a="1"/>
  <c r="K560" i="1" a="1"/>
  <c r="K564" i="1" a="1"/>
  <c r="K568" i="1" a="1"/>
  <c r="K572" i="1" a="1"/>
  <c r="K576" i="1" a="1"/>
  <c r="K580" i="1" a="1"/>
  <c r="K584" i="1" a="1"/>
  <c r="K588" i="1" a="1"/>
  <c r="K592" i="1" a="1"/>
  <c r="K596" i="1" a="1"/>
  <c r="K600" i="1" a="1"/>
  <c r="K604" i="1" a="1"/>
  <c r="K608" i="1" a="1"/>
  <c r="K612" i="1" a="1"/>
  <c r="K616" i="1" a="1"/>
  <c r="K620" i="1" a="1"/>
  <c r="K624" i="1" a="1"/>
  <c r="K628" i="1" a="1"/>
  <c r="K632" i="1" a="1"/>
  <c r="K636" i="1" a="1"/>
  <c r="K640" i="1" a="1"/>
  <c r="K644" i="1" a="1"/>
  <c r="K648" i="1" a="1"/>
  <c r="K652" i="1" a="1"/>
  <c r="K656" i="1" a="1"/>
  <c r="K660" i="1" a="1"/>
  <c r="K664" i="1" a="1"/>
  <c r="K668" i="1" a="1"/>
  <c r="K672" i="1" a="1"/>
  <c r="K676" i="1" a="1"/>
  <c r="K680" i="1" a="1"/>
  <c r="K684" i="1" a="1"/>
  <c r="K122" i="1" a="1"/>
  <c r="K145" i="1" a="1"/>
  <c r="K166" i="1" a="1"/>
  <c r="K187" i="1" a="1"/>
  <c r="K209" i="1" a="1"/>
  <c r="K230" i="1" a="1"/>
  <c r="K251" i="1" a="1"/>
  <c r="K273" i="1" a="1"/>
  <c r="K294" i="1" a="1"/>
  <c r="K315" i="1" a="1"/>
  <c r="K337" i="1" a="1"/>
  <c r="K354" i="1" a="1"/>
  <c r="K370" i="1" a="1"/>
  <c r="K394" i="1" a="1"/>
  <c r="K400" i="1" a="1"/>
  <c r="K413" i="1" a="1"/>
  <c r="K419" i="1" a="1"/>
  <c r="K426" i="1" a="1"/>
  <c r="K432" i="1" a="1"/>
  <c r="K445" i="1" a="1"/>
  <c r="K451" i="1" a="1"/>
  <c r="K458" i="1" a="1"/>
  <c r="K464" i="1" a="1"/>
  <c r="K477" i="1" a="1"/>
  <c r="K483" i="1" a="1"/>
  <c r="K490" i="1" a="1"/>
  <c r="K496" i="1" a="1"/>
  <c r="K512" i="1" a="1"/>
  <c r="K528" i="1" a="1"/>
  <c r="K544" i="1" a="1"/>
  <c r="K98" i="1" a="1"/>
  <c r="K150" i="1" a="1"/>
  <c r="K193" i="1" a="1"/>
  <c r="K235" i="1" a="1"/>
  <c r="K278" i="1" a="1"/>
  <c r="K321" i="1" a="1"/>
  <c r="K358" i="1" a="1"/>
  <c r="K381" i="1" a="1"/>
  <c r="K395" i="1" a="1"/>
  <c r="K408" i="1" a="1"/>
  <c r="K421" i="1" a="1"/>
  <c r="K434" i="1" a="1"/>
  <c r="K459" i="1" a="1"/>
  <c r="K472" i="1" a="1"/>
  <c r="K485" i="1" a="1"/>
  <c r="K508" i="1" a="1"/>
  <c r="K540" i="1" a="1"/>
  <c r="K645" i="1" a="1"/>
  <c r="K651" i="1" a="1"/>
  <c r="K677" i="1" a="1"/>
  <c r="K683" i="1" a="1"/>
  <c r="K689" i="1" a="1"/>
  <c r="K698" i="1" a="1"/>
  <c r="K707" i="1" a="1"/>
  <c r="K716" i="1" a="1"/>
  <c r="K721" i="1" a="1"/>
  <c r="K730" i="1" a="1"/>
  <c r="K739" i="1" a="1"/>
  <c r="K748" i="1" a="1"/>
  <c r="K753" i="1" a="1"/>
  <c r="K757" i="1" a="1"/>
  <c r="K761" i="1" a="1"/>
  <c r="K765" i="1" a="1"/>
  <c r="K769" i="1" a="1"/>
  <c r="K773" i="1" a="1"/>
  <c r="K777" i="1" a="1"/>
  <c r="K781" i="1" a="1"/>
  <c r="K785" i="1" a="1"/>
  <c r="K789" i="1" a="1"/>
  <c r="K793" i="1" a="1"/>
  <c r="K797" i="1" a="1"/>
  <c r="K801" i="1" a="1"/>
  <c r="K805" i="1" a="1"/>
  <c r="K809" i="1" a="1"/>
  <c r="K813" i="1" a="1"/>
  <c r="K817" i="1" a="1"/>
  <c r="K821" i="1" a="1"/>
  <c r="K825" i="1" a="1"/>
  <c r="K829" i="1" a="1"/>
  <c r="K833" i="1" a="1"/>
  <c r="K837" i="1" a="1"/>
  <c r="K841" i="1" a="1"/>
  <c r="K845" i="1" a="1"/>
  <c r="K849" i="1" a="1"/>
  <c r="K853" i="1" a="1"/>
  <c r="K857" i="1" a="1"/>
  <c r="K861" i="1" a="1"/>
  <c r="K865" i="1" a="1"/>
  <c r="K869" i="1" a="1"/>
  <c r="K873" i="1" a="1"/>
  <c r="K877" i="1" a="1"/>
  <c r="K881" i="1" a="1"/>
  <c r="K885" i="1" a="1"/>
  <c r="K889" i="1" a="1"/>
  <c r="K893" i="1" a="1"/>
  <c r="K897" i="1" a="1"/>
  <c r="K901" i="1" a="1"/>
  <c r="K905" i="1" a="1"/>
  <c r="K909" i="1" a="1"/>
  <c r="K913" i="1" a="1"/>
  <c r="K917" i="1" a="1"/>
  <c r="K921" i="1" a="1"/>
  <c r="K925" i="1" a="1"/>
  <c r="K929" i="1" a="1"/>
  <c r="K933" i="1" a="1"/>
  <c r="K937" i="1" a="1"/>
  <c r="K941" i="1" a="1"/>
  <c r="K945" i="1" a="1"/>
  <c r="K949" i="1" a="1"/>
  <c r="K953" i="1" a="1"/>
  <c r="K957" i="1" a="1"/>
  <c r="K961" i="1" a="1"/>
  <c r="K965" i="1" a="1"/>
  <c r="K969" i="1" a="1"/>
  <c r="K973" i="1" a="1"/>
  <c r="K977" i="1" a="1"/>
  <c r="K981" i="1" a="1"/>
  <c r="K985" i="1" a="1"/>
  <c r="K106" i="1" a="1"/>
  <c r="K155" i="1" a="1"/>
  <c r="K198" i="1" a="1"/>
  <c r="K241" i="1" a="1"/>
  <c r="K283" i="1" a="1"/>
  <c r="K326" i="1" a="1"/>
  <c r="K362" i="1" a="1"/>
  <c r="K397" i="1" a="1"/>
  <c r="K410" i="1" a="1"/>
  <c r="K435" i="1" a="1"/>
  <c r="K448" i="1" a="1"/>
  <c r="K461" i="1" a="1"/>
  <c r="K474" i="1" a="1"/>
  <c r="K520" i="1" a="1"/>
  <c r="K665" i="1" a="1"/>
  <c r="K671" i="1" a="1"/>
  <c r="K694" i="1" a="1"/>
  <c r="K703" i="1" a="1"/>
  <c r="K712" i="1" a="1"/>
  <c r="K717" i="1" a="1"/>
  <c r="K726" i="1" a="1"/>
  <c r="K735" i="1" a="1"/>
  <c r="K744" i="1" a="1"/>
  <c r="K749" i="1" a="1"/>
  <c r="K34" i="1" a="1"/>
  <c r="K114" i="1" a="1"/>
  <c r="K161" i="1" a="1"/>
  <c r="K203" i="1" a="1"/>
  <c r="K246" i="1" a="1"/>
  <c r="K289" i="1" a="1"/>
  <c r="K331" i="1" a="1"/>
  <c r="K366" i="1" a="1"/>
  <c r="K385" i="1" a="1"/>
  <c r="K411" i="1" a="1"/>
  <c r="K424" i="1" a="1"/>
  <c r="K437" i="1" a="1"/>
  <c r="K450" i="1" a="1"/>
  <c r="K475" i="1" a="1"/>
  <c r="K488" i="1" a="1"/>
  <c r="K500" i="1" a="1"/>
  <c r="K532" i="1" a="1"/>
  <c r="K653" i="1" a="1"/>
  <c r="K659" i="1" a="1"/>
  <c r="K685" i="1" a="1"/>
  <c r="K690" i="1" a="1"/>
  <c r="K699" i="1" a="1"/>
  <c r="K708" i="1" a="1"/>
  <c r="K713" i="1" a="1"/>
  <c r="K722" i="1" a="1"/>
  <c r="K731" i="1" a="1"/>
  <c r="K740" i="1" a="1"/>
  <c r="K745" i="1" a="1"/>
  <c r="K754" i="1" a="1"/>
  <c r="K758" i="1" a="1"/>
  <c r="K762" i="1" a="1"/>
  <c r="K766" i="1" a="1"/>
  <c r="K770" i="1" a="1"/>
  <c r="K774" i="1" a="1"/>
  <c r="K778" i="1" a="1"/>
  <c r="K782" i="1" a="1"/>
  <c r="K786" i="1" a="1"/>
  <c r="K790" i="1" a="1"/>
  <c r="K794" i="1" a="1"/>
  <c r="K798" i="1" a="1"/>
  <c r="K802" i="1" a="1"/>
  <c r="K806" i="1" a="1"/>
  <c r="K810" i="1" a="1"/>
  <c r="K814" i="1" a="1"/>
  <c r="K818" i="1" a="1"/>
  <c r="K822" i="1" a="1"/>
  <c r="K826" i="1" a="1"/>
  <c r="K830" i="1" a="1"/>
  <c r="K834" i="1" a="1"/>
  <c r="K838" i="1" a="1"/>
  <c r="K842" i="1" a="1"/>
  <c r="K846" i="1" a="1"/>
  <c r="K850" i="1" a="1"/>
  <c r="K854" i="1" a="1"/>
  <c r="K858" i="1" a="1"/>
  <c r="K862" i="1" a="1"/>
  <c r="K866" i="1" a="1"/>
  <c r="K870" i="1" a="1"/>
  <c r="K874" i="1" a="1"/>
  <c r="K878" i="1" a="1"/>
  <c r="K882" i="1" a="1"/>
  <c r="K886" i="1" a="1"/>
  <c r="K890" i="1" a="1"/>
  <c r="K894" i="1" a="1"/>
  <c r="K898" i="1" a="1"/>
  <c r="K902" i="1" a="1"/>
  <c r="K906" i="1" a="1"/>
  <c r="K910" i="1" a="1"/>
  <c r="K914" i="1" a="1"/>
  <c r="K918" i="1" a="1"/>
  <c r="K922" i="1" a="1"/>
  <c r="K926" i="1" a="1"/>
  <c r="K930" i="1" a="1"/>
  <c r="K934" i="1" a="1"/>
  <c r="K938" i="1" a="1"/>
  <c r="K942" i="1" a="1"/>
  <c r="K946" i="1" a="1"/>
  <c r="K950" i="1" a="1"/>
  <c r="K954" i="1" a="1"/>
  <c r="K958" i="1" a="1"/>
  <c r="K962" i="1" a="1"/>
  <c r="K966" i="1" a="1"/>
  <c r="K970" i="1" a="1"/>
  <c r="K974" i="1" a="1"/>
  <c r="K46" i="1" a="1"/>
  <c r="K252" i="1" a="1"/>
  <c r="K388" i="1" a="1"/>
  <c r="K401" i="1" a="1"/>
  <c r="K414" i="1" a="1"/>
  <c r="K439" i="1" a="1"/>
  <c r="K452" i="1" a="1"/>
  <c r="K465" i="1" a="1"/>
  <c r="K478" i="1" a="1"/>
  <c r="K502" i="1" a="1"/>
  <c r="K513" i="1" a="1"/>
  <c r="K523" i="1" a="1"/>
  <c r="K534" i="1" a="1"/>
  <c r="K545" i="1" a="1"/>
  <c r="K553" i="1" a="1"/>
  <c r="K561" i="1" a="1"/>
  <c r="K569" i="1" a="1"/>
  <c r="K577" i="1" a="1"/>
  <c r="K585" i="1" a="1"/>
  <c r="K593" i="1" a="1"/>
  <c r="K601" i="1" a="1"/>
  <c r="K609" i="1" a="1"/>
  <c r="K617" i="1" a="1"/>
  <c r="K625" i="1" a="1"/>
  <c r="K633" i="1" a="1"/>
  <c r="K641" i="1" a="1"/>
  <c r="K647" i="1" a="1"/>
  <c r="K673" i="1" a="1"/>
  <c r="K679" i="1" a="1"/>
  <c r="K695" i="1" a="1"/>
  <c r="K704" i="1" a="1"/>
  <c r="K709" i="1" a="1"/>
  <c r="K718" i="1" a="1"/>
  <c r="K727" i="1" a="1"/>
  <c r="K736" i="1" a="1"/>
  <c r="K741" i="1" a="1"/>
  <c r="K750" i="1" a="1"/>
  <c r="K66" i="1" a="1"/>
  <c r="K134" i="1" a="1"/>
  <c r="K177" i="1" a="1"/>
  <c r="K219" i="1" a="1"/>
  <c r="K262" i="1" a="1"/>
  <c r="K305" i="1" a="1"/>
  <c r="K346" i="1" a="1"/>
  <c r="K403" i="1" a="1"/>
  <c r="K416" i="1" a="1"/>
  <c r="K429" i="1" a="1"/>
  <c r="K442" i="1" a="1"/>
  <c r="K467" i="1" a="1"/>
  <c r="K480" i="1" a="1"/>
  <c r="K493" i="1" a="1"/>
  <c r="K504" i="1" a="1"/>
  <c r="K536" i="1" a="1"/>
  <c r="K649" i="1" a="1"/>
  <c r="K655" i="1" a="1"/>
  <c r="K681" i="1" a="1"/>
  <c r="K687" i="1" a="1"/>
  <c r="K696" i="1" a="1"/>
  <c r="K701" i="1" a="1"/>
  <c r="K710" i="1" a="1"/>
  <c r="K719" i="1" a="1"/>
  <c r="K728" i="1" a="1"/>
  <c r="K733" i="1" a="1"/>
  <c r="K742" i="1" a="1"/>
  <c r="K751" i="1" a="1"/>
  <c r="K139" i="1" a="1"/>
  <c r="K182" i="1" a="1"/>
  <c r="K225" i="1" a="1"/>
  <c r="K267" i="1" a="1"/>
  <c r="K310" i="1" a="1"/>
  <c r="K350" i="1" a="1"/>
  <c r="K377" i="1" a="1"/>
  <c r="K392" i="1" a="1"/>
  <c r="K405" i="1" a="1"/>
  <c r="K418" i="1" a="1"/>
  <c r="K443" i="1" a="1"/>
  <c r="K456" i="1" a="1"/>
  <c r="K469" i="1" a="1"/>
  <c r="K482" i="1" a="1"/>
  <c r="K516" i="1" a="1"/>
  <c r="K643" i="1" a="1"/>
  <c r="K669" i="1" a="1"/>
  <c r="K675" i="1" a="1"/>
  <c r="K692" i="1" a="1"/>
  <c r="K697" i="1" a="1"/>
  <c r="K706" i="1" a="1"/>
  <c r="K715" i="1" a="1"/>
  <c r="K724" i="1" a="1"/>
  <c r="K729" i="1" a="1"/>
  <c r="K738" i="1" a="1"/>
  <c r="K747" i="1" a="1"/>
  <c r="K756" i="1" a="1"/>
  <c r="K760" i="1" a="1"/>
  <c r="K764" i="1" a="1"/>
  <c r="K768" i="1" a="1"/>
  <c r="K772" i="1" a="1"/>
  <c r="K776" i="1" a="1"/>
  <c r="K780" i="1" a="1"/>
  <c r="K784" i="1" a="1"/>
  <c r="K788" i="1" a="1"/>
  <c r="K792" i="1" a="1"/>
  <c r="K796" i="1" a="1"/>
  <c r="K800" i="1" a="1"/>
  <c r="K804" i="1" a="1"/>
  <c r="K808" i="1" a="1"/>
  <c r="K812" i="1" a="1"/>
  <c r="K816" i="1" a="1"/>
  <c r="K820" i="1" a="1"/>
  <c r="K824" i="1" a="1"/>
  <c r="K828" i="1" a="1"/>
  <c r="K832" i="1" a="1"/>
  <c r="K836" i="1" a="1"/>
  <c r="K840" i="1" a="1"/>
  <c r="K844" i="1" a="1"/>
  <c r="K848" i="1" a="1"/>
  <c r="K852" i="1" a="1"/>
  <c r="K856" i="1" a="1"/>
  <c r="K860" i="1" a="1"/>
  <c r="K864" i="1" a="1"/>
  <c r="K868" i="1" a="1"/>
  <c r="K872" i="1" a="1"/>
  <c r="K876" i="1" a="1"/>
  <c r="K880" i="1" a="1"/>
  <c r="K884" i="1" a="1"/>
  <c r="K888" i="1" a="1"/>
  <c r="K892" i="1" a="1"/>
  <c r="K896" i="1" a="1"/>
  <c r="K900" i="1" a="1"/>
  <c r="K904" i="1" a="1"/>
  <c r="K908" i="1" a="1"/>
  <c r="K912" i="1" a="1"/>
  <c r="K916" i="1" a="1"/>
  <c r="K920" i="1" a="1"/>
  <c r="K924" i="1" a="1"/>
  <c r="K928" i="1" a="1"/>
  <c r="K932" i="1" a="1"/>
  <c r="K936" i="1" a="1"/>
  <c r="K257" i="1" a="1"/>
  <c r="K389" i="1" a="1"/>
  <c r="K440" i="1" a="1"/>
  <c r="K491" i="1" a="1"/>
  <c r="K661" i="1" a="1"/>
  <c r="K705" i="1" a="1"/>
  <c r="K723" i="1" a="1"/>
  <c r="K759" i="1" a="1"/>
  <c r="K775" i="1" a="1"/>
  <c r="K791" i="1" a="1"/>
  <c r="K807" i="1" a="1"/>
  <c r="K823" i="1" a="1"/>
  <c r="K839" i="1" a="1"/>
  <c r="K855" i="1" a="1"/>
  <c r="K871" i="1" a="1"/>
  <c r="K887" i="1" a="1"/>
  <c r="K903" i="1" a="1"/>
  <c r="K919" i="1" a="1"/>
  <c r="K935" i="1" a="1"/>
  <c r="K947" i="1" a="1"/>
  <c r="K968" i="1" a="1"/>
  <c r="K978" i="1" a="1"/>
  <c r="K986" i="1" a="1"/>
  <c r="K999" i="1" a="1"/>
  <c r="K1005" i="1" a="1"/>
  <c r="K1012" i="1" a="1"/>
  <c r="K1018" i="1" a="1"/>
  <c r="K1031" i="1" a="1"/>
  <c r="K1037" i="1" a="1"/>
  <c r="K1044" i="1" a="1"/>
  <c r="K1050" i="1" a="1"/>
  <c r="K1063" i="1" a="1"/>
  <c r="K1069" i="1" a="1"/>
  <c r="K1076" i="1" a="1"/>
  <c r="K1082" i="1" a="1"/>
  <c r="K1095" i="1" a="1"/>
  <c r="K1101" i="1" a="1"/>
  <c r="K1108" i="1" a="1"/>
  <c r="K1114" i="1" a="1"/>
  <c r="K1127" i="1" a="1"/>
  <c r="K1133" i="1" a="1"/>
  <c r="K1140" i="1" a="1"/>
  <c r="K1146" i="1" a="1"/>
  <c r="K1157" i="1" a="1"/>
  <c r="K1161" i="1" a="1"/>
  <c r="K1165" i="1" a="1"/>
  <c r="K1169" i="1" a="1"/>
  <c r="K1173" i="1" a="1"/>
  <c r="K1177" i="1" a="1"/>
  <c r="K1181" i="1" a="1"/>
  <c r="K1185" i="1" a="1"/>
  <c r="K1189" i="1" a="1"/>
  <c r="K1193" i="1" a="1"/>
  <c r="K1197" i="1" a="1"/>
  <c r="K1201" i="1" a="1"/>
  <c r="K1205" i="1" a="1"/>
  <c r="K1209" i="1" a="1"/>
  <c r="K1213" i="1" a="1"/>
  <c r="K1217" i="1" a="1"/>
  <c r="K1221" i="1" a="1"/>
  <c r="K1225" i="1" a="1"/>
  <c r="K1229" i="1" a="1"/>
  <c r="K1233" i="1" a="1"/>
  <c r="K1237" i="1" a="1"/>
  <c r="K1241" i="1" a="1"/>
  <c r="K1245" i="1" a="1"/>
  <c r="K1249" i="1" a="1"/>
  <c r="K1253" i="1" a="1"/>
  <c r="K1257" i="1" a="1"/>
  <c r="K1261" i="1" a="1"/>
  <c r="K1265" i="1" a="1"/>
  <c r="K1269" i="1" a="1"/>
  <c r="K1273" i="1" a="1"/>
  <c r="K1277" i="1" a="1"/>
  <c r="K1281" i="1" a="1"/>
  <c r="K1285" i="1" a="1"/>
  <c r="K1289" i="1" a="1"/>
  <c r="K1293" i="1" a="1"/>
  <c r="K1297" i="1" a="1"/>
  <c r="K1301" i="1" a="1"/>
  <c r="K1305" i="1" a="1"/>
  <c r="K1309" i="1" a="1"/>
  <c r="K1313" i="1" a="1"/>
  <c r="K1317" i="1" a="1"/>
  <c r="K1321" i="1" a="1"/>
  <c r="K1325" i="1" a="1"/>
  <c r="K1329" i="1" a="1"/>
  <c r="K1333" i="1" a="1"/>
  <c r="K1337" i="1" a="1"/>
  <c r="K1341" i="1" a="1"/>
  <c r="K1345" i="1" a="1"/>
  <c r="K1349" i="1" a="1"/>
  <c r="K1353" i="1" a="1"/>
  <c r="K1357" i="1" a="1"/>
  <c r="K1361" i="1" a="1"/>
  <c r="K1365" i="1" a="1"/>
  <c r="K1369" i="1" a="1"/>
  <c r="K1373" i="1" a="1"/>
  <c r="K1377" i="1" a="1"/>
  <c r="K1381" i="1" a="1"/>
  <c r="K1385" i="1" a="1"/>
  <c r="K1389" i="1" a="1"/>
  <c r="K1393" i="1" a="1"/>
  <c r="K1397" i="1" a="1"/>
  <c r="K1401" i="1" a="1"/>
  <c r="K1405" i="1" a="1"/>
  <c r="K1409" i="1" a="1"/>
  <c r="K1413" i="1" a="1"/>
  <c r="K1417" i="1" a="1"/>
  <c r="K1421" i="1" a="1"/>
  <c r="K1425" i="1" a="1"/>
  <c r="K1429" i="1" a="1"/>
  <c r="K1433" i="1" a="1"/>
  <c r="K1437" i="1" a="1"/>
  <c r="K446" i="1" a="1"/>
  <c r="K497" i="1" a="1"/>
  <c r="K539" i="1" a="1"/>
  <c r="K573" i="1" a="1"/>
  <c r="K605" i="1" a="1"/>
  <c r="K637" i="1" a="1"/>
  <c r="K663" i="1" a="1"/>
  <c r="K688" i="1" a="1"/>
  <c r="K725" i="1" a="1"/>
  <c r="K743" i="1" a="1"/>
  <c r="K948" i="1" a="1"/>
  <c r="K959" i="1" a="1"/>
  <c r="K979" i="1" a="1"/>
  <c r="K987" i="1" a="1"/>
  <c r="K993" i="1" a="1"/>
  <c r="K1000" i="1" a="1"/>
  <c r="K1006" i="1" a="1"/>
  <c r="K1019" i="1" a="1"/>
  <c r="K1025" i="1" a="1"/>
  <c r="K1032" i="1" a="1"/>
  <c r="K1038" i="1" a="1"/>
  <c r="K1051" i="1" a="1"/>
  <c r="K1057" i="1" a="1"/>
  <c r="K1064" i="1" a="1"/>
  <c r="K1070" i="1" a="1"/>
  <c r="K1083" i="1" a="1"/>
  <c r="K1089" i="1" a="1"/>
  <c r="K1096" i="1" a="1"/>
  <c r="K1102" i="1" a="1"/>
  <c r="K1115" i="1" a="1"/>
  <c r="K1121" i="1" a="1"/>
  <c r="K1128" i="1" a="1"/>
  <c r="K1134" i="1" a="1"/>
  <c r="K1147" i="1" a="1"/>
  <c r="K1153" i="1" a="1"/>
  <c r="K129" i="1" a="1"/>
  <c r="K299" i="1" a="1"/>
  <c r="K402" i="1" a="1"/>
  <c r="K453" i="1" a="1"/>
  <c r="K667" i="1" a="1"/>
  <c r="K691" i="1" a="1"/>
  <c r="K746" i="1" a="1"/>
  <c r="K763" i="1" a="1"/>
  <c r="K779" i="1" a="1"/>
  <c r="K795" i="1" a="1"/>
  <c r="K811" i="1" a="1"/>
  <c r="K827" i="1" a="1"/>
  <c r="K843" i="1" a="1"/>
  <c r="K859" i="1" a="1"/>
  <c r="K875" i="1" a="1"/>
  <c r="K891" i="1" a="1"/>
  <c r="K907" i="1" a="1"/>
  <c r="K923" i="1" a="1"/>
  <c r="K939" i="1" a="1"/>
  <c r="K960" i="1" a="1"/>
  <c r="K971" i="1" a="1"/>
  <c r="K980" i="1" a="1"/>
  <c r="K988" i="1" a="1"/>
  <c r="K994" i="1" a="1"/>
  <c r="K1007" i="1" a="1"/>
  <c r="K1013" i="1" a="1"/>
  <c r="K1020" i="1" a="1"/>
  <c r="K1026" i="1" a="1"/>
  <c r="K1039" i="1" a="1"/>
  <c r="K1045" i="1" a="1"/>
  <c r="K1052" i="1" a="1"/>
  <c r="K1058" i="1" a="1"/>
  <c r="K1071" i="1" a="1"/>
  <c r="K1077" i="1" a="1"/>
  <c r="K1084" i="1" a="1"/>
  <c r="K1090" i="1" a="1"/>
  <c r="K1103" i="1" a="1"/>
  <c r="K1109" i="1" a="1"/>
  <c r="K1116" i="1" a="1"/>
  <c r="K1122" i="1" a="1"/>
  <c r="K1135" i="1" a="1"/>
  <c r="K1141" i="1" a="1"/>
  <c r="K1148" i="1" a="1"/>
  <c r="K1154" i="1" a="1"/>
  <c r="K1158" i="1" a="1"/>
  <c r="K1162" i="1" a="1"/>
  <c r="K1166" i="1" a="1"/>
  <c r="K1170" i="1" a="1"/>
  <c r="K1174" i="1" a="1"/>
  <c r="K1178" i="1" a="1"/>
  <c r="K1182" i="1" a="1"/>
  <c r="K1186" i="1" a="1"/>
  <c r="K1190" i="1" a="1"/>
  <c r="K1194" i="1" a="1"/>
  <c r="K1198" i="1" a="1"/>
  <c r="K1202" i="1" a="1"/>
  <c r="K1206" i="1" a="1"/>
  <c r="K1210" i="1" a="1"/>
  <c r="K1214" i="1" a="1"/>
  <c r="K1218" i="1" a="1"/>
  <c r="K1222" i="1" a="1"/>
  <c r="K1226" i="1" a="1"/>
  <c r="K1230" i="1" a="1"/>
  <c r="K1234" i="1" a="1"/>
  <c r="K1238" i="1" a="1"/>
  <c r="K1242" i="1" a="1"/>
  <c r="K1246" i="1" a="1"/>
  <c r="K1250" i="1" a="1"/>
  <c r="K1254" i="1" a="1"/>
  <c r="K1258" i="1" a="1"/>
  <c r="K1262" i="1" a="1"/>
  <c r="K1266" i="1" a="1"/>
  <c r="K1270" i="1" a="1"/>
  <c r="K1274" i="1" a="1"/>
  <c r="K1278" i="1" a="1"/>
  <c r="K1282" i="1" a="1"/>
  <c r="K1286" i="1" a="1"/>
  <c r="K1290" i="1" a="1"/>
  <c r="K1294" i="1" a="1"/>
  <c r="K1298" i="1" a="1"/>
  <c r="K1302" i="1" a="1"/>
  <c r="K1306" i="1" a="1"/>
  <c r="K1310" i="1" a="1"/>
  <c r="K1314" i="1" a="1"/>
  <c r="K1318" i="1" a="1"/>
  <c r="K1322" i="1" a="1"/>
  <c r="K1326" i="1" a="1"/>
  <c r="K1330" i="1" a="1"/>
  <c r="K1334" i="1" a="1"/>
  <c r="K1338" i="1" a="1"/>
  <c r="K1342" i="1" a="1"/>
  <c r="K1346" i="1" a="1"/>
  <c r="K1350" i="1" a="1"/>
  <c r="K1354" i="1" a="1"/>
  <c r="K1358" i="1" a="1"/>
  <c r="K1362" i="1" a="1"/>
  <c r="K1366" i="1" a="1"/>
  <c r="K1370" i="1" a="1"/>
  <c r="K316" i="1" a="1"/>
  <c r="K407" i="1" a="1"/>
  <c r="K507" i="1" a="1"/>
  <c r="K549" i="1" a="1"/>
  <c r="K581" i="1" a="1"/>
  <c r="K613" i="1" a="1"/>
  <c r="K693" i="1" a="1"/>
  <c r="K711" i="1" a="1"/>
  <c r="K940" i="1" a="1"/>
  <c r="K951" i="1" a="1"/>
  <c r="K972" i="1" a="1"/>
  <c r="K995" i="1" a="1"/>
  <c r="K1001" i="1" a="1"/>
  <c r="K1008" i="1" a="1"/>
  <c r="K1014" i="1" a="1"/>
  <c r="K1027" i="1" a="1"/>
  <c r="K1033" i="1" a="1"/>
  <c r="K1040" i="1" a="1"/>
  <c r="K1046" i="1" a="1"/>
  <c r="K1059" i="1" a="1"/>
  <c r="K1065" i="1" a="1"/>
  <c r="K1072" i="1" a="1"/>
  <c r="K1078" i="1" a="1"/>
  <c r="K1091" i="1" a="1"/>
  <c r="K1097" i="1" a="1"/>
  <c r="K1104" i="1" a="1"/>
  <c r="K1110" i="1" a="1"/>
  <c r="K1123" i="1" a="1"/>
  <c r="K1129" i="1" a="1"/>
  <c r="K1136" i="1" a="1"/>
  <c r="K1142" i="1" a="1"/>
  <c r="K188" i="1" a="1"/>
  <c r="K420" i="1" a="1"/>
  <c r="K471" i="1" a="1"/>
  <c r="K518" i="1" a="1"/>
  <c r="K557" i="1" a="1"/>
  <c r="K589" i="1" a="1"/>
  <c r="K621" i="1" a="1"/>
  <c r="K734" i="1" a="1"/>
  <c r="K752" i="1" a="1"/>
  <c r="K943" i="1" a="1"/>
  <c r="K964" i="1" a="1"/>
  <c r="K975" i="1" a="1"/>
  <c r="K983" i="1" a="1"/>
  <c r="K990" i="1" a="1"/>
  <c r="K1003" i="1" a="1"/>
  <c r="K1009" i="1" a="1"/>
  <c r="K1016" i="1" a="1"/>
  <c r="K1022" i="1" a="1"/>
  <c r="K1035" i="1" a="1"/>
  <c r="K1041" i="1" a="1"/>
  <c r="K1048" i="1" a="1"/>
  <c r="K1054" i="1" a="1"/>
  <c r="K1067" i="1" a="1"/>
  <c r="K1073" i="1" a="1"/>
  <c r="K1080" i="1" a="1"/>
  <c r="K1086" i="1" a="1"/>
  <c r="K1099" i="1" a="1"/>
  <c r="K1105" i="1" a="1"/>
  <c r="K1112" i="1" a="1"/>
  <c r="K1118" i="1" a="1"/>
  <c r="K1131" i="1" a="1"/>
  <c r="K1137" i="1" a="1"/>
  <c r="K1144" i="1" a="1"/>
  <c r="K1150" i="1" a="1"/>
  <c r="K214" i="1" a="1"/>
  <c r="K373" i="1" a="1"/>
  <c r="K427" i="1" a="1"/>
  <c r="K524" i="1" a="1"/>
  <c r="K700" i="1" a="1"/>
  <c r="K737" i="1" a="1"/>
  <c r="K755" i="1" a="1"/>
  <c r="K771" i="1" a="1"/>
  <c r="K787" i="1" a="1"/>
  <c r="K803" i="1" a="1"/>
  <c r="K819" i="1" a="1"/>
  <c r="K835" i="1" a="1"/>
  <c r="K851" i="1" a="1"/>
  <c r="K867" i="1" a="1"/>
  <c r="K883" i="1" a="1"/>
  <c r="K899" i="1" a="1"/>
  <c r="K915" i="1" a="1"/>
  <c r="K931" i="1" a="1"/>
  <c r="K944" i="1" a="1"/>
  <c r="K955" i="1" a="1"/>
  <c r="K976" i="1" a="1"/>
  <c r="K984" i="1" a="1"/>
  <c r="K991" i="1" a="1"/>
  <c r="K997" i="1" a="1"/>
  <c r="K1004" i="1" a="1"/>
  <c r="K1010" i="1" a="1"/>
  <c r="K1023" i="1" a="1"/>
  <c r="K1029" i="1" a="1"/>
  <c r="K1036" i="1" a="1"/>
  <c r="K1042" i="1" a="1"/>
  <c r="K1055" i="1" a="1"/>
  <c r="K1061" i="1" a="1"/>
  <c r="K1068" i="1" a="1"/>
  <c r="K1074" i="1" a="1"/>
  <c r="K1087" i="1" a="1"/>
  <c r="K1093" i="1" a="1"/>
  <c r="K1100" i="1" a="1"/>
  <c r="K1106" i="1" a="1"/>
  <c r="K1119" i="1" a="1"/>
  <c r="K1125" i="1" a="1"/>
  <c r="K1132" i="1" a="1"/>
  <c r="K1138" i="1" a="1"/>
  <c r="K1151" i="1" a="1"/>
  <c r="K1156" i="1" a="1"/>
  <c r="K1160" i="1" a="1"/>
  <c r="K1164" i="1" a="1"/>
  <c r="K1168" i="1" a="1"/>
  <c r="K1172" i="1" a="1"/>
  <c r="K1176" i="1" a="1"/>
  <c r="K1180" i="1" a="1"/>
  <c r="K1184" i="1" a="1"/>
  <c r="K1188" i="1" a="1"/>
  <c r="K1192" i="1" a="1"/>
  <c r="K1196" i="1" a="1"/>
  <c r="K1200" i="1" a="1"/>
  <c r="K1204" i="1" a="1"/>
  <c r="K1208" i="1" a="1"/>
  <c r="K1212" i="1" a="1"/>
  <c r="K1216" i="1" a="1"/>
  <c r="K1220" i="1" a="1"/>
  <c r="K1224" i="1" a="1"/>
  <c r="K1228" i="1" a="1"/>
  <c r="K1232" i="1" a="1"/>
  <c r="K1236" i="1" a="1"/>
  <c r="K1240" i="1" a="1"/>
  <c r="K1244" i="1" a="1"/>
  <c r="K1248" i="1" a="1"/>
  <c r="K1252" i="1" a="1"/>
  <c r="K1256" i="1" a="1"/>
  <c r="K1260" i="1" a="1"/>
  <c r="K1264" i="1" a="1"/>
  <c r="K1268" i="1" a="1"/>
  <c r="K1272" i="1" a="1"/>
  <c r="K1276" i="1" a="1"/>
  <c r="K1280" i="1" a="1"/>
  <c r="K1284" i="1" a="1"/>
  <c r="K1288" i="1" a="1"/>
  <c r="K1292" i="1" a="1"/>
  <c r="K1296" i="1" a="1"/>
  <c r="K1300" i="1" a="1"/>
  <c r="K1304" i="1" a="1"/>
  <c r="K1308" i="1" a="1"/>
  <c r="K1312" i="1" a="1"/>
  <c r="K1316" i="1" a="1"/>
  <c r="K1320" i="1" a="1"/>
  <c r="K1324" i="1" a="1"/>
  <c r="K1328" i="1" a="1"/>
  <c r="K1332" i="1" a="1"/>
  <c r="K1336" i="1" a="1"/>
  <c r="K1340" i="1" a="1"/>
  <c r="K1344" i="1" a="1"/>
  <c r="K1348" i="1" a="1"/>
  <c r="K1352" i="1" a="1"/>
  <c r="K1356" i="1" a="1"/>
  <c r="K1360" i="1" a="1"/>
  <c r="K1364" i="1" a="1"/>
  <c r="K1368" i="1" a="1"/>
  <c r="K1372" i="1" a="1"/>
  <c r="K1376" i="1" a="1"/>
  <c r="K1380" i="1" a="1"/>
  <c r="K1384" i="1" a="1"/>
  <c r="K1388" i="1" a="1"/>
  <c r="K1392" i="1" a="1"/>
  <c r="K1396" i="1" a="1"/>
  <c r="K1400" i="1" a="1"/>
  <c r="K1404" i="1" a="1"/>
  <c r="K1408" i="1" a="1"/>
  <c r="K1412" i="1" a="1"/>
  <c r="K1416" i="1" a="1"/>
  <c r="K171" i="1" a="1"/>
  <c r="K732" i="1" a="1"/>
  <c r="K799" i="1" a="1"/>
  <c r="K863" i="1" a="1"/>
  <c r="K927" i="1" a="1"/>
  <c r="K1002" i="1" a="1"/>
  <c r="K1028" i="1" a="1"/>
  <c r="K1053" i="1" a="1"/>
  <c r="K1079" i="1" a="1"/>
  <c r="K1130" i="1" a="1"/>
  <c r="K1155" i="1" a="1"/>
  <c r="K1171" i="1" a="1"/>
  <c r="K1187" i="1" a="1"/>
  <c r="K1203" i="1" a="1"/>
  <c r="K1219" i="1" a="1"/>
  <c r="K1235" i="1" a="1"/>
  <c r="K1251" i="1" a="1"/>
  <c r="K1267" i="1" a="1"/>
  <c r="K1283" i="1" a="1"/>
  <c r="K1299" i="1" a="1"/>
  <c r="K1315" i="1" a="1"/>
  <c r="K1331" i="1" a="1"/>
  <c r="K1347" i="1" a="1"/>
  <c r="K1363" i="1" a="1"/>
  <c r="K1387" i="1" a="1"/>
  <c r="K1398" i="1" a="1"/>
  <c r="K1419" i="1" a="1"/>
  <c r="K1427" i="1" a="1"/>
  <c r="K1435" i="1" a="1"/>
  <c r="K1442" i="1" a="1"/>
  <c r="K1455" i="1" a="1"/>
  <c r="K1461" i="1" a="1"/>
  <c r="K1468" i="1" a="1"/>
  <c r="K1474" i="1" a="1"/>
  <c r="K1487" i="1" a="1"/>
  <c r="K1493" i="1" a="1"/>
  <c r="K1500" i="1" a="1"/>
  <c r="K1506" i="1" a="1"/>
  <c r="K1519" i="1" a="1"/>
  <c r="K1525" i="1" a="1"/>
  <c r="K1532" i="1" a="1"/>
  <c r="K1538" i="1" a="1"/>
  <c r="K1551" i="1" a="1"/>
  <c r="K1557" i="1" a="1"/>
  <c r="K1564" i="1" a="1"/>
  <c r="K1570" i="1" a="1"/>
  <c r="K1583" i="1" a="1"/>
  <c r="K1589" i="1" a="1"/>
  <c r="K1596" i="1" a="1"/>
  <c r="K1602" i="1" a="1"/>
  <c r="K1615" i="1" a="1"/>
  <c r="K1621" i="1" a="1"/>
  <c r="K1628" i="1" a="1"/>
  <c r="K1634" i="1" a="1"/>
  <c r="K1647" i="1" a="1"/>
  <c r="K1653" i="1" a="1"/>
  <c r="K1658" i="1" a="1"/>
  <c r="K1662" i="1" a="1"/>
  <c r="K1666" i="1" a="1"/>
  <c r="K1670" i="1" a="1"/>
  <c r="K1674" i="1" a="1"/>
  <c r="K1678" i="1" a="1"/>
  <c r="K1682" i="1" a="1"/>
  <c r="K1686" i="1" a="1"/>
  <c r="K1690" i="1" a="1"/>
  <c r="K1694" i="1" a="1"/>
  <c r="K1698" i="1" a="1"/>
  <c r="K1702" i="1" a="1"/>
  <c r="K1706" i="1" a="1"/>
  <c r="K1710" i="1" a="1"/>
  <c r="K1714" i="1" a="1"/>
  <c r="K1718" i="1" a="1"/>
  <c r="K1722" i="1" a="1"/>
  <c r="K1726" i="1" a="1"/>
  <c r="K1730" i="1" a="1"/>
  <c r="K1734" i="1" a="1"/>
  <c r="K1738" i="1" a="1"/>
  <c r="K1742" i="1" a="1"/>
  <c r="K1746" i="1" a="1"/>
  <c r="K1750" i="1" a="1"/>
  <c r="K1754" i="1" a="1"/>
  <c r="K1758" i="1" a="1"/>
  <c r="K1762" i="1" a="1"/>
  <c r="K1766" i="1" a="1"/>
  <c r="K1770" i="1" a="1"/>
  <c r="K1774" i="1" a="1"/>
  <c r="K1778" i="1" a="1"/>
  <c r="K1782" i="1" a="1"/>
  <c r="K1786" i="1" a="1"/>
  <c r="K1790" i="1" a="1"/>
  <c r="K1794" i="1" a="1"/>
  <c r="K1798" i="1" a="1"/>
  <c r="K1802" i="1" a="1"/>
  <c r="K1806" i="1" a="1"/>
  <c r="K1810" i="1" a="1"/>
  <c r="K1814" i="1" a="1"/>
  <c r="K1818" i="1" a="1"/>
  <c r="K1822" i="1" a="1"/>
  <c r="K1826" i="1" a="1"/>
  <c r="K1830" i="1" a="1"/>
  <c r="K1834" i="1" a="1"/>
  <c r="K1838" i="1" a="1"/>
  <c r="K1842" i="1" a="1"/>
  <c r="K1846" i="1" a="1"/>
  <c r="K1850" i="1" a="1"/>
  <c r="K1854" i="1" a="1"/>
  <c r="K1858" i="1" a="1"/>
  <c r="K1862" i="1" a="1"/>
  <c r="K529" i="1" a="1"/>
  <c r="K657" i="1" a="1"/>
  <c r="K1030" i="1" a="1"/>
  <c r="K1056" i="1" a="1"/>
  <c r="K1081" i="1" a="1"/>
  <c r="K1107" i="1" a="1"/>
  <c r="K1378" i="1" a="1"/>
  <c r="K1399" i="1" a="1"/>
  <c r="K1410" i="1" a="1"/>
  <c r="K1420" i="1" a="1"/>
  <c r="K1428" i="1" a="1"/>
  <c r="K1436" i="1" a="1"/>
  <c r="K1443" i="1" a="1"/>
  <c r="K1449" i="1" a="1"/>
  <c r="K1456" i="1" a="1"/>
  <c r="K1462" i="1" a="1"/>
  <c r="K1475" i="1" a="1"/>
  <c r="K1481" i="1" a="1"/>
  <c r="K1488" i="1" a="1"/>
  <c r="K1494" i="1" a="1"/>
  <c r="K1507" i="1" a="1"/>
  <c r="K1513" i="1" a="1"/>
  <c r="K1520" i="1" a="1"/>
  <c r="K1526" i="1" a="1"/>
  <c r="K1539" i="1" a="1"/>
  <c r="K1545" i="1" a="1"/>
  <c r="K1552" i="1" a="1"/>
  <c r="K1558" i="1" a="1"/>
  <c r="K1571" i="1" a="1"/>
  <c r="K1577" i="1" a="1"/>
  <c r="K1584" i="1" a="1"/>
  <c r="K1590" i="1" a="1"/>
  <c r="K1603" i="1" a="1"/>
  <c r="K1609" i="1" a="1"/>
  <c r="K1616" i="1" a="1"/>
  <c r="K1622" i="1" a="1"/>
  <c r="K1635" i="1" a="1"/>
  <c r="K1641" i="1" a="1"/>
  <c r="K1648" i="1" a="1"/>
  <c r="K1654" i="1" a="1"/>
  <c r="K342" i="1" a="1"/>
  <c r="K815" i="1" a="1"/>
  <c r="K879" i="1" a="1"/>
  <c r="K982" i="1" a="1"/>
  <c r="K1034" i="1" a="1"/>
  <c r="K1060" i="1" a="1"/>
  <c r="K1085" i="1" a="1"/>
  <c r="K1111" i="1" a="1"/>
  <c r="K1159" i="1" a="1"/>
  <c r="K1175" i="1" a="1"/>
  <c r="K1191" i="1" a="1"/>
  <c r="K1207" i="1" a="1"/>
  <c r="K1223" i="1" a="1"/>
  <c r="K1239" i="1" a="1"/>
  <c r="K1255" i="1" a="1"/>
  <c r="K1271" i="1" a="1"/>
  <c r="K1287" i="1" a="1"/>
  <c r="K1303" i="1" a="1"/>
  <c r="K1319" i="1" a="1"/>
  <c r="K1335" i="1" a="1"/>
  <c r="K1351" i="1" a="1"/>
  <c r="K1367" i="1" a="1"/>
  <c r="K1379" i="1" a="1"/>
  <c r="K1390" i="1" a="1"/>
  <c r="K1411" i="1" a="1"/>
  <c r="K1444" i="1" a="1"/>
  <c r="K1450" i="1" a="1"/>
  <c r="K1463" i="1" a="1"/>
  <c r="K1469" i="1" a="1"/>
  <c r="K1476" i="1" a="1"/>
  <c r="K1482" i="1" a="1"/>
  <c r="K1495" i="1" a="1"/>
  <c r="K1501" i="1" a="1"/>
  <c r="K1508" i="1" a="1"/>
  <c r="K1514" i="1" a="1"/>
  <c r="K1527" i="1" a="1"/>
  <c r="K1533" i="1" a="1"/>
  <c r="K1540" i="1" a="1"/>
  <c r="K1546" i="1" a="1"/>
  <c r="K1559" i="1" a="1"/>
  <c r="K1565" i="1" a="1"/>
  <c r="K1572" i="1" a="1"/>
  <c r="K1578" i="1" a="1"/>
  <c r="K1591" i="1" a="1"/>
  <c r="K1597" i="1" a="1"/>
  <c r="K1604" i="1" a="1"/>
  <c r="K1610" i="1" a="1"/>
  <c r="K1623" i="1" a="1"/>
  <c r="K1629" i="1" a="1"/>
  <c r="K1636" i="1" a="1"/>
  <c r="K1642" i="1" a="1"/>
  <c r="K1659" i="1" a="1"/>
  <c r="K1663" i="1" a="1"/>
  <c r="K1667" i="1" a="1"/>
  <c r="K1671" i="1" a="1"/>
  <c r="K1675" i="1" a="1"/>
  <c r="K1679" i="1" a="1"/>
  <c r="K1683" i="1" a="1"/>
  <c r="K1687" i="1" a="1"/>
  <c r="K1691" i="1" a="1"/>
  <c r="K1695" i="1" a="1"/>
  <c r="K1699" i="1" a="1"/>
  <c r="K1703" i="1" a="1"/>
  <c r="K1707" i="1" a="1"/>
  <c r="K1711" i="1" a="1"/>
  <c r="K1715" i="1" a="1"/>
  <c r="K1719" i="1" a="1"/>
  <c r="K1723" i="1" a="1"/>
  <c r="K1727" i="1" a="1"/>
  <c r="K1731" i="1" a="1"/>
  <c r="K1735" i="1" a="1"/>
  <c r="K1739" i="1" a="1"/>
  <c r="K1743" i="1" a="1"/>
  <c r="K1747" i="1" a="1"/>
  <c r="K1751" i="1" a="1"/>
  <c r="K1755" i="1" a="1"/>
  <c r="K1759" i="1" a="1"/>
  <c r="K1763" i="1" a="1"/>
  <c r="K1767" i="1" a="1"/>
  <c r="K1771" i="1" a="1"/>
  <c r="K1775" i="1" a="1"/>
  <c r="K1779" i="1" a="1"/>
  <c r="K1783" i="1" a="1"/>
  <c r="K1787" i="1" a="1"/>
  <c r="K1791" i="1" a="1"/>
  <c r="K1795" i="1" a="1"/>
  <c r="K1799" i="1" a="1"/>
  <c r="K1803" i="1" a="1"/>
  <c r="K1807" i="1" a="1"/>
  <c r="K1811" i="1" a="1"/>
  <c r="K1815" i="1" a="1"/>
  <c r="K1819" i="1" a="1"/>
  <c r="K1823" i="1" a="1"/>
  <c r="K1827" i="1" a="1"/>
  <c r="K1831" i="1" a="1"/>
  <c r="K1835" i="1" a="1"/>
  <c r="K1839" i="1" a="1"/>
  <c r="K1843" i="1" a="1"/>
  <c r="K1847" i="1" a="1"/>
  <c r="K1851" i="1" a="1"/>
  <c r="K380" i="1" a="1"/>
  <c r="K565" i="1" a="1"/>
  <c r="K1011" i="1" a="1"/>
  <c r="K1062" i="1" a="1"/>
  <c r="K1088" i="1" a="1"/>
  <c r="K1113" i="1" a="1"/>
  <c r="K1139" i="1" a="1"/>
  <c r="K1391" i="1" a="1"/>
  <c r="K1402" i="1" a="1"/>
  <c r="K1422" i="1" a="1"/>
  <c r="K1430" i="1" a="1"/>
  <c r="K1438" i="1" a="1"/>
  <c r="K1451" i="1" a="1"/>
  <c r="K1457" i="1" a="1"/>
  <c r="K1464" i="1" a="1"/>
  <c r="K1470" i="1" a="1"/>
  <c r="K1483" i="1" a="1"/>
  <c r="K1489" i="1" a="1"/>
  <c r="K1496" i="1" a="1"/>
  <c r="K1502" i="1" a="1"/>
  <c r="K1515" i="1" a="1"/>
  <c r="K1521" i="1" a="1"/>
  <c r="K1528" i="1" a="1"/>
  <c r="K1534" i="1" a="1"/>
  <c r="K1547" i="1" a="1"/>
  <c r="K1553" i="1" a="1"/>
  <c r="K1560" i="1" a="1"/>
  <c r="K1566" i="1" a="1"/>
  <c r="K1579" i="1" a="1"/>
  <c r="K1585" i="1" a="1"/>
  <c r="K1592" i="1" a="1"/>
  <c r="K1598" i="1" a="1"/>
  <c r="K1611" i="1" a="1"/>
  <c r="K1617" i="1" a="1"/>
  <c r="K1624" i="1" a="1"/>
  <c r="K1630" i="1" a="1"/>
  <c r="K1643" i="1" a="1"/>
  <c r="K1649" i="1" a="1"/>
  <c r="K1655" i="1" a="1"/>
  <c r="K433" i="1" a="1"/>
  <c r="K597" i="1" a="1"/>
  <c r="K702" i="1" a="1"/>
  <c r="K956" i="1" a="1"/>
  <c r="K992" i="1" a="1"/>
  <c r="K1017" i="1" a="1"/>
  <c r="K1043" i="1" a="1"/>
  <c r="K1094" i="1" a="1"/>
  <c r="K1120" i="1" a="1"/>
  <c r="K1145" i="1" a="1"/>
  <c r="K1383" i="1" a="1"/>
  <c r="K1394" i="1" a="1"/>
  <c r="K1415" i="1" a="1"/>
  <c r="K1424" i="1" a="1"/>
  <c r="K1432" i="1" a="1"/>
  <c r="K1440" i="1" a="1"/>
  <c r="K1446" i="1" a="1"/>
  <c r="K1459" i="1" a="1"/>
  <c r="K1465" i="1" a="1"/>
  <c r="K1472" i="1" a="1"/>
  <c r="K1478" i="1" a="1"/>
  <c r="K1491" i="1" a="1"/>
  <c r="K1497" i="1" a="1"/>
  <c r="K1504" i="1" a="1"/>
  <c r="K1510" i="1" a="1"/>
  <c r="K1523" i="1" a="1"/>
  <c r="K1529" i="1" a="1"/>
  <c r="K1536" i="1" a="1"/>
  <c r="K1542" i="1" a="1"/>
  <c r="K1555" i="1" a="1"/>
  <c r="K1561" i="1" a="1"/>
  <c r="K1568" i="1" a="1"/>
  <c r="K1574" i="1" a="1"/>
  <c r="K1587" i="1" a="1"/>
  <c r="K1593" i="1" a="1"/>
  <c r="K1600" i="1" a="1"/>
  <c r="K1606" i="1" a="1"/>
  <c r="K1619" i="1" a="1"/>
  <c r="K1625" i="1" a="1"/>
  <c r="K1632" i="1" a="1"/>
  <c r="K1638" i="1" a="1"/>
  <c r="K1651" i="1" a="1"/>
  <c r="K466" i="1" a="1"/>
  <c r="K714" i="1" a="1"/>
  <c r="K783" i="1" a="1"/>
  <c r="K847" i="1" a="1"/>
  <c r="K911" i="1" a="1"/>
  <c r="K963" i="1" a="1"/>
  <c r="K996" i="1" a="1"/>
  <c r="K1021" i="1" a="1"/>
  <c r="K1047" i="1" a="1"/>
  <c r="K1098" i="1" a="1"/>
  <c r="K1124" i="1" a="1"/>
  <c r="K1149" i="1" a="1"/>
  <c r="K1167" i="1" a="1"/>
  <c r="K1183" i="1" a="1"/>
  <c r="K1199" i="1" a="1"/>
  <c r="K1215" i="1" a="1"/>
  <c r="K1231" i="1" a="1"/>
  <c r="K1247" i="1" a="1"/>
  <c r="K1263" i="1" a="1"/>
  <c r="K1279" i="1" a="1"/>
  <c r="K1295" i="1" a="1"/>
  <c r="K1311" i="1" a="1"/>
  <c r="K1327" i="1" a="1"/>
  <c r="K1343" i="1" a="1"/>
  <c r="K1359" i="1" a="1"/>
  <c r="K1374" i="1" a="1"/>
  <c r="K1395" i="1" a="1"/>
  <c r="K1406" i="1" a="1"/>
  <c r="K1447" i="1" a="1"/>
  <c r="K1453" i="1" a="1"/>
  <c r="K1460" i="1" a="1"/>
  <c r="K1466" i="1" a="1"/>
  <c r="K1479" i="1" a="1"/>
  <c r="K1485" i="1" a="1"/>
  <c r="K1492" i="1" a="1"/>
  <c r="K1498" i="1" a="1"/>
  <c r="K1511" i="1" a="1"/>
  <c r="K1517" i="1" a="1"/>
  <c r="K1524" i="1" a="1"/>
  <c r="K1530" i="1" a="1"/>
  <c r="K1543" i="1" a="1"/>
  <c r="K1549" i="1" a="1"/>
  <c r="K1556" i="1" a="1"/>
  <c r="K1562" i="1" a="1"/>
  <c r="K1575" i="1" a="1"/>
  <c r="K1581" i="1" a="1"/>
  <c r="K1588" i="1" a="1"/>
  <c r="K1594" i="1" a="1"/>
  <c r="K1607" i="1" a="1"/>
  <c r="K1613" i="1" a="1"/>
  <c r="K1620" i="1" a="1"/>
  <c r="K1626" i="1" a="1"/>
  <c r="K1639" i="1" a="1"/>
  <c r="K1645" i="1" a="1"/>
  <c r="K1652" i="1" a="1"/>
  <c r="K1657" i="1" a="1"/>
  <c r="K1661" i="1" a="1"/>
  <c r="K1665" i="1" a="1"/>
  <c r="K1669" i="1" a="1"/>
  <c r="K1673" i="1" a="1"/>
  <c r="K1677" i="1" a="1"/>
  <c r="K1681" i="1" a="1"/>
  <c r="K1685" i="1" a="1"/>
  <c r="K1689" i="1" a="1"/>
  <c r="K1693" i="1" a="1"/>
  <c r="K1697" i="1" a="1"/>
  <c r="K1701" i="1" a="1"/>
  <c r="K1705" i="1" a="1"/>
  <c r="K1709" i="1" a="1"/>
  <c r="K1713" i="1" a="1"/>
  <c r="K1717" i="1" a="1"/>
  <c r="K1721" i="1" a="1"/>
  <c r="K1725" i="1" a="1"/>
  <c r="K1729" i="1" a="1"/>
  <c r="K1733" i="1" a="1"/>
  <c r="K1737" i="1" a="1"/>
  <c r="K1741" i="1" a="1"/>
  <c r="K1745" i="1" a="1"/>
  <c r="K1749" i="1" a="1"/>
  <c r="K1753" i="1" a="1"/>
  <c r="K1757" i="1" a="1"/>
  <c r="K1761" i="1" a="1"/>
  <c r="K1765" i="1" a="1"/>
  <c r="K1769" i="1" a="1"/>
  <c r="K1773" i="1" a="1"/>
  <c r="K1777" i="1" a="1"/>
  <c r="K1781" i="1" a="1"/>
  <c r="K1785" i="1" a="1"/>
  <c r="K1789" i="1" a="1"/>
  <c r="K1793" i="1" a="1"/>
  <c r="K1797" i="1" a="1"/>
  <c r="K1801" i="1" a="1"/>
  <c r="K1805" i="1" a="1"/>
  <c r="K1809" i="1" a="1"/>
  <c r="K1813" i="1" a="1"/>
  <c r="K1817" i="1" a="1"/>
  <c r="K1821" i="1" a="1"/>
  <c r="K1825" i="1" a="1"/>
  <c r="K1829" i="1" a="1"/>
  <c r="K1833" i="1" a="1"/>
  <c r="K1837" i="1" a="1"/>
  <c r="K1841" i="1" a="1"/>
  <c r="K1845" i="1" a="1"/>
  <c r="K1849" i="1" a="1"/>
  <c r="K1853" i="1" a="1"/>
  <c r="K1857" i="1" a="1"/>
  <c r="K1861" i="1" a="1"/>
  <c r="K1865" i="1" a="1"/>
  <c r="K1869" i="1" a="1"/>
  <c r="K1873" i="1" a="1"/>
  <c r="K1877" i="1" a="1"/>
  <c r="K1881" i="1" a="1"/>
  <c r="K1885" i="1" a="1"/>
  <c r="K1889" i="1" a="1"/>
  <c r="K1893" i="1" a="1"/>
  <c r="K1897" i="1" a="1"/>
  <c r="K1901" i="1" a="1"/>
  <c r="K1905" i="1" a="1"/>
  <c r="K1909" i="1" a="1"/>
  <c r="K1913" i="1" a="1"/>
  <c r="K1917" i="1" a="1"/>
  <c r="K1921" i="1" a="1"/>
  <c r="K1925" i="1" a="1"/>
  <c r="K1929" i="1" a="1"/>
  <c r="K1933" i="1" a="1"/>
  <c r="K1937" i="1" a="1"/>
  <c r="K1941" i="1" a="1"/>
  <c r="K1945" i="1" a="1"/>
  <c r="K1949" i="1" a="1"/>
  <c r="K1953" i="1" a="1"/>
  <c r="K1957" i="1" a="1"/>
  <c r="K1961" i="1" a="1"/>
  <c r="K1965" i="1" a="1"/>
  <c r="K1969" i="1" a="1"/>
  <c r="K1973" i="1" a="1"/>
  <c r="K1977" i="1" a="1"/>
  <c r="K1981" i="1" a="1"/>
  <c r="K1985" i="1" a="1"/>
  <c r="K1989" i="1" a="1"/>
  <c r="K1993" i="1" a="1"/>
  <c r="K1997" i="1" a="1"/>
  <c r="K2001" i="1" a="1"/>
  <c r="K2005" i="1" a="1"/>
  <c r="K2009" i="1" a="1"/>
  <c r="K2013" i="1" a="1"/>
  <c r="K2017" i="1" a="1"/>
  <c r="K2021" i="1" a="1"/>
  <c r="K2025" i="1" a="1"/>
  <c r="K2029" i="1" a="1"/>
  <c r="K2033" i="1" a="1"/>
  <c r="K2037" i="1" a="1"/>
  <c r="K2041" i="1" a="1"/>
  <c r="K2045" i="1" a="1"/>
  <c r="K2049" i="1" a="1"/>
  <c r="K2053" i="1" a="1"/>
  <c r="K2057" i="1" a="1"/>
  <c r="K2061" i="1" a="1"/>
  <c r="K2065" i="1" a="1"/>
  <c r="K2069" i="1" a="1"/>
  <c r="K2073" i="1" a="1"/>
  <c r="K2077" i="1" a="1"/>
  <c r="K2081" i="1" a="1"/>
  <c r="K2085" i="1" a="1"/>
  <c r="K2089" i="1" a="1"/>
  <c r="K2093" i="1" a="1"/>
  <c r="K2097" i="1" a="1"/>
  <c r="K2101" i="1" a="1"/>
  <c r="K2105" i="1" a="1"/>
  <c r="K2109" i="1" a="1"/>
  <c r="K2113" i="1" a="1"/>
  <c r="K2117" i="1" a="1"/>
  <c r="K2121" i="1" a="1"/>
  <c r="K2125" i="1" a="1"/>
  <c r="K2129" i="1" a="1"/>
  <c r="K2133" i="1" a="1"/>
  <c r="K2137" i="1" a="1"/>
  <c r="K2141" i="1" a="1"/>
  <c r="K2145" i="1" a="1"/>
  <c r="K2149" i="1" a="1"/>
  <c r="K2153" i="1" a="1"/>
  <c r="K2157" i="1" a="1"/>
  <c r="K2161" i="1" a="1"/>
  <c r="K2165" i="1" a="1"/>
  <c r="K2169" i="1" a="1"/>
  <c r="K2173" i="1" a="1"/>
  <c r="K2177" i="1" a="1"/>
  <c r="K2181" i="1" a="1"/>
  <c r="K2185" i="1" a="1"/>
  <c r="K2189" i="1" a="1"/>
  <c r="K2193" i="1" a="1"/>
  <c r="K2197" i="1" a="1"/>
  <c r="K2201" i="1" a="1"/>
  <c r="K2205" i="1" a="1"/>
  <c r="K2209" i="1" a="1"/>
  <c r="K2213" i="1" a="1"/>
  <c r="K2217" i="1" a="1"/>
  <c r="K2221" i="1" a="1"/>
  <c r="K2225" i="1" a="1"/>
  <c r="K2229" i="1" a="1"/>
  <c r="K2233" i="1" a="1"/>
  <c r="K2237" i="1" a="1"/>
  <c r="K2241" i="1" a="1"/>
  <c r="K2245" i="1" a="1"/>
  <c r="K2249" i="1" a="1"/>
  <c r="K831" i="1" a="1"/>
  <c r="K1015" i="1" a="1"/>
  <c r="K1117" i="1" a="1"/>
  <c r="K1195" i="1" a="1"/>
  <c r="K1259" i="1" a="1"/>
  <c r="K1323" i="1" a="1"/>
  <c r="K1382" i="1" a="1"/>
  <c r="K1423" i="1" a="1"/>
  <c r="K1452" i="1" a="1"/>
  <c r="K1477" i="1" a="1"/>
  <c r="K1503" i="1" a="1"/>
  <c r="K1554" i="1" a="1"/>
  <c r="K1580" i="1" a="1"/>
  <c r="K1605" i="1" a="1"/>
  <c r="K1631" i="1" a="1"/>
  <c r="K1656" i="1" a="1"/>
  <c r="K1672" i="1" a="1"/>
  <c r="K1688" i="1" a="1"/>
  <c r="K1704" i="1" a="1"/>
  <c r="K1720" i="1" a="1"/>
  <c r="K1736" i="1" a="1"/>
  <c r="K1752" i="1" a="1"/>
  <c r="K1768" i="1" a="1"/>
  <c r="K1784" i="1" a="1"/>
  <c r="K1800" i="1" a="1"/>
  <c r="K1816" i="1" a="1"/>
  <c r="K1832" i="1" a="1"/>
  <c r="K1848" i="1" a="1"/>
  <c r="K1860" i="1" a="1"/>
  <c r="K2253" i="1" a="1"/>
  <c r="K2259" i="1" a="1"/>
  <c r="K2272" i="1" a="1"/>
  <c r="K2278" i="1" a="1"/>
  <c r="K2285" i="1" a="1"/>
  <c r="K2291" i="1" a="1"/>
  <c r="K2304" i="1" a="1"/>
  <c r="K2310" i="1" a="1"/>
  <c r="K2317" i="1" a="1"/>
  <c r="K2323" i="1" a="1"/>
  <c r="K2336" i="1" a="1"/>
  <c r="K2342" i="1" a="1"/>
  <c r="K2349" i="1" a="1"/>
  <c r="K2355" i="1" a="1"/>
  <c r="K2368" i="1" a="1"/>
  <c r="K2374" i="1" a="1"/>
  <c r="K2381" i="1" a="1"/>
  <c r="K2387" i="1" a="1"/>
  <c r="K2400" i="1" a="1"/>
  <c r="K2406" i="1" a="1"/>
  <c r="K2413" i="1" a="1"/>
  <c r="K2419" i="1" a="1"/>
  <c r="K2432" i="1" a="1"/>
  <c r="K2438" i="1" a="1"/>
  <c r="K2445" i="1" a="1"/>
  <c r="K2451" i="1" a="1"/>
  <c r="K2464" i="1" a="1"/>
  <c r="K2470" i="1" a="1"/>
  <c r="K2477" i="1" a="1"/>
  <c r="K2483" i="1" a="1"/>
  <c r="K2496" i="1" a="1"/>
  <c r="K2502" i="1" a="1"/>
  <c r="K2509" i="1" a="1"/>
  <c r="K2515" i="1" a="1"/>
  <c r="K2519" i="1" a="1"/>
  <c r="K2523" i="1" a="1"/>
  <c r="K2527" i="1" a="1"/>
  <c r="K2531" i="1" a="1"/>
  <c r="K2535" i="1" a="1"/>
  <c r="K2539" i="1" a="1"/>
  <c r="K2543" i="1" a="1"/>
  <c r="K2547" i="1" a="1"/>
  <c r="K2551" i="1" a="1"/>
  <c r="K2555" i="1" a="1"/>
  <c r="K2559" i="1" a="1"/>
  <c r="K2563" i="1" a="1"/>
  <c r="K2567" i="1" a="1"/>
  <c r="K2571" i="1" a="1"/>
  <c r="K2575" i="1" a="1"/>
  <c r="K2579" i="1" a="1"/>
  <c r="K2583" i="1" a="1"/>
  <c r="K2587" i="1" a="1"/>
  <c r="K2591" i="1" a="1"/>
  <c r="K2595" i="1" a="1"/>
  <c r="K2599" i="1" a="1"/>
  <c r="K2603" i="1" a="1"/>
  <c r="K2607" i="1" a="1"/>
  <c r="K2611" i="1" a="1"/>
  <c r="K2615" i="1" a="1"/>
  <c r="K2619" i="1" a="1"/>
  <c r="K2623" i="1" a="1"/>
  <c r="K2627" i="1" a="1"/>
  <c r="K2631" i="1" a="1"/>
  <c r="K2635" i="1" a="1"/>
  <c r="K2639" i="1" a="1"/>
  <c r="K2643" i="1" a="1"/>
  <c r="K2647" i="1" a="1"/>
  <c r="K2651" i="1" a="1"/>
  <c r="K2655" i="1" a="1"/>
  <c r="K2659" i="1" a="1"/>
  <c r="K2663" i="1" a="1"/>
  <c r="K2667" i="1" a="1"/>
  <c r="K2671" i="1" a="1"/>
  <c r="K2675" i="1" a="1"/>
  <c r="K2679" i="1" a="1"/>
  <c r="K2683" i="1" a="1"/>
  <c r="K2687" i="1" a="1"/>
  <c r="K2691" i="1" a="1"/>
  <c r="K2695" i="1" a="1"/>
  <c r="K2699" i="1" a="1"/>
  <c r="K2703" i="1" a="1"/>
  <c r="K2707" i="1" a="1"/>
  <c r="K2711" i="1" a="1"/>
  <c r="K2715" i="1" a="1"/>
  <c r="K2719" i="1" a="1"/>
  <c r="K2723" i="1" a="1"/>
  <c r="K2727" i="1" a="1"/>
  <c r="K2731" i="1" a="1"/>
  <c r="K2735" i="1" a="1"/>
  <c r="K2739" i="1" a="1"/>
  <c r="K2743" i="1" a="1"/>
  <c r="K2747" i="1" a="1"/>
  <c r="K2751" i="1" a="1"/>
  <c r="K2755" i="1" a="1"/>
  <c r="K2759" i="1" a="1"/>
  <c r="K2763" i="1" a="1"/>
  <c r="K2767" i="1" a="1"/>
  <c r="K2771" i="1" a="1"/>
  <c r="K2775" i="1" a="1"/>
  <c r="K2779" i="1" a="1"/>
  <c r="K2783" i="1" a="1"/>
  <c r="K2787" i="1" a="1"/>
  <c r="K2791" i="1" a="1"/>
  <c r="K2795" i="1" a="1"/>
  <c r="K2799" i="1" a="1"/>
  <c r="K2803" i="1" a="1"/>
  <c r="K2807" i="1" a="1"/>
  <c r="K2811" i="1" a="1"/>
  <c r="K2815" i="1" a="1"/>
  <c r="K2819" i="1" a="1"/>
  <c r="K2823" i="1" a="1"/>
  <c r="K2827" i="1" a="1"/>
  <c r="K2831" i="1" a="1"/>
  <c r="K2835" i="1" a="1"/>
  <c r="K2839" i="1" a="1"/>
  <c r="K2843" i="1" a="1"/>
  <c r="K2847" i="1" a="1"/>
  <c r="K2851" i="1" a="1"/>
  <c r="K2855" i="1" a="1"/>
  <c r="K2859" i="1" a="1"/>
  <c r="K2863" i="1" a="1"/>
  <c r="K484" i="1" a="1"/>
  <c r="K1024" i="1" a="1"/>
  <c r="K1126" i="1" a="1"/>
  <c r="K1386" i="1" a="1"/>
  <c r="K1426" i="1" a="1"/>
  <c r="K1454" i="1" a="1"/>
  <c r="K1480" i="1" a="1"/>
  <c r="K1505" i="1" a="1"/>
  <c r="K1531" i="1" a="1"/>
  <c r="K1582" i="1" a="1"/>
  <c r="K1608" i="1" a="1"/>
  <c r="K1633" i="1" a="1"/>
  <c r="K1870" i="1" a="1"/>
  <c r="K1878" i="1" a="1"/>
  <c r="K1886" i="1" a="1"/>
  <c r="K1894" i="1" a="1"/>
  <c r="K1902" i="1" a="1"/>
  <c r="K1910" i="1" a="1"/>
  <c r="K1918" i="1" a="1"/>
  <c r="K1926" i="1" a="1"/>
  <c r="K1934" i="1" a="1"/>
  <c r="K1942" i="1" a="1"/>
  <c r="K1950" i="1" a="1"/>
  <c r="K1958" i="1" a="1"/>
  <c r="K1966" i="1" a="1"/>
  <c r="K1974" i="1" a="1"/>
  <c r="K1982" i="1" a="1"/>
  <c r="K1990" i="1" a="1"/>
  <c r="K1998" i="1" a="1"/>
  <c r="K2006" i="1" a="1"/>
  <c r="K2014" i="1" a="1"/>
  <c r="K2022" i="1" a="1"/>
  <c r="K2030" i="1" a="1"/>
  <c r="K2038" i="1" a="1"/>
  <c r="K2046" i="1" a="1"/>
  <c r="K2054" i="1" a="1"/>
  <c r="K2062" i="1" a="1"/>
  <c r="K2070" i="1" a="1"/>
  <c r="K2078" i="1" a="1"/>
  <c r="K2086" i="1" a="1"/>
  <c r="K2094" i="1" a="1"/>
  <c r="K2102" i="1" a="1"/>
  <c r="K2110" i="1" a="1"/>
  <c r="K2118" i="1" a="1"/>
  <c r="K2126" i="1" a="1"/>
  <c r="K2134" i="1" a="1"/>
  <c r="K2142" i="1" a="1"/>
  <c r="K2150" i="1" a="1"/>
  <c r="K2158" i="1" a="1"/>
  <c r="K2166" i="1" a="1"/>
  <c r="K2174" i="1" a="1"/>
  <c r="K2182" i="1" a="1"/>
  <c r="K2190" i="1" a="1"/>
  <c r="K2198" i="1" a="1"/>
  <c r="K2206" i="1" a="1"/>
  <c r="K2214" i="1" a="1"/>
  <c r="K2222" i="1" a="1"/>
  <c r="K2230" i="1" a="1"/>
  <c r="K2238" i="1" a="1"/>
  <c r="K2246" i="1" a="1"/>
  <c r="K2260" i="1" a="1"/>
  <c r="K2266" i="1" a="1"/>
  <c r="K2273" i="1" a="1"/>
  <c r="K2279" i="1" a="1"/>
  <c r="K2292" i="1" a="1"/>
  <c r="K2298" i="1" a="1"/>
  <c r="K2305" i="1" a="1"/>
  <c r="K2311" i="1" a="1"/>
  <c r="K2324" i="1" a="1"/>
  <c r="K2330" i="1" a="1"/>
  <c r="K2337" i="1" a="1"/>
  <c r="K2343" i="1" a="1"/>
  <c r="K2356" i="1" a="1"/>
  <c r="K2362" i="1" a="1"/>
  <c r="K2369" i="1" a="1"/>
  <c r="K2375" i="1" a="1"/>
  <c r="K2388" i="1" a="1"/>
  <c r="K2394" i="1" a="1"/>
  <c r="K2401" i="1" a="1"/>
  <c r="K2407" i="1" a="1"/>
  <c r="K2420" i="1" a="1"/>
  <c r="K2426" i="1" a="1"/>
  <c r="K2433" i="1" a="1"/>
  <c r="K2439" i="1" a="1"/>
  <c r="K2452" i="1" a="1"/>
  <c r="K2458" i="1" a="1"/>
  <c r="K2465" i="1" a="1"/>
  <c r="K2471" i="1" a="1"/>
  <c r="K2484" i="1" a="1"/>
  <c r="K2490" i="1" a="1"/>
  <c r="K2497" i="1" a="1"/>
  <c r="K2503" i="1" a="1"/>
  <c r="K2664" i="1" a="1"/>
  <c r="K2752" i="1" a="1"/>
  <c r="K2764" i="1" a="1"/>
  <c r="K2776" i="1" a="1"/>
  <c r="K2784" i="1" a="1"/>
  <c r="K2788" i="1" a="1"/>
  <c r="K895" i="1" a="1"/>
  <c r="K1143" i="1" a="1"/>
  <c r="K1211" i="1" a="1"/>
  <c r="K1275" i="1" a="1"/>
  <c r="K1339" i="1" a="1"/>
  <c r="K1431" i="1" a="1"/>
  <c r="K1458" i="1" a="1"/>
  <c r="K1484" i="1" a="1"/>
  <c r="K1509" i="1" a="1"/>
  <c r="K1535" i="1" a="1"/>
  <c r="K1586" i="1" a="1"/>
  <c r="K1612" i="1" a="1"/>
  <c r="K1637" i="1" a="1"/>
  <c r="K1660" i="1" a="1"/>
  <c r="K1676" i="1" a="1"/>
  <c r="K1692" i="1" a="1"/>
  <c r="K1708" i="1" a="1"/>
  <c r="K1724" i="1" a="1"/>
  <c r="K1740" i="1" a="1"/>
  <c r="K1756" i="1" a="1"/>
  <c r="K1772" i="1" a="1"/>
  <c r="K1788" i="1" a="1"/>
  <c r="K1804" i="1" a="1"/>
  <c r="K1820" i="1" a="1"/>
  <c r="K1836" i="1" a="1"/>
  <c r="K1852" i="1" a="1"/>
  <c r="K1863" i="1" a="1"/>
  <c r="K1871" i="1" a="1"/>
  <c r="K1879" i="1" a="1"/>
  <c r="K1887" i="1" a="1"/>
  <c r="K1895" i="1" a="1"/>
  <c r="K1903" i="1" a="1"/>
  <c r="K1911" i="1" a="1"/>
  <c r="K1919" i="1" a="1"/>
  <c r="K1927" i="1" a="1"/>
  <c r="K1935" i="1" a="1"/>
  <c r="K1943" i="1" a="1"/>
  <c r="K1951" i="1" a="1"/>
  <c r="K1959" i="1" a="1"/>
  <c r="K1967" i="1" a="1"/>
  <c r="K1975" i="1" a="1"/>
  <c r="K1983" i="1" a="1"/>
  <c r="K1991" i="1" a="1"/>
  <c r="K1999" i="1" a="1"/>
  <c r="K2007" i="1" a="1"/>
  <c r="K2015" i="1" a="1"/>
  <c r="K2023" i="1" a="1"/>
  <c r="K2031" i="1" a="1"/>
  <c r="K2039" i="1" a="1"/>
  <c r="K2047" i="1" a="1"/>
  <c r="K2055" i="1" a="1"/>
  <c r="K2063" i="1" a="1"/>
  <c r="K2071" i="1" a="1"/>
  <c r="K2079" i="1" a="1"/>
  <c r="K2087" i="1" a="1"/>
  <c r="K2095" i="1" a="1"/>
  <c r="K2103" i="1" a="1"/>
  <c r="K2111" i="1" a="1"/>
  <c r="K2119" i="1" a="1"/>
  <c r="K2127" i="1" a="1"/>
  <c r="K2135" i="1" a="1"/>
  <c r="K2143" i="1" a="1"/>
  <c r="K2151" i="1" a="1"/>
  <c r="K2159" i="1" a="1"/>
  <c r="K2167" i="1" a="1"/>
  <c r="K2175" i="1" a="1"/>
  <c r="K2183" i="1" a="1"/>
  <c r="K2191" i="1" a="1"/>
  <c r="K2199" i="1" a="1"/>
  <c r="K2207" i="1" a="1"/>
  <c r="K2215" i="1" a="1"/>
  <c r="K2223" i="1" a="1"/>
  <c r="K2231" i="1" a="1"/>
  <c r="K2239" i="1" a="1"/>
  <c r="K2247" i="1" a="1"/>
  <c r="K2254" i="1" a="1"/>
  <c r="K2261" i="1" a="1"/>
  <c r="K2267" i="1" a="1"/>
  <c r="K2280" i="1" a="1"/>
  <c r="K2286" i="1" a="1"/>
  <c r="K2293" i="1" a="1"/>
  <c r="K2299" i="1" a="1"/>
  <c r="K2312" i="1" a="1"/>
  <c r="K2318" i="1" a="1"/>
  <c r="K2325" i="1" a="1"/>
  <c r="K2331" i="1" a="1"/>
  <c r="K2344" i="1" a="1"/>
  <c r="K2350" i="1" a="1"/>
  <c r="K2357" i="1" a="1"/>
  <c r="K2363" i="1" a="1"/>
  <c r="K2376" i="1" a="1"/>
  <c r="K2382" i="1" a="1"/>
  <c r="K2389" i="1" a="1"/>
  <c r="K2395" i="1" a="1"/>
  <c r="K2408" i="1" a="1"/>
  <c r="K2414" i="1" a="1"/>
  <c r="K2421" i="1" a="1"/>
  <c r="K2427" i="1" a="1"/>
  <c r="K2440" i="1" a="1"/>
  <c r="K2446" i="1" a="1"/>
  <c r="K2453" i="1" a="1"/>
  <c r="K2459" i="1" a="1"/>
  <c r="K2472" i="1" a="1"/>
  <c r="K2478" i="1" a="1"/>
  <c r="K2485" i="1" a="1"/>
  <c r="K2491" i="1" a="1"/>
  <c r="K2504" i="1" a="1"/>
  <c r="K2510" i="1" a="1"/>
  <c r="K2516" i="1" a="1"/>
  <c r="K2520" i="1" a="1"/>
  <c r="K2524" i="1" a="1"/>
  <c r="K2528" i="1" a="1"/>
  <c r="K2532" i="1" a="1"/>
  <c r="K2536" i="1" a="1"/>
  <c r="K2540" i="1" a="1"/>
  <c r="K2544" i="1" a="1"/>
  <c r="K2548" i="1" a="1"/>
  <c r="K2552" i="1" a="1"/>
  <c r="K2556" i="1" a="1"/>
  <c r="K2560" i="1" a="1"/>
  <c r="K2564" i="1" a="1"/>
  <c r="K2568" i="1" a="1"/>
  <c r="K2572" i="1" a="1"/>
  <c r="K2576" i="1" a="1"/>
  <c r="K2580" i="1" a="1"/>
  <c r="K2584" i="1" a="1"/>
  <c r="K2588" i="1" a="1"/>
  <c r="K2592" i="1" a="1"/>
  <c r="K2596" i="1" a="1"/>
  <c r="K2600" i="1" a="1"/>
  <c r="K2604" i="1" a="1"/>
  <c r="K2608" i="1" a="1"/>
  <c r="K2612" i="1" a="1"/>
  <c r="K2616" i="1" a="1"/>
  <c r="K2620" i="1" a="1"/>
  <c r="K2624" i="1" a="1"/>
  <c r="K2628" i="1" a="1"/>
  <c r="K2632" i="1" a="1"/>
  <c r="K2636" i="1" a="1"/>
  <c r="K2640" i="1" a="1"/>
  <c r="K2644" i="1" a="1"/>
  <c r="K2648" i="1" a="1"/>
  <c r="K2652" i="1" a="1"/>
  <c r="K2656" i="1" a="1"/>
  <c r="K2660" i="1" a="1"/>
  <c r="K2668" i="1" a="1"/>
  <c r="K2672" i="1" a="1"/>
  <c r="K2676" i="1" a="1"/>
  <c r="K2680" i="1" a="1"/>
  <c r="K2684" i="1" a="1"/>
  <c r="K2688" i="1" a="1"/>
  <c r="K2692" i="1" a="1"/>
  <c r="K2696" i="1" a="1"/>
  <c r="K2700" i="1" a="1"/>
  <c r="K2704" i="1" a="1"/>
  <c r="K2708" i="1" a="1"/>
  <c r="K2712" i="1" a="1"/>
  <c r="K2716" i="1" a="1"/>
  <c r="K2720" i="1" a="1"/>
  <c r="K2724" i="1" a="1"/>
  <c r="K2728" i="1" a="1"/>
  <c r="K2732" i="1" a="1"/>
  <c r="K2736" i="1" a="1"/>
  <c r="K2740" i="1" a="1"/>
  <c r="K2744" i="1" a="1"/>
  <c r="K2748" i="1" a="1"/>
  <c r="K2756" i="1" a="1"/>
  <c r="K2760" i="1" a="1"/>
  <c r="K2768" i="1" a="1"/>
  <c r="K2772" i="1" a="1"/>
  <c r="K2780" i="1" a="1"/>
  <c r="K2792" i="1" a="1"/>
  <c r="K629" i="1" a="1"/>
  <c r="K1049" i="1" a="1"/>
  <c r="K1152" i="1" a="1"/>
  <c r="K1434" i="1" a="1"/>
  <c r="K1486" i="1" a="1"/>
  <c r="K1512" i="1" a="1"/>
  <c r="K1537" i="1" a="1"/>
  <c r="K1563" i="1" a="1"/>
  <c r="K1614" i="1" a="1"/>
  <c r="K1640" i="1" a="1"/>
  <c r="K1864" i="1" a="1"/>
  <c r="K1872" i="1" a="1"/>
  <c r="K1880" i="1" a="1"/>
  <c r="K1888" i="1" a="1"/>
  <c r="K1896" i="1" a="1"/>
  <c r="K1904" i="1" a="1"/>
  <c r="K1912" i="1" a="1"/>
  <c r="K1920" i="1" a="1"/>
  <c r="K1928" i="1" a="1"/>
  <c r="K1936" i="1" a="1"/>
  <c r="K1944" i="1" a="1"/>
  <c r="K1952" i="1" a="1"/>
  <c r="K1960" i="1" a="1"/>
  <c r="K1968" i="1" a="1"/>
  <c r="K1976" i="1" a="1"/>
  <c r="K1984" i="1" a="1"/>
  <c r="K1992" i="1" a="1"/>
  <c r="K2000" i="1" a="1"/>
  <c r="K2008" i="1" a="1"/>
  <c r="K2016" i="1" a="1"/>
  <c r="K2024" i="1" a="1"/>
  <c r="K2032" i="1" a="1"/>
  <c r="K2040" i="1" a="1"/>
  <c r="K2048" i="1" a="1"/>
  <c r="K2056" i="1" a="1"/>
  <c r="K2064" i="1" a="1"/>
  <c r="K2072" i="1" a="1"/>
  <c r="K2080" i="1" a="1"/>
  <c r="K2088" i="1" a="1"/>
  <c r="K2096" i="1" a="1"/>
  <c r="K2104" i="1" a="1"/>
  <c r="K2112" i="1" a="1"/>
  <c r="K2120" i="1" a="1"/>
  <c r="K2128" i="1" a="1"/>
  <c r="K2136" i="1" a="1"/>
  <c r="K2144" i="1" a="1"/>
  <c r="K2152" i="1" a="1"/>
  <c r="K2160" i="1" a="1"/>
  <c r="K2168" i="1" a="1"/>
  <c r="K2176" i="1" a="1"/>
  <c r="K2184" i="1" a="1"/>
  <c r="K2192" i="1" a="1"/>
  <c r="K2200" i="1" a="1"/>
  <c r="K2208" i="1" a="1"/>
  <c r="K2216" i="1" a="1"/>
  <c r="K2224" i="1" a="1"/>
  <c r="K2232" i="1" a="1"/>
  <c r="K2240" i="1" a="1"/>
  <c r="K2248" i="1" a="1"/>
  <c r="K2255" i="1" a="1"/>
  <c r="K2268" i="1" a="1"/>
  <c r="K2274" i="1" a="1"/>
  <c r="K2281" i="1" a="1"/>
  <c r="K2287" i="1" a="1"/>
  <c r="K2300" i="1" a="1"/>
  <c r="K2306" i="1" a="1"/>
  <c r="K2313" i="1" a="1"/>
  <c r="K2319" i="1" a="1"/>
  <c r="K2332" i="1" a="1"/>
  <c r="K2338" i="1" a="1"/>
  <c r="K2345" i="1" a="1"/>
  <c r="K2351" i="1" a="1"/>
  <c r="K2364" i="1" a="1"/>
  <c r="K2370" i="1" a="1"/>
  <c r="K2377" i="1" a="1"/>
  <c r="K2383" i="1" a="1"/>
  <c r="K2396" i="1" a="1"/>
  <c r="K2402" i="1" a="1"/>
  <c r="K2409" i="1" a="1"/>
  <c r="K2415" i="1" a="1"/>
  <c r="K2428" i="1" a="1"/>
  <c r="K2434" i="1" a="1"/>
  <c r="K2441" i="1" a="1"/>
  <c r="K2447" i="1" a="1"/>
  <c r="K2460" i="1" a="1"/>
  <c r="K2466" i="1" a="1"/>
  <c r="K2473" i="1" a="1"/>
  <c r="K2479" i="1" a="1"/>
  <c r="K2492" i="1" a="1"/>
  <c r="K2498" i="1" a="1"/>
  <c r="K2505" i="1" a="1"/>
  <c r="K2511" i="1" a="1"/>
  <c r="K720" i="1" a="1"/>
  <c r="K967" i="1" a="1"/>
  <c r="K1075" i="1" a="1"/>
  <c r="K1407" i="1" a="1"/>
  <c r="K1441" i="1" a="1"/>
  <c r="K1467" i="1" a="1"/>
  <c r="K1518" i="1" a="1"/>
  <c r="K1544" i="1" a="1"/>
  <c r="K1569" i="1" a="1"/>
  <c r="K1595" i="1" a="1"/>
  <c r="K1646" i="1" a="1"/>
  <c r="K1856" i="1" a="1"/>
  <c r="K1866" i="1" a="1"/>
  <c r="K1874" i="1" a="1"/>
  <c r="K1882" i="1" a="1"/>
  <c r="K1890" i="1" a="1"/>
  <c r="K1898" i="1" a="1"/>
  <c r="K1906" i="1" a="1"/>
  <c r="K1914" i="1" a="1"/>
  <c r="K1922" i="1" a="1"/>
  <c r="K1930" i="1" a="1"/>
  <c r="K1938" i="1" a="1"/>
  <c r="K1946" i="1" a="1"/>
  <c r="K1954" i="1" a="1"/>
  <c r="K1962" i="1" a="1"/>
  <c r="K1970" i="1" a="1"/>
  <c r="K1978" i="1" a="1"/>
  <c r="K1986" i="1" a="1"/>
  <c r="K1994" i="1" a="1"/>
  <c r="K2002" i="1" a="1"/>
  <c r="K2010" i="1" a="1"/>
  <c r="K2018" i="1" a="1"/>
  <c r="K2026" i="1" a="1"/>
  <c r="K2034" i="1" a="1"/>
  <c r="K2042" i="1" a="1"/>
  <c r="K2050" i="1" a="1"/>
  <c r="K2058" i="1" a="1"/>
  <c r="K2066" i="1" a="1"/>
  <c r="K2074" i="1" a="1"/>
  <c r="K2082" i="1" a="1"/>
  <c r="K2090" i="1" a="1"/>
  <c r="K2098" i="1" a="1"/>
  <c r="K2106" i="1" a="1"/>
  <c r="K2114" i="1" a="1"/>
  <c r="K2122" i="1" a="1"/>
  <c r="K2130" i="1" a="1"/>
  <c r="K2138" i="1" a="1"/>
  <c r="K2146" i="1" a="1"/>
  <c r="K2154" i="1" a="1"/>
  <c r="K2162" i="1" a="1"/>
  <c r="K2170" i="1" a="1"/>
  <c r="K2178" i="1" a="1"/>
  <c r="K2186" i="1" a="1"/>
  <c r="K2194" i="1" a="1"/>
  <c r="K2202" i="1" a="1"/>
  <c r="K2210" i="1" a="1"/>
  <c r="K2218" i="1" a="1"/>
  <c r="K2226" i="1" a="1"/>
  <c r="K2234" i="1" a="1"/>
  <c r="K2242" i="1" a="1"/>
  <c r="K2250" i="1" a="1"/>
  <c r="K2257" i="1" a="1"/>
  <c r="K2263" i="1" a="1"/>
  <c r="K2276" i="1" a="1"/>
  <c r="K2282" i="1" a="1"/>
  <c r="K2289" i="1" a="1"/>
  <c r="K2295" i="1" a="1"/>
  <c r="K2308" i="1" a="1"/>
  <c r="K2314" i="1" a="1"/>
  <c r="K2321" i="1" a="1"/>
  <c r="K2327" i="1" a="1"/>
  <c r="K2340" i="1" a="1"/>
  <c r="K2346" i="1" a="1"/>
  <c r="K2353" i="1" a="1"/>
  <c r="K2359" i="1" a="1"/>
  <c r="K2372" i="1" a="1"/>
  <c r="K2378" i="1" a="1"/>
  <c r="K2385" i="1" a="1"/>
  <c r="K2391" i="1" a="1"/>
  <c r="K2404" i="1" a="1"/>
  <c r="K2410" i="1" a="1"/>
  <c r="K2417" i="1" a="1"/>
  <c r="K2423" i="1" a="1"/>
  <c r="K2436" i="1" a="1"/>
  <c r="K2442" i="1" a="1"/>
  <c r="K2449" i="1" a="1"/>
  <c r="K2455" i="1" a="1"/>
  <c r="K2468" i="1" a="1"/>
  <c r="K2474" i="1" a="1"/>
  <c r="K2481" i="1" a="1"/>
  <c r="K2487" i="1" a="1"/>
  <c r="K2500" i="1" a="1"/>
  <c r="K2506" i="1" a="1"/>
  <c r="K2513" i="1" a="1"/>
  <c r="K2958" i="1" a="1"/>
  <c r="K2986" i="1" a="1"/>
  <c r="K2998" i="1" a="1"/>
  <c r="K3006" i="1" a="1"/>
  <c r="K3014" i="1" a="1"/>
  <c r="K3022" i="1" a="1"/>
  <c r="K3030" i="1" a="1"/>
  <c r="K3038" i="1" a="1"/>
  <c r="K3046" i="1" a="1"/>
  <c r="K3054" i="1" a="1"/>
  <c r="K3062" i="1" a="1"/>
  <c r="K3070" i="1" a="1"/>
  <c r="K3078" i="1" a="1"/>
  <c r="K3086" i="1" a="1"/>
  <c r="K3094" i="1" a="1"/>
  <c r="K767" i="1" a="1"/>
  <c r="K989" i="1" a="1"/>
  <c r="K1092" i="1" a="1"/>
  <c r="K1179" i="1" a="1"/>
  <c r="K1243" i="1" a="1"/>
  <c r="K1307" i="1" a="1"/>
  <c r="K1371" i="1" a="1"/>
  <c r="K1414" i="1" a="1"/>
  <c r="K1445" i="1" a="1"/>
  <c r="K1471" i="1" a="1"/>
  <c r="K1522" i="1" a="1"/>
  <c r="K1548" i="1" a="1"/>
  <c r="K1573" i="1" a="1"/>
  <c r="K1599" i="1" a="1"/>
  <c r="K1650" i="1" a="1"/>
  <c r="K1668" i="1" a="1"/>
  <c r="K1684" i="1" a="1"/>
  <c r="K1700" i="1" a="1"/>
  <c r="K1716" i="1" a="1"/>
  <c r="K1732" i="1" a="1"/>
  <c r="K1748" i="1" a="1"/>
  <c r="K1764" i="1" a="1"/>
  <c r="K1780" i="1" a="1"/>
  <c r="K1796" i="1" a="1"/>
  <c r="K1812" i="1" a="1"/>
  <c r="K1828" i="1" a="1"/>
  <c r="K1844" i="1" a="1"/>
  <c r="K1867" i="1" a="1"/>
  <c r="K1875" i="1" a="1"/>
  <c r="K1883" i="1" a="1"/>
  <c r="K1891" i="1" a="1"/>
  <c r="K1899" i="1" a="1"/>
  <c r="K1907" i="1" a="1"/>
  <c r="K1915" i="1" a="1"/>
  <c r="K1923" i="1" a="1"/>
  <c r="K1931" i="1" a="1"/>
  <c r="K1939" i="1" a="1"/>
  <c r="K1947" i="1" a="1"/>
  <c r="K1955" i="1" a="1"/>
  <c r="K1963" i="1" a="1"/>
  <c r="K1971" i="1" a="1"/>
  <c r="K1979" i="1" a="1"/>
  <c r="K1987" i="1" a="1"/>
  <c r="K1995" i="1" a="1"/>
  <c r="K2003" i="1" a="1"/>
  <c r="K2011" i="1" a="1"/>
  <c r="K2019" i="1" a="1"/>
  <c r="K2027" i="1" a="1"/>
  <c r="K2035" i="1" a="1"/>
  <c r="K2043" i="1" a="1"/>
  <c r="K2051" i="1" a="1"/>
  <c r="K2059" i="1" a="1"/>
  <c r="K2067" i="1" a="1"/>
  <c r="K2075" i="1" a="1"/>
  <c r="K2083" i="1" a="1"/>
  <c r="K2091" i="1" a="1"/>
  <c r="K2099" i="1" a="1"/>
  <c r="K2107" i="1" a="1"/>
  <c r="K2115" i="1" a="1"/>
  <c r="K2123" i="1" a="1"/>
  <c r="K2131" i="1" a="1"/>
  <c r="K2139" i="1" a="1"/>
  <c r="K2147" i="1" a="1"/>
  <c r="K2155" i="1" a="1"/>
  <c r="K2163" i="1" a="1"/>
  <c r="K2171" i="1" a="1"/>
  <c r="K2179" i="1" a="1"/>
  <c r="K2187" i="1" a="1"/>
  <c r="K2195" i="1" a="1"/>
  <c r="K2203" i="1" a="1"/>
  <c r="K2211" i="1" a="1"/>
  <c r="K2219" i="1" a="1"/>
  <c r="K2227" i="1" a="1"/>
  <c r="K2235" i="1" a="1"/>
  <c r="K2243" i="1" a="1"/>
  <c r="K2251" i="1" a="1"/>
  <c r="K2264" i="1" a="1"/>
  <c r="K2270" i="1" a="1"/>
  <c r="K2277" i="1" a="1"/>
  <c r="K2283" i="1" a="1"/>
  <c r="K2296" i="1" a="1"/>
  <c r="K2302" i="1" a="1"/>
  <c r="K2309" i="1" a="1"/>
  <c r="K2315" i="1" a="1"/>
  <c r="K2328" i="1" a="1"/>
  <c r="K2334" i="1" a="1"/>
  <c r="K2341" i="1" a="1"/>
  <c r="K2347" i="1" a="1"/>
  <c r="K2360" i="1" a="1"/>
  <c r="K2366" i="1" a="1"/>
  <c r="K2373" i="1" a="1"/>
  <c r="K2379" i="1" a="1"/>
  <c r="K2392" i="1" a="1"/>
  <c r="K2398" i="1" a="1"/>
  <c r="K2405" i="1" a="1"/>
  <c r="K2411" i="1" a="1"/>
  <c r="K2424" i="1" a="1"/>
  <c r="K2430" i="1" a="1"/>
  <c r="K2437" i="1" a="1"/>
  <c r="K2443" i="1" a="1"/>
  <c r="K2456" i="1" a="1"/>
  <c r="K2462" i="1" a="1"/>
  <c r="K2469" i="1" a="1"/>
  <c r="K2475" i="1" a="1"/>
  <c r="K2488" i="1" a="1"/>
  <c r="K2494" i="1" a="1"/>
  <c r="K2501" i="1" a="1"/>
  <c r="K2507" i="1" a="1"/>
  <c r="K2518" i="1" a="1"/>
  <c r="K2522" i="1" a="1"/>
  <c r="K2526" i="1" a="1"/>
  <c r="K2530" i="1" a="1"/>
  <c r="K2534" i="1" a="1"/>
  <c r="K2538" i="1" a="1"/>
  <c r="K2542" i="1" a="1"/>
  <c r="K2546" i="1" a="1"/>
  <c r="K2550" i="1" a="1"/>
  <c r="K2554" i="1" a="1"/>
  <c r="K2558" i="1" a="1"/>
  <c r="K2562" i="1" a="1"/>
  <c r="K2566" i="1" a="1"/>
  <c r="K2570" i="1" a="1"/>
  <c r="K2574" i="1" a="1"/>
  <c r="K2578" i="1" a="1"/>
  <c r="K2582" i="1" a="1"/>
  <c r="K2586" i="1" a="1"/>
  <c r="K2590" i="1" a="1"/>
  <c r="K2594" i="1" a="1"/>
  <c r="K2598" i="1" a="1"/>
  <c r="K2602" i="1" a="1"/>
  <c r="K2606" i="1" a="1"/>
  <c r="K2610" i="1" a="1"/>
  <c r="K2614" i="1" a="1"/>
  <c r="K2618" i="1" a="1"/>
  <c r="K2622" i="1" a="1"/>
  <c r="K2626" i="1" a="1"/>
  <c r="K2630" i="1" a="1"/>
  <c r="K2634" i="1" a="1"/>
  <c r="K2638" i="1" a="1"/>
  <c r="K2642" i="1" a="1"/>
  <c r="K2646" i="1" a="1"/>
  <c r="K2650" i="1" a="1"/>
  <c r="K2654" i="1" a="1"/>
  <c r="K2658" i="1" a="1"/>
  <c r="K2662" i="1" a="1"/>
  <c r="K2666" i="1" a="1"/>
  <c r="K2670" i="1" a="1"/>
  <c r="K2674" i="1" a="1"/>
  <c r="K2678" i="1" a="1"/>
  <c r="K2682" i="1" a="1"/>
  <c r="K2686" i="1" a="1"/>
  <c r="K2690" i="1" a="1"/>
  <c r="K2694" i="1" a="1"/>
  <c r="K2698" i="1" a="1"/>
  <c r="K2702" i="1" a="1"/>
  <c r="K2706" i="1" a="1"/>
  <c r="K2710" i="1" a="1"/>
  <c r="K2714" i="1" a="1"/>
  <c r="K2718" i="1" a="1"/>
  <c r="K2722" i="1" a="1"/>
  <c r="K2726" i="1" a="1"/>
  <c r="K2730" i="1" a="1"/>
  <c r="K2734" i="1" a="1"/>
  <c r="K2738" i="1" a="1"/>
  <c r="K2742" i="1" a="1"/>
  <c r="K2746" i="1" a="1"/>
  <c r="K2750" i="1" a="1"/>
  <c r="K2754" i="1" a="1"/>
  <c r="K2758" i="1" a="1"/>
  <c r="K2762" i="1" a="1"/>
  <c r="K2766" i="1" a="1"/>
  <c r="K2770" i="1" a="1"/>
  <c r="K2774" i="1" a="1"/>
  <c r="K2778" i="1" a="1"/>
  <c r="K2782" i="1" a="1"/>
  <c r="K2786" i="1" a="1"/>
  <c r="K2790" i="1" a="1"/>
  <c r="K2794" i="1" a="1"/>
  <c r="K2798" i="1" a="1"/>
  <c r="K2802" i="1" a="1"/>
  <c r="K2806" i="1" a="1"/>
  <c r="K2810" i="1" a="1"/>
  <c r="K2814" i="1" a="1"/>
  <c r="K2818" i="1" a="1"/>
  <c r="K2822" i="1" a="1"/>
  <c r="K2826" i="1" a="1"/>
  <c r="K2830" i="1" a="1"/>
  <c r="K2834" i="1" a="1"/>
  <c r="K2838" i="1" a="1"/>
  <c r="K2842" i="1" a="1"/>
  <c r="K2846" i="1" a="1"/>
  <c r="K2850" i="1" a="1"/>
  <c r="K2854" i="1" a="1"/>
  <c r="K2858" i="1" a="1"/>
  <c r="K2862" i="1" a="1"/>
  <c r="K2866" i="1" a="1"/>
  <c r="K2870" i="1" a="1"/>
  <c r="K2874" i="1" a="1"/>
  <c r="K2878" i="1" a="1"/>
  <c r="K2882" i="1" a="1"/>
  <c r="K2886" i="1" a="1"/>
  <c r="K2890" i="1" a="1"/>
  <c r="K2894" i="1" a="1"/>
  <c r="K2898" i="1" a="1"/>
  <c r="K2902" i="1" a="1"/>
  <c r="K2906" i="1" a="1"/>
  <c r="K2910" i="1" a="1"/>
  <c r="K2914" i="1" a="1"/>
  <c r="K2918" i="1" a="1"/>
  <c r="K2922" i="1" a="1"/>
  <c r="K2926" i="1" a="1"/>
  <c r="K2930" i="1" a="1"/>
  <c r="K2934" i="1" a="1"/>
  <c r="K2938" i="1" a="1"/>
  <c r="K2942" i="1" a="1"/>
  <c r="K2946" i="1" a="1"/>
  <c r="K2950" i="1" a="1"/>
  <c r="K2954" i="1" a="1"/>
  <c r="K2962" i="1" a="1"/>
  <c r="K2966" i="1" a="1"/>
  <c r="K2970" i="1" a="1"/>
  <c r="K2974" i="1" a="1"/>
  <c r="K2978" i="1" a="1"/>
  <c r="K2982" i="1" a="1"/>
  <c r="K2990" i="1" a="1"/>
  <c r="K2994" i="1" a="1"/>
  <c r="K3002" i="1" a="1"/>
  <c r="K3010" i="1" a="1"/>
  <c r="K3018" i="1" a="1"/>
  <c r="K3026" i="1" a="1"/>
  <c r="K3034" i="1" a="1"/>
  <c r="K3042" i="1" a="1"/>
  <c r="K3050" i="1" a="1"/>
  <c r="K3058" i="1" a="1"/>
  <c r="K3066" i="1" a="1"/>
  <c r="K3074" i="1" a="1"/>
  <c r="K3082" i="1" a="1"/>
  <c r="K1227" i="1" a="1"/>
  <c r="K1439" i="1" a="1"/>
  <c r="K1541" i="1" a="1"/>
  <c r="K1644" i="1" a="1"/>
  <c r="K1712" i="1" a="1"/>
  <c r="K1776" i="1" a="1"/>
  <c r="K1840" i="1" a="1"/>
  <c r="K2262" i="1" a="1"/>
  <c r="K2288" i="1" a="1"/>
  <c r="K2339" i="1" a="1"/>
  <c r="K2365" i="1" a="1"/>
  <c r="K2390" i="1" a="1"/>
  <c r="K2416" i="1" a="1"/>
  <c r="K2467" i="1" a="1"/>
  <c r="K2493" i="1" a="1"/>
  <c r="K2517" i="1" a="1"/>
  <c r="K2533" i="1" a="1"/>
  <c r="K2549" i="1" a="1"/>
  <c r="K2565" i="1" a="1"/>
  <c r="K2581" i="1" a="1"/>
  <c r="K2597" i="1" a="1"/>
  <c r="K2613" i="1" a="1"/>
  <c r="K2629" i="1" a="1"/>
  <c r="K2645" i="1" a="1"/>
  <c r="K2661" i="1" a="1"/>
  <c r="K2677" i="1" a="1"/>
  <c r="K2693" i="1" a="1"/>
  <c r="K2709" i="1" a="1"/>
  <c r="K2725" i="1" a="1"/>
  <c r="K2741" i="1" a="1"/>
  <c r="K2757" i="1" a="1"/>
  <c r="K2773" i="1" a="1"/>
  <c r="K2789" i="1" a="1"/>
  <c r="K2801" i="1" a="1"/>
  <c r="K2812" i="1" a="1"/>
  <c r="K2833" i="1" a="1"/>
  <c r="K2844" i="1" a="1"/>
  <c r="K2865" i="1" a="1"/>
  <c r="K2873" i="1" a="1"/>
  <c r="K2881" i="1" a="1"/>
  <c r="K2889" i="1" a="1"/>
  <c r="K2897" i="1" a="1"/>
  <c r="K2905" i="1" a="1"/>
  <c r="K2913" i="1" a="1"/>
  <c r="K2921" i="1" a="1"/>
  <c r="K2929" i="1" a="1"/>
  <c r="K2937" i="1" a="1"/>
  <c r="K2945" i="1" a="1"/>
  <c r="K2953" i="1" a="1"/>
  <c r="K2961" i="1" a="1"/>
  <c r="K2969" i="1" a="1"/>
  <c r="K2977" i="1" a="1"/>
  <c r="K2985" i="1" a="1"/>
  <c r="K2993" i="1" a="1"/>
  <c r="K3001" i="1" a="1"/>
  <c r="K3009" i="1" a="1"/>
  <c r="K3017" i="1" a="1"/>
  <c r="K3025" i="1" a="1"/>
  <c r="K3033" i="1" a="1"/>
  <c r="K3041" i="1" a="1"/>
  <c r="K3049" i="1" a="1"/>
  <c r="K3057" i="1" a="1"/>
  <c r="K3065" i="1" a="1"/>
  <c r="K3073" i="1" a="1"/>
  <c r="K3081" i="1" a="1"/>
  <c r="K3089" i="1" a="1"/>
  <c r="K3096" i="1" a="1"/>
  <c r="K3109" i="1" a="1"/>
  <c r="K3115" i="1" a="1"/>
  <c r="K3122" i="1" a="1"/>
  <c r="K3128" i="1" a="1"/>
  <c r="K3141" i="1" a="1"/>
  <c r="K3147" i="1" a="1"/>
  <c r="K3154" i="1" a="1"/>
  <c r="K3160" i="1" a="1"/>
  <c r="K3173" i="1" a="1"/>
  <c r="K3179" i="1" a="1"/>
  <c r="K3186" i="1" a="1"/>
  <c r="K3192" i="1" a="1"/>
  <c r="K3205" i="1" a="1"/>
  <c r="K3211" i="1" a="1"/>
  <c r="K3218" i="1" a="1"/>
  <c r="K3224" i="1" a="1"/>
  <c r="K3237" i="1" a="1"/>
  <c r="K3243" i="1" a="1"/>
  <c r="K3250" i="1" a="1"/>
  <c r="K3256" i="1" a="1"/>
  <c r="K3269" i="1" a="1"/>
  <c r="K3275" i="1" a="1"/>
  <c r="K3282" i="1" a="1"/>
  <c r="K3288" i="1" a="1"/>
  <c r="K3301" i="1" a="1"/>
  <c r="K3307" i="1" a="1"/>
  <c r="K3314" i="1" a="1"/>
  <c r="K3320" i="1" a="1"/>
  <c r="K3333" i="1" a="1"/>
  <c r="K3339" i="1" a="1"/>
  <c r="K3346" i="1" a="1"/>
  <c r="K3352" i="1" a="1"/>
  <c r="K3365" i="1" a="1"/>
  <c r="K3354" i="1" a="1"/>
  <c r="K1490" i="1" a="1"/>
  <c r="K1680" i="1" a="1"/>
  <c r="K1808" i="1" a="1"/>
  <c r="K2301" i="1" a="1"/>
  <c r="K2429" i="1" a="1"/>
  <c r="K2454" i="1" a="1"/>
  <c r="K2525" i="1" a="1"/>
  <c r="K2589" i="1" a="1"/>
  <c r="K2637" i="1" a="1"/>
  <c r="K2685" i="1" a="1"/>
  <c r="K2733" i="1" a="1"/>
  <c r="K2781" i="1" a="1"/>
  <c r="K2817" i="1" a="1"/>
  <c r="K2849" i="1" a="1"/>
  <c r="K2893" i="1" a="1"/>
  <c r="K2917" i="1" a="1"/>
  <c r="K2949" i="1" a="1"/>
  <c r="K2973" i="1" a="1"/>
  <c r="K2997" i="1" a="1"/>
  <c r="K3013" i="1" a="1"/>
  <c r="K3045" i="1" a="1"/>
  <c r="K3077" i="1" a="1"/>
  <c r="K3106" i="1" a="1"/>
  <c r="K3131" i="1" a="1"/>
  <c r="K3157" i="1" a="1"/>
  <c r="K3176" i="1" a="1"/>
  <c r="K3202" i="1" a="1"/>
  <c r="K3221" i="1" a="1"/>
  <c r="K3240" i="1" a="1"/>
  <c r="K3266" i="1" a="1"/>
  <c r="K3291" i="1" a="1"/>
  <c r="K3330" i="1" a="1"/>
  <c r="K3355" i="1" a="1"/>
  <c r="K3230" i="1" a="1"/>
  <c r="K1448" i="1" a="1"/>
  <c r="K1550" i="1" a="1"/>
  <c r="K1884" i="1" a="1"/>
  <c r="K1916" i="1" a="1"/>
  <c r="K1948" i="1" a="1"/>
  <c r="K1980" i="1" a="1"/>
  <c r="K2012" i="1" a="1"/>
  <c r="K2044" i="1" a="1"/>
  <c r="K2076" i="1" a="1"/>
  <c r="K2108" i="1" a="1"/>
  <c r="K2140" i="1" a="1"/>
  <c r="K2172" i="1" a="1"/>
  <c r="K2204" i="1" a="1"/>
  <c r="K2236" i="1" a="1"/>
  <c r="K2265" i="1" a="1"/>
  <c r="K2290" i="1" a="1"/>
  <c r="K2316" i="1" a="1"/>
  <c r="K2367" i="1" a="1"/>
  <c r="K2393" i="1" a="1"/>
  <c r="K2418" i="1" a="1"/>
  <c r="K2444" i="1" a="1"/>
  <c r="K2495" i="1" a="1"/>
  <c r="K2813" i="1" a="1"/>
  <c r="K2824" i="1" a="1"/>
  <c r="K2845" i="1" a="1"/>
  <c r="K2856" i="1" a="1"/>
  <c r="K3090" i="1" a="1"/>
  <c r="K3097" i="1" a="1"/>
  <c r="K3103" i="1" a="1"/>
  <c r="K3110" i="1" a="1"/>
  <c r="K3116" i="1" a="1"/>
  <c r="K3129" i="1" a="1"/>
  <c r="K3135" i="1" a="1"/>
  <c r="K3142" i="1" a="1"/>
  <c r="K3148" i="1" a="1"/>
  <c r="K3161" i="1" a="1"/>
  <c r="K3167" i="1" a="1"/>
  <c r="K3174" i="1" a="1"/>
  <c r="K3180" i="1" a="1"/>
  <c r="K3193" i="1" a="1"/>
  <c r="K3199" i="1" a="1"/>
  <c r="K3206" i="1" a="1"/>
  <c r="K3212" i="1" a="1"/>
  <c r="K3225" i="1" a="1"/>
  <c r="K3231" i="1" a="1"/>
  <c r="K3238" i="1" a="1"/>
  <c r="K3244" i="1" a="1"/>
  <c r="K3257" i="1" a="1"/>
  <c r="K3263" i="1" a="1"/>
  <c r="K3270" i="1" a="1"/>
  <c r="K3276" i="1" a="1"/>
  <c r="K3289" i="1" a="1"/>
  <c r="K3295" i="1" a="1"/>
  <c r="K3302" i="1" a="1"/>
  <c r="K3308" i="1" a="1"/>
  <c r="K3321" i="1" a="1"/>
  <c r="K3327" i="1" a="1"/>
  <c r="K3334" i="1" a="1"/>
  <c r="K3340" i="1" a="1"/>
  <c r="K3353" i="1" a="1"/>
  <c r="K3359" i="1" a="1"/>
  <c r="K3366" i="1" a="1"/>
  <c r="K3130" i="1" a="1"/>
  <c r="K3187" i="1" a="1"/>
  <c r="K3194" i="1" a="1"/>
  <c r="K3213" i="1" a="1"/>
  <c r="K3226" i="1" a="1"/>
  <c r="K3232" i="1" a="1"/>
  <c r="K3245" i="1" a="1"/>
  <c r="K3258" i="1" a="1"/>
  <c r="K3277" i="1" a="1"/>
  <c r="K3290" i="1" a="1"/>
  <c r="K3309" i="1" a="1"/>
  <c r="K3315" i="1" a="1"/>
  <c r="K3328" i="1" a="1"/>
  <c r="K3347" i="1" a="1"/>
  <c r="K1355" i="1" a="1"/>
  <c r="K2275" i="1" a="1"/>
  <c r="K2403" i="1" a="1"/>
  <c r="K2557" i="1" a="1"/>
  <c r="K2621" i="1" a="1"/>
  <c r="K2669" i="1" a="1"/>
  <c r="K2717" i="1" a="1"/>
  <c r="K2765" i="1" a="1"/>
  <c r="K2860" i="1" a="1"/>
  <c r="K2901" i="1" a="1"/>
  <c r="K2925" i="1" a="1"/>
  <c r="K2957" i="1" a="1"/>
  <c r="K2989" i="1" a="1"/>
  <c r="K3029" i="1" a="1"/>
  <c r="K3061" i="1" a="1"/>
  <c r="K3092" i="1" a="1"/>
  <c r="K3138" i="1" a="1"/>
  <c r="K3163" i="1" a="1"/>
  <c r="K3195" i="1" a="1"/>
  <c r="K3227" i="1" a="1"/>
  <c r="K3253" i="1" a="1"/>
  <c r="K3285" i="1" a="1"/>
  <c r="K3317" i="1" a="1"/>
  <c r="K3362" i="1" a="1"/>
  <c r="K3236" i="1" a="1"/>
  <c r="K3268" i="1" a="1"/>
  <c r="K3294" i="1" a="1"/>
  <c r="K3313" i="1" a="1"/>
  <c r="K3351" i="1" a="1"/>
  <c r="K952" i="1" a="1"/>
  <c r="K1291" i="1" a="1"/>
  <c r="K1567" i="1" a="1"/>
  <c r="K1664" i="1" a="1"/>
  <c r="K1728" i="1" a="1"/>
  <c r="K1792" i="1" a="1"/>
  <c r="K1855" i="1" a="1"/>
  <c r="K2269" i="1" a="1"/>
  <c r="K2294" i="1" a="1"/>
  <c r="K2320" i="1" a="1"/>
  <c r="K2371" i="1" a="1"/>
  <c r="K2397" i="1" a="1"/>
  <c r="K2422" i="1" a="1"/>
  <c r="K2448" i="1" a="1"/>
  <c r="K2499" i="1" a="1"/>
  <c r="K2521" i="1" a="1"/>
  <c r="K2537" i="1" a="1"/>
  <c r="K2553" i="1" a="1"/>
  <c r="K2569" i="1" a="1"/>
  <c r="K2585" i="1" a="1"/>
  <c r="K2601" i="1" a="1"/>
  <c r="K2617" i="1" a="1"/>
  <c r="K2633" i="1" a="1"/>
  <c r="K2649" i="1" a="1"/>
  <c r="K2665" i="1" a="1"/>
  <c r="K2681" i="1" a="1"/>
  <c r="K2697" i="1" a="1"/>
  <c r="K2713" i="1" a="1"/>
  <c r="K2729" i="1" a="1"/>
  <c r="K2745" i="1" a="1"/>
  <c r="K2761" i="1" a="1"/>
  <c r="K2777" i="1" a="1"/>
  <c r="K2793" i="1" a="1"/>
  <c r="K2804" i="1" a="1"/>
  <c r="K2825" i="1" a="1"/>
  <c r="K2836" i="1" a="1"/>
  <c r="K2857" i="1" a="1"/>
  <c r="K2867" i="1" a="1"/>
  <c r="K2875" i="1" a="1"/>
  <c r="K2883" i="1" a="1"/>
  <c r="K2891" i="1" a="1"/>
  <c r="K2899" i="1" a="1"/>
  <c r="K2907" i="1" a="1"/>
  <c r="K2915" i="1" a="1"/>
  <c r="K2923" i="1" a="1"/>
  <c r="K2931" i="1" a="1"/>
  <c r="K2939" i="1" a="1"/>
  <c r="K2947" i="1" a="1"/>
  <c r="K2955" i="1" a="1"/>
  <c r="K2963" i="1" a="1"/>
  <c r="K2971" i="1" a="1"/>
  <c r="K2979" i="1" a="1"/>
  <c r="K2987" i="1" a="1"/>
  <c r="K2995" i="1" a="1"/>
  <c r="K3003" i="1" a="1"/>
  <c r="K3011" i="1" a="1"/>
  <c r="K3019" i="1" a="1"/>
  <c r="K3027" i="1" a="1"/>
  <c r="K3035" i="1" a="1"/>
  <c r="K3043" i="1" a="1"/>
  <c r="K3051" i="1" a="1"/>
  <c r="K3059" i="1" a="1"/>
  <c r="K3067" i="1" a="1"/>
  <c r="K3075" i="1" a="1"/>
  <c r="K3083" i="1" a="1"/>
  <c r="K3098" i="1" a="1"/>
  <c r="K3104" i="1" a="1"/>
  <c r="K3117" i="1" a="1"/>
  <c r="K3123" i="1" a="1"/>
  <c r="K3136" i="1" a="1"/>
  <c r="K3149" i="1" a="1"/>
  <c r="K3155" i="1" a="1"/>
  <c r="K3162" i="1" a="1"/>
  <c r="K3168" i="1" a="1"/>
  <c r="K3181" i="1" a="1"/>
  <c r="K3200" i="1" a="1"/>
  <c r="K3219" i="1" a="1"/>
  <c r="K3251" i="1" a="1"/>
  <c r="K3264" i="1" a="1"/>
  <c r="K3283" i="1" a="1"/>
  <c r="K3296" i="1" a="1"/>
  <c r="K3322" i="1" a="1"/>
  <c r="K3341" i="1" a="1"/>
  <c r="K3360" i="1" a="1"/>
  <c r="K2573" i="1" a="1"/>
  <c r="K2877" i="1" a="1"/>
  <c r="K2933" i="1" a="1"/>
  <c r="K2981" i="1" a="1"/>
  <c r="K3021" i="1" a="1"/>
  <c r="K3053" i="1" a="1"/>
  <c r="K3085" i="1" a="1"/>
  <c r="K3112" i="1" a="1"/>
  <c r="K3144" i="1" a="1"/>
  <c r="K3208" i="1" a="1"/>
  <c r="K3272" i="1" a="1"/>
  <c r="K3304" i="1" a="1"/>
  <c r="K3336" i="1" a="1"/>
  <c r="K3134" i="1" a="1"/>
  <c r="K3262" i="1" a="1"/>
  <c r="K3332" i="1" a="1"/>
  <c r="K998" i="1" a="1"/>
  <c r="K1473" i="1" a="1"/>
  <c r="K1576" i="1" a="1"/>
  <c r="K1859" i="1" a="1"/>
  <c r="K1892" i="1" a="1"/>
  <c r="K1924" i="1" a="1"/>
  <c r="K1956" i="1" a="1"/>
  <c r="K1988" i="1" a="1"/>
  <c r="K2020" i="1" a="1"/>
  <c r="K2052" i="1" a="1"/>
  <c r="K2084" i="1" a="1"/>
  <c r="K2116" i="1" a="1"/>
  <c r="K2148" i="1" a="1"/>
  <c r="K2180" i="1" a="1"/>
  <c r="K2212" i="1" a="1"/>
  <c r="K2244" i="1" a="1"/>
  <c r="K2271" i="1" a="1"/>
  <c r="K2297" i="1" a="1"/>
  <c r="K2322" i="1" a="1"/>
  <c r="K2348" i="1" a="1"/>
  <c r="K2399" i="1" a="1"/>
  <c r="K2425" i="1" a="1"/>
  <c r="K2450" i="1" a="1"/>
  <c r="K2476" i="1" a="1"/>
  <c r="K2805" i="1" a="1"/>
  <c r="K2816" i="1" a="1"/>
  <c r="K2837" i="1" a="1"/>
  <c r="K2848" i="1" a="1"/>
  <c r="K2868" i="1" a="1"/>
  <c r="K2876" i="1" a="1"/>
  <c r="K2884" i="1" a="1"/>
  <c r="K2892" i="1" a="1"/>
  <c r="K2900" i="1" a="1"/>
  <c r="K2908" i="1" a="1"/>
  <c r="K2916" i="1" a="1"/>
  <c r="K2924" i="1" a="1"/>
  <c r="K2932" i="1" a="1"/>
  <c r="K2940" i="1" a="1"/>
  <c r="K2948" i="1" a="1"/>
  <c r="K2956" i="1" a="1"/>
  <c r="K2964" i="1" a="1"/>
  <c r="K2972" i="1" a="1"/>
  <c r="K2980" i="1" a="1"/>
  <c r="K2988" i="1" a="1"/>
  <c r="K2996" i="1" a="1"/>
  <c r="K3004" i="1" a="1"/>
  <c r="K3012" i="1" a="1"/>
  <c r="K3020" i="1" a="1"/>
  <c r="K3028" i="1" a="1"/>
  <c r="K3036" i="1" a="1"/>
  <c r="K3044" i="1" a="1"/>
  <c r="K3052" i="1" a="1"/>
  <c r="K3060" i="1" a="1"/>
  <c r="K3068" i="1" a="1"/>
  <c r="K3076" i="1" a="1"/>
  <c r="K3084" i="1" a="1"/>
  <c r="K3091" i="1" a="1"/>
  <c r="K3105" i="1" a="1"/>
  <c r="K3111" i="1" a="1"/>
  <c r="K3118" i="1" a="1"/>
  <c r="K3124" i="1" a="1"/>
  <c r="K3137" i="1" a="1"/>
  <c r="K3143" i="1" a="1"/>
  <c r="K3150" i="1" a="1"/>
  <c r="K3156" i="1" a="1"/>
  <c r="K3169" i="1" a="1"/>
  <c r="K3175" i="1" a="1"/>
  <c r="K3182" i="1" a="1"/>
  <c r="K3188" i="1" a="1"/>
  <c r="K3201" i="1" a="1"/>
  <c r="K3207" i="1" a="1"/>
  <c r="K3214" i="1" a="1"/>
  <c r="K3220" i="1" a="1"/>
  <c r="K3233" i="1" a="1"/>
  <c r="K3239" i="1" a="1"/>
  <c r="K3246" i="1" a="1"/>
  <c r="K3252" i="1" a="1"/>
  <c r="K3265" i="1" a="1"/>
  <c r="K3271" i="1" a="1"/>
  <c r="K3278" i="1" a="1"/>
  <c r="K3284" i="1" a="1"/>
  <c r="K3297" i="1" a="1"/>
  <c r="K3303" i="1" a="1"/>
  <c r="K3310" i="1" a="1"/>
  <c r="K3316" i="1" a="1"/>
  <c r="K3329" i="1" a="1"/>
  <c r="K3335" i="1" a="1"/>
  <c r="K3342" i="1" a="1"/>
  <c r="K3348" i="1" a="1"/>
  <c r="K3361" i="1" a="1"/>
  <c r="K3367" i="1" a="1"/>
  <c r="K1066" i="1" a="1"/>
  <c r="K1744" i="1" a="1"/>
  <c r="K2326" i="1" a="1"/>
  <c r="K2352" i="1" a="1"/>
  <c r="K2480" i="1" a="1"/>
  <c r="K2541" i="1" a="1"/>
  <c r="K2605" i="1" a="1"/>
  <c r="K2653" i="1" a="1"/>
  <c r="K2701" i="1" a="1"/>
  <c r="K2749" i="1" a="1"/>
  <c r="K2796" i="1" a="1"/>
  <c r="K2828" i="1" a="1"/>
  <c r="K2869" i="1" a="1"/>
  <c r="K2885" i="1" a="1"/>
  <c r="K2909" i="1" a="1"/>
  <c r="K2941" i="1" a="1"/>
  <c r="K2965" i="1" a="1"/>
  <c r="K3005" i="1" a="1"/>
  <c r="K3037" i="1" a="1"/>
  <c r="K3069" i="1" a="1"/>
  <c r="K3099" i="1" a="1"/>
  <c r="K3125" i="1" a="1"/>
  <c r="K3170" i="1" a="1"/>
  <c r="K3189" i="1" a="1"/>
  <c r="K3234" i="1" a="1"/>
  <c r="K3259" i="1" a="1"/>
  <c r="K3298" i="1" a="1"/>
  <c r="K3323" i="1" a="1"/>
  <c r="K3349" i="1" a="1"/>
  <c r="K3127" i="1" a="1"/>
  <c r="K3287" i="1" a="1"/>
  <c r="K3345" i="1" a="1"/>
  <c r="K1375" i="1" a="1"/>
  <c r="K1499" i="1" a="1"/>
  <c r="K1601" i="1" a="1"/>
  <c r="K1868" i="1" a="1"/>
  <c r="K1900" i="1" a="1"/>
  <c r="K1932" i="1" a="1"/>
  <c r="K1964" i="1" a="1"/>
  <c r="K1996" i="1" a="1"/>
  <c r="K2028" i="1" a="1"/>
  <c r="K2060" i="1" a="1"/>
  <c r="K2092" i="1" a="1"/>
  <c r="K2124" i="1" a="1"/>
  <c r="K2156" i="1" a="1"/>
  <c r="K2188" i="1" a="1"/>
  <c r="K2220" i="1" a="1"/>
  <c r="K2252" i="1" a="1"/>
  <c r="K2303" i="1" a="1"/>
  <c r="K2329" i="1" a="1"/>
  <c r="K2354" i="1" a="1"/>
  <c r="K2380" i="1" a="1"/>
  <c r="K2431" i="1" a="1"/>
  <c r="K2457" i="1" a="1"/>
  <c r="K2482" i="1" a="1"/>
  <c r="K2508" i="1" a="1"/>
  <c r="K2797" i="1" a="1"/>
  <c r="K2808" i="1" a="1"/>
  <c r="K2829" i="1" a="1"/>
  <c r="K2840" i="1" a="1"/>
  <c r="K2861" i="1" a="1"/>
  <c r="K3093" i="1" a="1"/>
  <c r="K3100" i="1" a="1"/>
  <c r="K3113" i="1" a="1"/>
  <c r="K3119" i="1" a="1"/>
  <c r="K3126" i="1" a="1"/>
  <c r="K3132" i="1" a="1"/>
  <c r="K3145" i="1" a="1"/>
  <c r="K3151" i="1" a="1"/>
  <c r="K3158" i="1" a="1"/>
  <c r="K3164" i="1" a="1"/>
  <c r="K3177" i="1" a="1"/>
  <c r="K3183" i="1" a="1"/>
  <c r="K3190" i="1" a="1"/>
  <c r="K3196" i="1" a="1"/>
  <c r="K3209" i="1" a="1"/>
  <c r="K3215" i="1" a="1"/>
  <c r="K3222" i="1" a="1"/>
  <c r="K3228" i="1" a="1"/>
  <c r="K3241" i="1" a="1"/>
  <c r="K3247" i="1" a="1"/>
  <c r="K3254" i="1" a="1"/>
  <c r="K3260" i="1" a="1"/>
  <c r="K3273" i="1" a="1"/>
  <c r="K3279" i="1" a="1"/>
  <c r="K3286" i="1" a="1"/>
  <c r="K3292" i="1" a="1"/>
  <c r="K3305" i="1" a="1"/>
  <c r="K3311" i="1" a="1"/>
  <c r="K3318" i="1" a="1"/>
  <c r="K3324" i="1" a="1"/>
  <c r="K3337" i="1" a="1"/>
  <c r="K3343" i="1" a="1"/>
  <c r="K3350" i="1" a="1"/>
  <c r="K3356" i="1" a="1"/>
  <c r="K3146" i="1" a="1"/>
  <c r="K3197" i="1" a="1"/>
  <c r="K3210" i="1" a="1"/>
  <c r="K3229" i="1" a="1"/>
  <c r="K3242" i="1" a="1"/>
  <c r="K3261" i="1" a="1"/>
  <c r="K3274" i="1" a="1"/>
  <c r="K3293" i="1" a="1"/>
  <c r="K3306" i="1" a="1"/>
  <c r="K3312" i="1" a="1"/>
  <c r="K3331" i="1" a="1"/>
  <c r="K3344" i="1" a="1"/>
  <c r="K3357" i="1" a="1"/>
  <c r="K1627" i="1" a="1"/>
  <c r="K1876" i="1" a="1"/>
  <c r="K1940" i="1" a="1"/>
  <c r="K1972" i="1" a="1"/>
  <c r="K2036" i="1" a="1"/>
  <c r="K2068" i="1" a="1"/>
  <c r="K2132" i="1" a="1"/>
  <c r="K2196" i="1" a="1"/>
  <c r="K2258" i="1" a="1"/>
  <c r="K2361" i="1" a="1"/>
  <c r="K2412" i="1" a="1"/>
  <c r="K2489" i="1" a="1"/>
  <c r="K2821" i="1" a="1"/>
  <c r="K2853" i="1" a="1"/>
  <c r="K2872" i="1" a="1"/>
  <c r="K2888" i="1" a="1"/>
  <c r="K2904" i="1" a="1"/>
  <c r="K2912" i="1" a="1"/>
  <c r="K2928" i="1" a="1"/>
  <c r="K2944" i="1" a="1"/>
  <c r="K2960" i="1" a="1"/>
  <c r="K2984" i="1" a="1"/>
  <c r="K3000" i="1" a="1"/>
  <c r="K3016" i="1" a="1"/>
  <c r="K3040" i="1" a="1"/>
  <c r="K3056" i="1" a="1"/>
  <c r="K3072" i="1" a="1"/>
  <c r="K3088" i="1" a="1"/>
  <c r="K3102" i="1" a="1"/>
  <c r="K3121" i="1" a="1"/>
  <c r="K3153" i="1" a="1"/>
  <c r="K3172" i="1" a="1"/>
  <c r="K3185" i="1" a="1"/>
  <c r="K3204" i="1" a="1"/>
  <c r="K3223" i="1" a="1"/>
  <c r="K3255" i="1" a="1"/>
  <c r="K3300" i="1" a="1"/>
  <c r="K3326" i="1" a="1"/>
  <c r="K3364" i="1" a="1"/>
  <c r="K1163" i="1" a="1"/>
  <c r="K1403" i="1" a="1"/>
  <c r="K1516" i="1" a="1"/>
  <c r="K1618" i="1" a="1"/>
  <c r="K1696" i="1" a="1"/>
  <c r="K1760" i="1" a="1"/>
  <c r="K1824" i="1" a="1"/>
  <c r="K2256" i="1" a="1"/>
  <c r="K2307" i="1" a="1"/>
  <c r="K2333" i="1" a="1"/>
  <c r="K2358" i="1" a="1"/>
  <c r="K2384" i="1" a="1"/>
  <c r="K2435" i="1" a="1"/>
  <c r="K2461" i="1" a="1"/>
  <c r="K2486" i="1" a="1"/>
  <c r="K2512" i="1" a="1"/>
  <c r="K2529" i="1" a="1"/>
  <c r="K2545" i="1" a="1"/>
  <c r="K2561" i="1" a="1"/>
  <c r="K2577" i="1" a="1"/>
  <c r="K2593" i="1" a="1"/>
  <c r="K2609" i="1" a="1"/>
  <c r="K2625" i="1" a="1"/>
  <c r="K2641" i="1" a="1"/>
  <c r="K2657" i="1" a="1"/>
  <c r="K2673" i="1" a="1"/>
  <c r="K2689" i="1" a="1"/>
  <c r="K2705" i="1" a="1"/>
  <c r="K2721" i="1" a="1"/>
  <c r="K2737" i="1" a="1"/>
  <c r="K2753" i="1" a="1"/>
  <c r="K2769" i="1" a="1"/>
  <c r="K2785" i="1" a="1"/>
  <c r="K2809" i="1" a="1"/>
  <c r="K2820" i="1" a="1"/>
  <c r="K2841" i="1" a="1"/>
  <c r="K2852" i="1" a="1"/>
  <c r="K2871" i="1" a="1"/>
  <c r="K2879" i="1" a="1"/>
  <c r="K2887" i="1" a="1"/>
  <c r="K2895" i="1" a="1"/>
  <c r="K2903" i="1" a="1"/>
  <c r="K2911" i="1" a="1"/>
  <c r="K2919" i="1" a="1"/>
  <c r="K2927" i="1" a="1"/>
  <c r="K2935" i="1" a="1"/>
  <c r="K2943" i="1" a="1"/>
  <c r="K2951" i="1" a="1"/>
  <c r="K2959" i="1" a="1"/>
  <c r="K2967" i="1" a="1"/>
  <c r="K2975" i="1" a="1"/>
  <c r="K2983" i="1" a="1"/>
  <c r="K2991" i="1" a="1"/>
  <c r="K2999" i="1" a="1"/>
  <c r="K3007" i="1" a="1"/>
  <c r="K3015" i="1" a="1"/>
  <c r="K3023" i="1" a="1"/>
  <c r="K3031" i="1" a="1"/>
  <c r="K3039" i="1" a="1"/>
  <c r="K3047" i="1" a="1"/>
  <c r="K3055" i="1" a="1"/>
  <c r="K3063" i="1" a="1"/>
  <c r="K3071" i="1" a="1"/>
  <c r="K3079" i="1" a="1"/>
  <c r="K3087" i="1" a="1"/>
  <c r="K3101" i="1" a="1"/>
  <c r="K3107" i="1" a="1"/>
  <c r="K3114" i="1" a="1"/>
  <c r="K3120" i="1" a="1"/>
  <c r="K3133" i="1" a="1"/>
  <c r="K3139" i="1" a="1"/>
  <c r="K3152" i="1" a="1"/>
  <c r="K3165" i="1" a="1"/>
  <c r="K3171" i="1" a="1"/>
  <c r="K3178" i="1" a="1"/>
  <c r="K3184" i="1" a="1"/>
  <c r="K3203" i="1" a="1"/>
  <c r="K3216" i="1" a="1"/>
  <c r="K3235" i="1" a="1"/>
  <c r="K3248" i="1" a="1"/>
  <c r="K3267" i="1" a="1"/>
  <c r="K3280" i="1" a="1"/>
  <c r="K3299" i="1" a="1"/>
  <c r="K3325" i="1" a="1"/>
  <c r="K3338" i="1" a="1"/>
  <c r="K3363" i="1" a="1"/>
  <c r="K1418" i="1" a="1"/>
  <c r="K1908" i="1" a="1"/>
  <c r="K2004" i="1" a="1"/>
  <c r="K2100" i="1" a="1"/>
  <c r="K2164" i="1" a="1"/>
  <c r="K2228" i="1" a="1"/>
  <c r="K2284" i="1" a="1"/>
  <c r="K2335" i="1" a="1"/>
  <c r="K2386" i="1" a="1"/>
  <c r="K2463" i="1" a="1"/>
  <c r="K2514" i="1" a="1"/>
  <c r="K2800" i="1" a="1"/>
  <c r="K2832" i="1" a="1"/>
  <c r="K2864" i="1" a="1"/>
  <c r="K2880" i="1" a="1"/>
  <c r="K2896" i="1" a="1"/>
  <c r="K2920" i="1" a="1"/>
  <c r="K2936" i="1" a="1"/>
  <c r="K2952" i="1" a="1"/>
  <c r="K2968" i="1" a="1"/>
  <c r="K2976" i="1" a="1"/>
  <c r="K2992" i="1" a="1"/>
  <c r="K3008" i="1" a="1"/>
  <c r="K3024" i="1" a="1"/>
  <c r="K3032" i="1" a="1"/>
  <c r="K3048" i="1" a="1"/>
  <c r="K3064" i="1" a="1"/>
  <c r="K3080" i="1" a="1"/>
  <c r="K3095" i="1" a="1"/>
  <c r="K3108" i="1" a="1"/>
  <c r="K3140" i="1" a="1"/>
  <c r="K3159" i="1" a="1"/>
  <c r="K3166" i="1" a="1"/>
  <c r="K3191" i="1" a="1"/>
  <c r="K3198" i="1" a="1"/>
  <c r="K3217" i="1" a="1"/>
  <c r="K3249" i="1" a="1"/>
  <c r="K3281" i="1" a="1"/>
  <c r="K3319" i="1" a="1"/>
  <c r="K3358" i="1" a="1"/>
  <c r="K2" i="1" a="1"/>
  <c r="C12" i="1" a="1"/>
  <c r="C11" i="1" a="1"/>
  <c r="C340" i="1" a="1"/>
  <c r="G31" i="1" a="1"/>
  <c r="G63" i="1" a="1"/>
  <c r="G95" i="1" a="1"/>
  <c r="G127" i="1" a="1"/>
  <c r="G8" i="1" a="1"/>
  <c r="G40" i="1" a="1"/>
  <c r="G72" i="1" a="1"/>
  <c r="G104" i="1" a="1"/>
  <c r="G14" i="1" a="1"/>
  <c r="G190" i="1" a="1"/>
  <c r="G5" i="1" a="1"/>
  <c r="G33" i="1" a="1"/>
  <c r="G97" i="1" a="1"/>
  <c r="G170" i="1" a="1"/>
  <c r="G234" i="1" a="1"/>
  <c r="G298" i="1" a="1"/>
  <c r="G353" i="1" a="1"/>
  <c r="G385" i="1" a="1"/>
  <c r="G417" i="1" a="1"/>
  <c r="G449" i="1" a="1"/>
  <c r="G481" i="1" a="1"/>
  <c r="G42" i="1" a="1"/>
  <c r="G106" i="1" a="1"/>
  <c r="G176" i="1" a="1"/>
  <c r="G240" i="1" a="1"/>
  <c r="G304" i="1" a="1"/>
  <c r="G149" i="1" a="1"/>
  <c r="G214" i="1" a="1"/>
  <c r="G278" i="1" a="1"/>
  <c r="G342" i="1" a="1"/>
  <c r="G374" i="1" a="1"/>
  <c r="G137" i="1" a="1"/>
  <c r="G193" i="1" a="1"/>
  <c r="G257" i="1" a="1"/>
  <c r="G321" i="1" a="1"/>
  <c r="G194" i="1" a="1"/>
  <c r="G344" i="1" a="1"/>
  <c r="G414" i="1" a="1"/>
  <c r="G491" i="1" a="1"/>
  <c r="G249" i="1" a="1"/>
  <c r="G434" i="1" a="1"/>
  <c r="G524" i="1" a="1"/>
  <c r="G588" i="1" a="1"/>
  <c r="G167" i="1" a="1"/>
  <c r="G327" i="1" a="1"/>
  <c r="G395" i="1" a="1"/>
  <c r="G486" i="1" a="1"/>
  <c r="G538" i="1" a="1"/>
  <c r="G602" i="1" a="1"/>
  <c r="G640" i="1" a="1"/>
  <c r="G672" i="1" a="1"/>
  <c r="G704" i="1" a="1"/>
  <c r="G736" i="1" a="1"/>
  <c r="G86" i="1" a="1"/>
  <c r="G253" i="1" a="1"/>
  <c r="G423" i="1" a="1"/>
  <c r="G525" i="1" a="1"/>
  <c r="G589" i="1" a="1"/>
  <c r="G185" i="1" a="1"/>
  <c r="G318" i="1" a="1"/>
  <c r="G396" i="1" a="1"/>
  <c r="G475" i="1" a="1"/>
  <c r="G201" i="1" a="1"/>
  <c r="G329" i="1" a="1"/>
  <c r="G482" i="1" a="1"/>
  <c r="G558" i="1" a="1"/>
  <c r="G37" i="1" a="1"/>
  <c r="G513" i="1" a="1"/>
  <c r="G639" i="1" a="1"/>
  <c r="G703" i="1" a="1"/>
  <c r="G269" i="1" a="1"/>
  <c r="G544" i="1" a="1"/>
  <c r="G641" i="1" a="1"/>
  <c r="G705" i="1" a="1"/>
  <c r="G279" i="1" a="1"/>
  <c r="G517" i="1" a="1"/>
  <c r="G618" i="1" a="1"/>
  <c r="G682" i="1" a="1"/>
  <c r="G746" i="1" a="1"/>
  <c r="G806" i="1" a="1"/>
  <c r="G870" i="1" a="1"/>
  <c r="G934" i="1" a="1"/>
  <c r="G998" i="1" a="1"/>
  <c r="G1062" i="1" a="1"/>
  <c r="G518" i="1" a="1"/>
  <c r="G787" i="1" a="1"/>
  <c r="G851" i="1" a="1"/>
  <c r="G915" i="1" a="1"/>
  <c r="G979" i="1" a="1"/>
  <c r="G1043" i="1" a="1"/>
  <c r="G1092" i="1" a="1"/>
  <c r="G1124" i="1" a="1"/>
  <c r="G476" i="1" a="1"/>
  <c r="G601" i="1" a="1"/>
  <c r="G667" i="1" a="1"/>
  <c r="G731" i="1" a="1"/>
  <c r="G801" i="1" a="1"/>
  <c r="G865" i="1" a="1"/>
  <c r="G929" i="1" a="1"/>
  <c r="G993" i="1" a="1"/>
  <c r="G1057" i="1" a="1"/>
  <c r="G511" i="1" a="1"/>
  <c r="G629" i="1" a="1"/>
  <c r="G693" i="1" a="1"/>
  <c r="G757" i="1" a="1"/>
  <c r="G821" i="1" a="1"/>
  <c r="G885" i="1" a="1"/>
  <c r="G949" i="1" a="1"/>
  <c r="G1013" i="1" a="1"/>
  <c r="G1076" i="1" a="1"/>
  <c r="G1109" i="1" a="1"/>
  <c r="G483" i="1" a="1"/>
  <c r="G796" i="1" a="1"/>
  <c r="G924" i="1" a="1"/>
  <c r="G1052" i="1" a="1"/>
  <c r="G1141" i="1" a="1"/>
  <c r="G810" i="1" a="1"/>
  <c r="G938" i="1" a="1"/>
  <c r="G1066" i="1" a="1"/>
  <c r="G1155" i="1" a="1"/>
  <c r="G1187" i="1" a="1"/>
  <c r="G1219" i="1" a="1"/>
  <c r="G710" i="1" a="1"/>
  <c r="G849" i="1" a="1"/>
  <c r="G977" i="1" a="1"/>
  <c r="G1118" i="1" a="1"/>
  <c r="G614" i="1" a="1"/>
  <c r="G875" i="1" a="1"/>
  <c r="G1003" i="1" a="1"/>
  <c r="G1129" i="1" a="1"/>
  <c r="G1172" i="1" a="1"/>
  <c r="G1204" i="1" a="1"/>
  <c r="G1236" i="1" a="1"/>
  <c r="G1268" i="1" a="1"/>
  <c r="G892" i="1" a="1"/>
  <c r="G1114" i="1" a="1"/>
  <c r="G1269" i="1" a="1"/>
  <c r="G1312" i="1" a="1"/>
  <c r="G1362" i="1" a="1"/>
  <c r="G301" i="1" a="1"/>
  <c r="G970" i="1" a="1"/>
  <c r="G1169" i="1" a="1"/>
  <c r="G1231" i="1" a="1"/>
  <c r="G11" i="1" a="1"/>
  <c r="G35" i="1" a="1"/>
  <c r="G67" i="1" a="1"/>
  <c r="G99" i="1" a="1"/>
  <c r="G131" i="1" a="1"/>
  <c r="G12" i="1" a="1"/>
  <c r="G44" i="1" a="1"/>
  <c r="G76" i="1" a="1"/>
  <c r="G108" i="1" a="1"/>
  <c r="G133" i="1" a="1"/>
  <c r="G195" i="1" a="1"/>
  <c r="G128" i="1" a="1"/>
  <c r="G41" i="1" a="1"/>
  <c r="G105" i="1" a="1"/>
  <c r="G175" i="1" a="1"/>
  <c r="G239" i="1" a="1"/>
  <c r="G303" i="1" a="1"/>
  <c r="G357" i="1" a="1"/>
  <c r="G389" i="1" a="1"/>
  <c r="G421" i="1" a="1"/>
  <c r="G453" i="1" a="1"/>
  <c r="G485" i="1" a="1"/>
  <c r="G50" i="1" a="1"/>
  <c r="G114" i="1" a="1"/>
  <c r="G181" i="1" a="1"/>
  <c r="G245" i="1" a="1"/>
  <c r="G309" i="1" a="1"/>
  <c r="G155" i="1" a="1"/>
  <c r="G219" i="1" a="1"/>
  <c r="G283" i="1" a="1"/>
  <c r="G346" i="1" a="1"/>
  <c r="G378" i="1" a="1"/>
  <c r="G144" i="1" a="1"/>
  <c r="G204" i="1" a="1"/>
  <c r="G268" i="1" a="1"/>
  <c r="G332" i="1" a="1"/>
  <c r="G221" i="1" a="1"/>
  <c r="G352" i="1" a="1"/>
  <c r="G420" i="1" a="1"/>
  <c r="G13" i="1" a="1"/>
  <c r="G260" i="1" a="1"/>
  <c r="G440" i="1" a="1"/>
  <c r="G533" i="1" a="1"/>
  <c r="G597" i="1" a="1"/>
  <c r="G183" i="1" a="1"/>
  <c r="G338" i="1" a="1"/>
  <c r="G403" i="1" a="1"/>
  <c r="G492" i="1" a="1"/>
  <c r="G543" i="1" a="1"/>
  <c r="G607" i="1" a="1"/>
  <c r="G644" i="1" a="1"/>
  <c r="G676" i="1" a="1"/>
  <c r="G708" i="1" a="1"/>
  <c r="G740" i="1" a="1"/>
  <c r="G118" i="1" a="1"/>
  <c r="G264" i="1" a="1"/>
  <c r="G442" i="1" a="1"/>
  <c r="G534" i="1" a="1"/>
  <c r="G598" i="1" a="1"/>
  <c r="G200" i="1" a="1"/>
  <c r="G339" i="1" a="1"/>
  <c r="G404" i="1" a="1"/>
  <c r="G494" i="1" a="1"/>
  <c r="G216" i="1" a="1"/>
  <c r="G340" i="1" a="1"/>
  <c r="G488" i="1" a="1"/>
  <c r="G563" i="1" a="1"/>
  <c r="G217" i="1" a="1"/>
  <c r="G551" i="1" a="1"/>
  <c r="G647" i="1" a="1"/>
  <c r="G711" i="1" a="1"/>
  <c r="G312" i="1" a="1"/>
  <c r="G553" i="1" a="1"/>
  <c r="G649" i="1" a="1"/>
  <c r="G713" i="1" a="1"/>
  <c r="G322" i="1" a="1"/>
  <c r="G527" i="1" a="1"/>
  <c r="G626" i="1" a="1"/>
  <c r="G690" i="1" a="1"/>
  <c r="G754" i="1" a="1"/>
  <c r="G812" i="1" a="1"/>
  <c r="G876" i="1" a="1"/>
  <c r="G940" i="1" a="1"/>
  <c r="G1004" i="1" a="1"/>
  <c r="G1068" i="1" a="1"/>
  <c r="G555" i="1" a="1"/>
  <c r="G794" i="1" a="1"/>
  <c r="G858" i="1" a="1"/>
  <c r="G922" i="1" a="1"/>
  <c r="G986" i="1" a="1"/>
  <c r="G1050" i="1" a="1"/>
  <c r="G1096" i="1" a="1"/>
  <c r="G101" i="1" a="1"/>
  <c r="G508" i="1" a="1"/>
  <c r="G610" i="1" a="1"/>
  <c r="G675" i="1" a="1"/>
  <c r="G739" i="1" a="1"/>
  <c r="G807" i="1" a="1"/>
  <c r="G871" i="1" a="1"/>
  <c r="G935" i="1" a="1"/>
  <c r="G999" i="1" a="1"/>
  <c r="G1063" i="1" a="1"/>
  <c r="G521" i="1" a="1"/>
  <c r="G637" i="1" a="1"/>
  <c r="G701" i="1" a="1"/>
  <c r="G763" i="1" a="1"/>
  <c r="G827" i="1" a="1"/>
  <c r="G891" i="1" a="1"/>
  <c r="G955" i="1" a="1"/>
  <c r="G1019" i="1" a="1"/>
  <c r="G1081" i="1" a="1"/>
  <c r="G132" i="1" a="1"/>
  <c r="G568" i="1" a="1"/>
  <c r="G809" i="1" a="1"/>
  <c r="G937" i="1" a="1"/>
  <c r="G1065" i="1" a="1"/>
  <c r="G1150" i="1" a="1"/>
  <c r="G835" i="1" a="1"/>
  <c r="G963" i="1" a="1"/>
  <c r="G1078" i="1" a="1"/>
  <c r="G1159" i="1" a="1"/>
  <c r="G1191" i="1" a="1"/>
  <c r="G1223" i="1" a="1"/>
  <c r="G742" i="1" a="1"/>
  <c r="G862" i="1" a="1"/>
  <c r="G3" i="1" a="1"/>
  <c r="G39" i="1" a="1"/>
  <c r="G71" i="1" a="1"/>
  <c r="G103" i="1" a="1"/>
  <c r="G135" i="1" a="1"/>
  <c r="G16" i="1" a="1"/>
  <c r="G48" i="1" a="1"/>
  <c r="G80" i="1" a="1"/>
  <c r="G112" i="1" a="1"/>
  <c r="G140" i="1" a="1"/>
  <c r="G206" i="1" a="1"/>
  <c r="G134" i="1" a="1"/>
  <c r="G49" i="1" a="1"/>
  <c r="G113" i="1" a="1"/>
  <c r="G186" i="1" a="1"/>
  <c r="G250" i="1" a="1"/>
  <c r="G314" i="1" a="1"/>
  <c r="G361" i="1" a="1"/>
  <c r="G393" i="1" a="1"/>
  <c r="G425" i="1" a="1"/>
  <c r="G457" i="1" a="1"/>
  <c r="G489" i="1" a="1"/>
  <c r="G58" i="1" a="1"/>
  <c r="G122" i="1" a="1"/>
  <c r="G192" i="1" a="1"/>
  <c r="G256" i="1" a="1"/>
  <c r="G320" i="1" a="1"/>
  <c r="G166" i="1" a="1"/>
  <c r="G230" i="1" a="1"/>
  <c r="G294" i="1" a="1"/>
  <c r="G350" i="1" a="1"/>
  <c r="G382" i="1" a="1"/>
  <c r="G150" i="1" a="1"/>
  <c r="G209" i="1" a="1"/>
  <c r="G273" i="1" a="1"/>
  <c r="G337" i="1" a="1"/>
  <c r="G259" i="1" a="1"/>
  <c r="G360" i="1" a="1"/>
  <c r="G427" i="1" a="1"/>
  <c r="G46" i="1" a="1"/>
  <c r="G281" i="1" a="1"/>
  <c r="G447" i="1" a="1"/>
  <c r="G542" i="1" a="1"/>
  <c r="G606" i="1" a="1"/>
  <c r="G196" i="1" a="1"/>
  <c r="G347" i="1" a="1"/>
  <c r="G422" i="1" a="1"/>
  <c r="G499" i="1" a="1"/>
  <c r="G552" i="1" a="1"/>
  <c r="G616" i="1" a="1"/>
  <c r="G648" i="1" a="1"/>
  <c r="G680" i="1" a="1"/>
  <c r="G712" i="1" a="1"/>
  <c r="G744" i="1" a="1"/>
  <c r="G145" i="1" a="1"/>
  <c r="G285" i="1" a="1"/>
  <c r="G448" i="1" a="1"/>
  <c r="G539" i="1" a="1"/>
  <c r="G603" i="1" a="1"/>
  <c r="G215" i="1" a="1"/>
  <c r="G348" i="1" a="1"/>
  <c r="G411" i="1" a="1"/>
  <c r="G30" i="1" a="1"/>
  <c r="G231" i="1" a="1"/>
  <c r="G418" i="1" a="1"/>
  <c r="G495" i="1" a="1"/>
  <c r="G572" i="1" a="1"/>
  <c r="G311" i="1" a="1"/>
  <c r="G560" i="1" a="1"/>
  <c r="G655" i="1" a="1"/>
  <c r="G719" i="1" a="1"/>
  <c r="G439" i="1" a="1"/>
  <c r="G562" i="1" a="1"/>
  <c r="G657" i="1" a="1"/>
  <c r="G721" i="1" a="1"/>
  <c r="G359" i="1" a="1"/>
  <c r="G536" i="1" a="1"/>
  <c r="G634" i="1" a="1"/>
  <c r="G698" i="1" a="1"/>
  <c r="G761" i="1" a="1"/>
  <c r="G825" i="1" a="1"/>
  <c r="G889" i="1" a="1"/>
  <c r="G953" i="1" a="1"/>
  <c r="G1017" i="1" a="1"/>
  <c r="G70" i="1" a="1"/>
  <c r="G564" i="1" a="1"/>
  <c r="G800" i="1" a="1"/>
  <c r="G864" i="1" a="1"/>
  <c r="G928" i="1" a="1"/>
  <c r="G992" i="1" a="1"/>
  <c r="G1056" i="1" a="1"/>
  <c r="G1100" i="1" a="1"/>
  <c r="G189" i="1" a="1"/>
  <c r="G519" i="1" a="1"/>
  <c r="G619" i="1" a="1"/>
  <c r="G683" i="1" a="1"/>
  <c r="G747" i="1" a="1"/>
  <c r="G814" i="1" a="1"/>
  <c r="G878" i="1" a="1"/>
  <c r="G942" i="1" a="1"/>
  <c r="G1006" i="1" a="1"/>
  <c r="G1070" i="1" a="1"/>
  <c r="G530" i="1" a="1"/>
  <c r="G645" i="1" a="1"/>
  <c r="G709" i="1" a="1"/>
  <c r="G770" i="1" a="1"/>
  <c r="G834" i="1" a="1"/>
  <c r="G898" i="1" a="1"/>
  <c r="G962" i="1" a="1"/>
  <c r="G1026" i="1" a="1"/>
  <c r="G1085" i="1" a="1"/>
  <c r="G343" i="1" a="1"/>
  <c r="G638" i="1" a="1"/>
  <c r="G822" i="1" a="1"/>
  <c r="G950" i="1" a="1"/>
  <c r="G1077" i="1" a="1"/>
  <c r="G205" i="1" a="1"/>
  <c r="G848" i="1" a="1"/>
  <c r="G976" i="1" a="1"/>
  <c r="G1086" i="1" a="1"/>
  <c r="G1163" i="1" a="1"/>
  <c r="G1195" i="1" a="1"/>
  <c r="G258" i="1" a="1"/>
  <c r="G759" i="1" a="1"/>
  <c r="G887" i="1" a="1"/>
  <c r="G1015" i="1" a="1"/>
  <c r="G1133" i="1" a="1"/>
  <c r="G773" i="1" a="1"/>
  <c r="G901" i="1" a="1"/>
  <c r="G1029" i="1" a="1"/>
  <c r="G1147" i="1" a="1"/>
  <c r="G1180" i="1" a="1"/>
  <c r="G7" i="1" a="1"/>
  <c r="G43" i="1" a="1"/>
  <c r="G75" i="1" a="1"/>
  <c r="G107" i="1" a="1"/>
  <c r="G139" i="1" a="1"/>
  <c r="G20" i="1" a="1"/>
  <c r="G52" i="1" a="1"/>
  <c r="G84" i="1" a="1"/>
  <c r="G116" i="1" a="1"/>
  <c r="G146" i="1" a="1"/>
  <c r="G211" i="1" a="1"/>
  <c r="G153" i="1" a="1"/>
  <c r="G57" i="1" a="1"/>
  <c r="G121" i="1" a="1"/>
  <c r="G191" i="1" a="1"/>
  <c r="G255" i="1" a="1"/>
  <c r="G319" i="1" a="1"/>
  <c r="G365" i="1" a="1"/>
  <c r="G397" i="1" a="1"/>
  <c r="G429" i="1" a="1"/>
  <c r="G461" i="1" a="1"/>
  <c r="G493" i="1" a="1"/>
  <c r="G66" i="1" a="1"/>
  <c r="G129" i="1" a="1"/>
  <c r="G197" i="1" a="1"/>
  <c r="G261" i="1" a="1"/>
  <c r="G325" i="1" a="1"/>
  <c r="G171" i="1" a="1"/>
  <c r="G235" i="1" a="1"/>
  <c r="G299" i="1" a="1"/>
  <c r="G354" i="1" a="1"/>
  <c r="G386" i="1" a="1"/>
  <c r="G156" i="1" a="1"/>
  <c r="G220" i="1" a="1"/>
  <c r="G284" i="1" a="1"/>
  <c r="G45" i="1" a="1"/>
  <c r="G270" i="1" a="1"/>
  <c r="G368" i="1" a="1"/>
  <c r="G446" i="1" a="1"/>
  <c r="G78" i="1" a="1"/>
  <c r="G292" i="1" a="1"/>
  <c r="G466" i="1" a="1"/>
  <c r="G547" i="1" a="1"/>
  <c r="G611" i="1" a="1"/>
  <c r="G226" i="1" a="1"/>
  <c r="G355" i="1" a="1"/>
  <c r="G428" i="1" a="1"/>
  <c r="G504" i="1" a="1"/>
  <c r="G561" i="1" a="1"/>
  <c r="G620" i="1" a="1"/>
  <c r="G652" i="1" a="1"/>
  <c r="G684" i="1" a="1"/>
  <c r="G716" i="1" a="1"/>
  <c r="G748" i="1" a="1"/>
  <c r="G168" i="1" a="1"/>
  <c r="G296" i="1" a="1"/>
  <c r="G455" i="1" a="1"/>
  <c r="G548" i="1" a="1"/>
  <c r="G612" i="1" a="1"/>
  <c r="G228" i="1" a="1"/>
  <c r="G356" i="1" a="1"/>
  <c r="G430" i="1" a="1"/>
  <c r="G62" i="1" a="1"/>
  <c r="G244" i="1" a="1"/>
  <c r="G424" i="1" a="1"/>
  <c r="G506" i="1" a="1"/>
  <c r="G581" i="1" a="1"/>
  <c r="G351" i="1" a="1"/>
  <c r="G569" i="1" a="1"/>
  <c r="G663" i="1" a="1"/>
  <c r="G727" i="1" a="1"/>
  <c r="G464" i="1" a="1"/>
  <c r="G599" i="1" a="1"/>
  <c r="G665" i="1" a="1"/>
  <c r="G729" i="1" a="1"/>
  <c r="G391" i="1" a="1"/>
  <c r="G545" i="1" a="1"/>
  <c r="G642" i="1" a="1"/>
  <c r="G706" i="1" a="1"/>
  <c r="G767" i="1" a="1"/>
  <c r="G831" i="1" a="1"/>
  <c r="G895" i="1" a="1"/>
  <c r="G959" i="1" a="1"/>
  <c r="G1023" i="1" a="1"/>
  <c r="G178" i="1" a="1"/>
  <c r="G573" i="1" a="1"/>
  <c r="G813" i="1" a="1"/>
  <c r="G877" i="1" a="1"/>
  <c r="G941" i="1" a="1"/>
  <c r="G1005" i="1" a="1"/>
  <c r="G1069" i="1" a="1"/>
  <c r="G1104" i="1" a="1"/>
  <c r="G247" i="1" a="1"/>
  <c r="G528" i="1" a="1"/>
  <c r="G627" i="1" a="1"/>
  <c r="G691" i="1" a="1"/>
  <c r="G755" i="1" a="1"/>
  <c r="G820" i="1" a="1"/>
  <c r="G884" i="1" a="1"/>
  <c r="G948" i="1" a="1"/>
  <c r="G1012" i="1" a="1"/>
  <c r="G102" i="1" a="1"/>
  <c r="G567" i="1" a="1"/>
  <c r="G653" i="1" a="1"/>
  <c r="G717" i="1" a="1"/>
  <c r="G776" i="1" a="1"/>
  <c r="G840" i="1" a="1"/>
  <c r="G904" i="1" a="1"/>
  <c r="G968" i="1" a="1"/>
  <c r="G1032" i="1" a="1"/>
  <c r="G1089" i="1" a="1"/>
  <c r="G522" i="1" a="1"/>
  <c r="G670" i="1" a="1"/>
  <c r="G847" i="1" a="1"/>
  <c r="G975" i="1" a="1"/>
  <c r="G1111" i="1" a="1"/>
  <c r="G532" i="1" a="1"/>
  <c r="G861" i="1" a="1"/>
  <c r="G989" i="1" a="1"/>
  <c r="G1099" i="1" a="1"/>
  <c r="G1167" i="1" a="1"/>
  <c r="G1199" i="1" a="1"/>
  <c r="G406" i="1" a="1"/>
  <c r="G772" i="1" a="1"/>
  <c r="G900" i="1" a="1"/>
  <c r="G1028" i="1" a="1"/>
  <c r="G1142" i="1" a="1"/>
  <c r="G786" i="1" a="1"/>
  <c r="G914" i="1" a="1"/>
  <c r="G1042" i="1" a="1"/>
  <c r="G1152" i="1" a="1"/>
  <c r="G1184" i="1" a="1"/>
  <c r="G15" i="1" a="1"/>
  <c r="G47" i="1" a="1"/>
  <c r="G79" i="1" a="1"/>
  <c r="G111" i="1" a="1"/>
  <c r="G143" i="1" a="1"/>
  <c r="G24" i="1" a="1"/>
  <c r="G56" i="1" a="1"/>
  <c r="G88" i="1" a="1"/>
  <c r="G120" i="1" a="1"/>
  <c r="G158" i="1" a="1"/>
  <c r="G222" i="1" a="1"/>
  <c r="G164" i="1" a="1"/>
  <c r="G65" i="1" a="1"/>
  <c r="G141" i="1" a="1"/>
  <c r="G202" i="1" a="1"/>
  <c r="G266" i="1" a="1"/>
  <c r="G330" i="1" a="1"/>
  <c r="G369" i="1" a="1"/>
  <c r="G401" i="1" a="1"/>
  <c r="G433" i="1" a="1"/>
  <c r="G465" i="1" a="1"/>
  <c r="G497" i="1" a="1"/>
  <c r="G74" i="1" a="1"/>
  <c r="G136" i="1" a="1"/>
  <c r="G208" i="1" a="1"/>
  <c r="G272" i="1" a="1"/>
  <c r="G336" i="1" a="1"/>
  <c r="G182" i="1" a="1"/>
  <c r="G246" i="1" a="1"/>
  <c r="G310" i="1" a="1"/>
  <c r="G358" i="1" a="1"/>
  <c r="G390" i="1" a="1"/>
  <c r="G161" i="1" a="1"/>
  <c r="G225" i="1" a="1"/>
  <c r="G289" i="1" a="1"/>
  <c r="G77" i="1" a="1"/>
  <c r="G291" i="1" a="1"/>
  <c r="G376" i="1" a="1"/>
  <c r="G452" i="1" a="1"/>
  <c r="G110" i="1" a="1"/>
  <c r="G313" i="1" a="1"/>
  <c r="G472" i="1" a="1"/>
  <c r="G556" i="1" a="1"/>
  <c r="G21" i="1" a="1"/>
  <c r="G263" i="1" a="1"/>
  <c r="G363" i="1" a="1"/>
  <c r="G435" i="1" a="1"/>
  <c r="G509" i="1" a="1"/>
  <c r="G570" i="1" a="1"/>
  <c r="G624" i="1" a="1"/>
  <c r="G656" i="1" a="1"/>
  <c r="G688" i="1" a="1"/>
  <c r="G720" i="1" a="1"/>
  <c r="G752" i="1" a="1"/>
  <c r="G184" i="1" a="1"/>
  <c r="G317" i="1" a="1"/>
  <c r="G474" i="1" a="1"/>
  <c r="G557" i="1" a="1"/>
  <c r="G29" i="1" a="1"/>
  <c r="G254" i="1" a="1"/>
  <c r="G364" i="1" a="1"/>
  <c r="G436" i="1" a="1"/>
  <c r="G94" i="1" a="1"/>
  <c r="G265" i="1" a="1"/>
  <c r="G431" i="1" a="1"/>
  <c r="G526" i="1" a="1"/>
  <c r="G590" i="1" a="1"/>
  <c r="G383" i="1" a="1"/>
  <c r="G578" i="1" a="1"/>
  <c r="G671" i="1" a="1"/>
  <c r="G735" i="1" a="1"/>
  <c r="G490" i="1" a="1"/>
  <c r="G608" i="1" a="1"/>
  <c r="G673" i="1" a="1"/>
  <c r="G737" i="1" a="1"/>
  <c r="G419" i="1" a="1"/>
  <c r="G554" i="1" a="1"/>
  <c r="G650" i="1" a="1"/>
  <c r="G714" i="1" a="1"/>
  <c r="G774" i="1" a="1"/>
  <c r="G838" i="1" a="1"/>
  <c r="G902" i="1" a="1"/>
  <c r="G966" i="1" a="1"/>
  <c r="G1030" i="1" a="1"/>
  <c r="G233" i="1" a="1"/>
  <c r="G582" i="1" a="1"/>
  <c r="G819" i="1" a="1"/>
  <c r="G883" i="1" a="1"/>
  <c r="G947" i="1" a="1"/>
  <c r="G1011" i="1" a="1"/>
  <c r="G1075" i="1" a="1"/>
  <c r="G1108" i="1" a="1"/>
  <c r="G290" i="1" a="1"/>
  <c r="G537" i="1" a="1"/>
  <c r="G635" i="1" a="1"/>
  <c r="G699" i="1" a="1"/>
  <c r="G769" i="1" a="1"/>
  <c r="G833" i="1" a="1"/>
  <c r="G897" i="1" a="1"/>
  <c r="G961" i="1" a="1"/>
  <c r="G1025" i="1" a="1"/>
  <c r="G248" i="1" a="1"/>
  <c r="G576" i="1" a="1"/>
  <c r="G661" i="1" a="1"/>
  <c r="G725" i="1" a="1"/>
  <c r="G789" i="1" a="1"/>
  <c r="G853" i="1" a="1"/>
  <c r="G917" i="1" a="1"/>
  <c r="G981" i="1" a="1"/>
  <c r="G1045" i="1" a="1"/>
  <c r="G1093" i="1" a="1"/>
  <c r="G458" i="1" a="1"/>
  <c r="G702" i="1" a="1"/>
  <c r="G860" i="1" a="1"/>
  <c r="G988" i="1" a="1"/>
  <c r="G1117" i="1" a="1"/>
  <c r="G605" i="1" a="1"/>
  <c r="G874" i="1" a="1"/>
  <c r="G1002" i="1" a="1"/>
  <c r="G1106" i="1" a="1"/>
  <c r="G1171" i="1" a="1"/>
  <c r="G1203" i="1" a="1"/>
  <c r="G501" i="1" a="1"/>
  <c r="G785" i="1" a="1"/>
  <c r="G913" i="1" a="1"/>
  <c r="G1041" i="1" a="1"/>
  <c r="G1151" i="1" a="1"/>
  <c r="G811" i="1" a="1"/>
  <c r="G939" i="1" a="1"/>
  <c r="G1067" i="1" a="1"/>
  <c r="G1156" i="1" a="1"/>
  <c r="G1188" i="1" a="1"/>
  <c r="G1220" i="1" a="1"/>
  <c r="G1252" i="1" a="1"/>
  <c r="G764" i="1" a="1"/>
  <c r="G1020" i="1" a="1"/>
  <c r="G1230" i="1" a="1"/>
  <c r="G1290" i="1" a="1"/>
  <c r="G1333" i="1" a="1"/>
  <c r="G1394" i="1" a="1"/>
  <c r="G842" i="1" a="1"/>
  <c r="G1090" i="1" a="1"/>
  <c r="G1201" i="1" a="1"/>
  <c r="G1275" i="1" a="1"/>
  <c r="G19" i="1" a="1"/>
  <c r="G51" i="1" a="1"/>
  <c r="G83" i="1" a="1"/>
  <c r="G115" i="1" a="1"/>
  <c r="G147" i="1" a="1"/>
  <c r="G28" i="1" a="1"/>
  <c r="G60" i="1" a="1"/>
  <c r="G92" i="1" a="1"/>
  <c r="G124" i="1" a="1"/>
  <c r="G163" i="1" a="1"/>
  <c r="G227" i="1" a="1"/>
  <c r="G169" i="1" a="1"/>
  <c r="G73" i="1" a="1"/>
  <c r="G148" i="1" a="1"/>
  <c r="G207" i="1" a="1"/>
  <c r="G271" i="1" a="1"/>
  <c r="G335" i="1" a="1"/>
  <c r="G373" i="1" a="1"/>
  <c r="G405" i="1" a="1"/>
  <c r="G437" i="1" a="1"/>
  <c r="G469" i="1" a="1"/>
  <c r="G18" i="1" a="1"/>
  <c r="G82" i="1" a="1"/>
  <c r="G142" i="1" a="1"/>
  <c r="G213" i="1" a="1"/>
  <c r="G277" i="1" a="1"/>
  <c r="G341" i="1" a="1"/>
  <c r="G187" i="1" a="1"/>
  <c r="G251" i="1" a="1"/>
  <c r="G315" i="1" a="1"/>
  <c r="G362" i="1" a="1"/>
  <c r="G394" i="1" a="1"/>
  <c r="G172" i="1" a="1"/>
  <c r="G236" i="1" a="1"/>
  <c r="G300" i="1" a="1"/>
  <c r="G109" i="1" a="1"/>
  <c r="G302" i="1" a="1"/>
  <c r="G384" i="1" a="1"/>
  <c r="G459" i="1" a="1"/>
  <c r="G180" i="1" a="1"/>
  <c r="G324" i="1" a="1"/>
  <c r="G479" i="1" a="1"/>
  <c r="G565" i="1" a="1"/>
  <c r="G53" i="1" a="1"/>
  <c r="G274" i="1" a="1"/>
  <c r="G371" i="1" a="1"/>
  <c r="G454" i="1" a="1"/>
  <c r="G515" i="1" a="1"/>
  <c r="G575" i="1" a="1"/>
  <c r="G628" i="1" a="1"/>
  <c r="G660" i="1" a="1"/>
  <c r="G692" i="1" a="1"/>
  <c r="G724" i="1" a="1"/>
  <c r="G756" i="1" a="1"/>
  <c r="G199" i="1" a="1"/>
  <c r="G328" i="1" a="1"/>
  <c r="G480" i="1" a="1"/>
  <c r="G566" i="1" a="1"/>
  <c r="G61" i="1" a="1"/>
  <c r="G275" i="1" a="1"/>
  <c r="G372" i="1" a="1"/>
  <c r="G443" i="1" a="1"/>
  <c r="G126" i="1" a="1"/>
  <c r="G276" i="1" a="1"/>
  <c r="G450" i="1" a="1"/>
  <c r="G531" i="1" a="1"/>
  <c r="G595" i="1" a="1"/>
  <c r="G412" i="1" a="1"/>
  <c r="G615" i="1" a="1"/>
  <c r="G679" i="1" a="1"/>
  <c r="G743" i="1" a="1"/>
  <c r="G505" i="1" a="1"/>
  <c r="G617" i="1" a="1"/>
  <c r="G681" i="1" a="1"/>
  <c r="G745" i="1" a="1"/>
  <c r="G444" i="1" a="1"/>
  <c r="G591" i="1" a="1"/>
  <c r="G658" i="1" a="1"/>
  <c r="G722" i="1" a="1"/>
  <c r="G780" i="1" a="1"/>
  <c r="G844" i="1" a="1"/>
  <c r="G908" i="1" a="1"/>
  <c r="G972" i="1" a="1"/>
  <c r="G1036" i="1" a="1"/>
  <c r="G280" i="1" a="1"/>
  <c r="G762" i="1" a="1"/>
  <c r="G826" i="1" a="1"/>
  <c r="G890" i="1" a="1"/>
  <c r="G954" i="1" a="1"/>
  <c r="G1018" i="1" a="1"/>
  <c r="G1080" i="1" a="1"/>
  <c r="G1112" i="1" a="1"/>
  <c r="G367" i="1" a="1"/>
  <c r="G546" i="1" a="1"/>
  <c r="G643" i="1" a="1"/>
  <c r="G707" i="1" a="1"/>
  <c r="G775" i="1" a="1"/>
  <c r="G839" i="1" a="1"/>
  <c r="G903" i="1" a="1"/>
  <c r="G967" i="1" a="1"/>
  <c r="G1031" i="1" a="1"/>
  <c r="G333" i="1" a="1"/>
  <c r="G585" i="1" a="1"/>
  <c r="G669" i="1" a="1"/>
  <c r="G733" i="1" a="1"/>
  <c r="G795" i="1" a="1"/>
  <c r="G859" i="1" a="1"/>
  <c r="G923" i="1" a="1"/>
  <c r="G987" i="1" a="1"/>
  <c r="G1051" i="1" a="1"/>
  <c r="G1097" i="1" a="1"/>
  <c r="G523" i="1" a="1"/>
  <c r="G734" i="1" a="1"/>
  <c r="G873" i="1" a="1"/>
  <c r="G1001" i="1" a="1"/>
  <c r="G1122" i="1" a="1"/>
  <c r="G771" i="1" a="1"/>
  <c r="G899" i="1" a="1"/>
  <c r="G1027" i="1" a="1"/>
  <c r="G1128" i="1" a="1"/>
  <c r="G1175" i="1" a="1"/>
  <c r="G1207" i="1" a="1"/>
  <c r="G577" i="1" a="1"/>
  <c r="G798" i="1" a="1"/>
  <c r="G27" i="1" a="1"/>
  <c r="G4" i="1" a="1"/>
  <c r="G10" i="1" a="1"/>
  <c r="G89" i="1" a="1"/>
  <c r="G349" i="1" a="1"/>
  <c r="G477" i="1" a="1"/>
  <c r="G229" i="1" a="1"/>
  <c r="G267" i="1" a="1"/>
  <c r="G188" i="1" a="1"/>
  <c r="G334" i="1" a="1"/>
  <c r="G415" i="1" a="1"/>
  <c r="G306" i="1" a="1"/>
  <c r="G593" i="1" a="1"/>
  <c r="G732" i="1" a="1"/>
  <c r="G510" i="1" a="1"/>
  <c r="G388" i="1" a="1"/>
  <c r="G463" i="1" a="1"/>
  <c r="G631" i="1" a="1"/>
  <c r="G633" i="1" a="1"/>
  <c r="G609" i="1" a="1"/>
  <c r="G863" i="1" a="1"/>
  <c r="G496" i="1" a="1"/>
  <c r="G973" i="1" a="1"/>
  <c r="G451" i="1" a="1"/>
  <c r="G788" i="1" a="1"/>
  <c r="G1044" i="1" a="1"/>
  <c r="G749" i="1" a="1"/>
  <c r="G1000" i="1" a="1"/>
  <c r="G783" i="1" a="1"/>
  <c r="G797" i="1" a="1"/>
  <c r="G1183" i="1" a="1"/>
  <c r="G951" i="1" a="1"/>
  <c r="G502" i="1" a="1"/>
  <c r="G965" i="1" a="1"/>
  <c r="G1164" i="1" a="1"/>
  <c r="G1216" i="1" a="1"/>
  <c r="G1260" i="1" a="1"/>
  <c r="G918" i="1" a="1"/>
  <c r="G1143" i="1" a="1"/>
  <c r="G1301" i="1" a="1"/>
  <c r="G1367" i="1" a="1"/>
  <c r="G816" i="1" a="1"/>
  <c r="G1153" i="1" a="1"/>
  <c r="G1250" i="1" a="1"/>
  <c r="G1358" i="1" a="1"/>
  <c r="G1422" i="1" a="1"/>
  <c r="G1454" i="1" a="1"/>
  <c r="G1486" i="1" a="1"/>
  <c r="G1518" i="1" a="1"/>
  <c r="G1550" i="1" a="1"/>
  <c r="G1582" i="1" a="1"/>
  <c r="G1614" i="1" a="1"/>
  <c r="G1646" i="1" a="1"/>
  <c r="G726" i="1" a="1"/>
  <c r="G996" i="1" a="1"/>
  <c r="G1238" i="1" a="1"/>
  <c r="G1297" i="1" a="1"/>
  <c r="G1340" i="1" a="1"/>
  <c r="G1400" i="1" a="1"/>
  <c r="G920" i="1" a="1"/>
  <c r="G1145" i="1" a="1"/>
  <c r="G1210" i="1" a="1"/>
  <c r="G1287" i="1" a="1"/>
  <c r="G1382" i="1" a="1"/>
  <c r="G1431" i="1" a="1"/>
  <c r="G1463" i="1" a="1"/>
  <c r="G1495" i="1" a="1"/>
  <c r="G1527" i="1" a="1"/>
  <c r="G1559" i="1" a="1"/>
  <c r="G1591" i="1" a="1"/>
  <c r="G1623" i="1" a="1"/>
  <c r="G686" i="1" a="1"/>
  <c r="G982" i="1" a="1"/>
  <c r="G1253" i="1" a="1"/>
  <c r="G1304" i="1" a="1"/>
  <c r="G1346" i="1" a="1"/>
  <c r="G1410" i="1" a="1"/>
  <c r="G957" i="1" a="1"/>
  <c r="G1165" i="1" a="1"/>
  <c r="G1234" i="1" a="1"/>
  <c r="G1347" i="1" a="1"/>
  <c r="G1411" i="1" a="1"/>
  <c r="G1448" i="1" a="1"/>
  <c r="G1480" i="1" a="1"/>
  <c r="G1512" i="1" a="1"/>
  <c r="G1544" i="1" a="1"/>
  <c r="G1576" i="1" a="1"/>
  <c r="G1608" i="1" a="1"/>
  <c r="G1640" i="1" a="1"/>
  <c r="G983" i="1" a="1"/>
  <c r="G1416" i="1" a="1"/>
  <c r="G1716" i="1" a="1"/>
  <c r="G1780" i="1" a="1"/>
  <c r="G1844" i="1" a="1"/>
  <c r="G984" i="1" a="1"/>
  <c r="G1380" i="1" a="1"/>
  <c r="G1235" i="1" a="1"/>
  <c r="G1671" i="1" a="1"/>
  <c r="G1735" i="1" a="1"/>
  <c r="G1799" i="1" a="1"/>
  <c r="G1863" i="1" a="1"/>
  <c r="G1206" i="1" a="1"/>
  <c r="G1457" i="1" a="1"/>
  <c r="G1521" i="1" a="1"/>
  <c r="G1585" i="1" a="1"/>
  <c r="G1661" i="1" a="1"/>
  <c r="G1722" i="1" a="1"/>
  <c r="G1786" i="1" a="1"/>
  <c r="G1311" i="1" a="1"/>
  <c r="G1696" i="1" a="1"/>
  <c r="G1760" i="1" a="1"/>
  <c r="G1824" i="1" a="1"/>
  <c r="G694" i="1" a="1"/>
  <c r="G1669" i="1" a="1"/>
  <c r="G1797" i="1" a="1"/>
  <c r="G1885" i="1" a="1"/>
  <c r="G1597" i="1" a="1"/>
  <c r="G1779" i="1" a="1"/>
  <c r="G1886" i="1" a="1"/>
  <c r="G1923" i="1" a="1"/>
  <c r="G1955" i="1" a="1"/>
  <c r="G1987" i="1" a="1"/>
  <c r="G2019" i="1" a="1"/>
  <c r="G2051" i="1" a="1"/>
  <c r="G2083" i="1" a="1"/>
  <c r="G2115" i="1" a="1"/>
  <c r="G1060" i="1" a="1"/>
  <c r="G1659" i="1" a="1"/>
  <c r="G1771" i="1" a="1"/>
  <c r="G830" i="1" a="1"/>
  <c r="G1700" i="1" a="1"/>
  <c r="G1808" i="1" a="1"/>
  <c r="G1896" i="1" a="1"/>
  <c r="G1928" i="1" a="1"/>
  <c r="G1960" i="1" a="1"/>
  <c r="G1992" i="1" a="1"/>
  <c r="G2024" i="1" a="1"/>
  <c r="G2056" i="1" a="1"/>
  <c r="G2088" i="1" a="1"/>
  <c r="G2120" i="1" a="1"/>
  <c r="G1565" i="1" a="1"/>
  <c r="G1784" i="1" a="1"/>
  <c r="G1888" i="1" a="1"/>
  <c r="G1921" i="1" a="1"/>
  <c r="G1953" i="1" a="1"/>
  <c r="G1985" i="1" a="1"/>
  <c r="G2017" i="1" a="1"/>
  <c r="G2049" i="1" a="1"/>
  <c r="G2081" i="1" a="1"/>
  <c r="G2113" i="1" a="1"/>
  <c r="G1589" i="1" a="1"/>
  <c r="G1785" i="1" a="1"/>
  <c r="G1765" i="1" a="1"/>
  <c r="G2098" i="1" a="1"/>
  <c r="G2227" i="1" a="1"/>
  <c r="G2355" i="1" a="1"/>
  <c r="G1695" i="1" a="1"/>
  <c r="G1982" i="1" a="1"/>
  <c r="G2158" i="1" a="1"/>
  <c r="G2201" i="1" a="1"/>
  <c r="G2244" i="1" a="1"/>
  <c r="G2286" i="1" a="1"/>
  <c r="G2329" i="1" a="1"/>
  <c r="G2372" i="1" a="1"/>
  <c r="G2414" i="1" a="1"/>
  <c r="G2449" i="1" a="1"/>
  <c r="G2481" i="1" a="1"/>
  <c r="G2513" i="1" a="1"/>
  <c r="G2545" i="1" a="1"/>
  <c r="G2577" i="1" a="1"/>
  <c r="G2609" i="1" a="1"/>
  <c r="G2641" i="1" a="1"/>
  <c r="G2673" i="1" a="1"/>
  <c r="G2705" i="1" a="1"/>
  <c r="G2737" i="1" a="1"/>
  <c r="G2769" i="1" a="1"/>
  <c r="G1663" i="1" a="1"/>
  <c r="G1962" i="1" a="1"/>
  <c r="G2143" i="1" a="1"/>
  <c r="G2271" i="1" a="1"/>
  <c r="G2399" i="1" a="1"/>
  <c r="G2778" i="1" a="1"/>
  <c r="G2838" i="1" a="1"/>
  <c r="G2902" i="1" a="1"/>
  <c r="G2962" i="1" a="1"/>
  <c r="G3022" i="1" a="1"/>
  <c r="G1910" i="1" a="1"/>
  <c r="G2144" i="1" a="1"/>
  <c r="G2186" i="1" a="1"/>
  <c r="G2229" i="1" a="1"/>
  <c r="G2272" i="1" a="1"/>
  <c r="G2314" i="1" a="1"/>
  <c r="G2357" i="1" a="1"/>
  <c r="G2400" i="1" a="1"/>
  <c r="G2438" i="1" a="1"/>
  <c r="G2470" i="1" a="1"/>
  <c r="G2502" i="1" a="1"/>
  <c r="G2534" i="1" a="1"/>
  <c r="G2566" i="1" a="1"/>
  <c r="G2598" i="1" a="1"/>
  <c r="G2630" i="1" a="1"/>
  <c r="G2662" i="1" a="1"/>
  <c r="G2698" i="1" a="1"/>
  <c r="G2730" i="1" a="1"/>
  <c r="G2790" i="1" a="1"/>
  <c r="G2858" i="1" a="1"/>
  <c r="G2922" i="1" a="1"/>
  <c r="G2994" i="1" a="1"/>
  <c r="G1783" i="1" a="1"/>
  <c r="G2114" i="1" a="1"/>
  <c r="G2235" i="1" a="1"/>
  <c r="G2363" i="1" a="1"/>
  <c r="G2847" i="1" a="1"/>
  <c r="G2911" i="1" a="1"/>
  <c r="G2975" i="1" a="1"/>
  <c r="G3043" i="1" a="1"/>
  <c r="G1855" i="1" a="1"/>
  <c r="G2094" i="1" a="1"/>
  <c r="G2172" i="1" a="1"/>
  <c r="G2214" i="1" a="1"/>
  <c r="G2257" i="1" a="1"/>
  <c r="G2300" i="1" a="1"/>
  <c r="G2342" i="1" a="1"/>
  <c r="G2385" i="1" a="1"/>
  <c r="G2427" i="1" a="1"/>
  <c r="G2459" i="1" a="1"/>
  <c r="G2491" i="1" a="1"/>
  <c r="G2523" i="1" a="1"/>
  <c r="G2555" i="1" a="1"/>
  <c r="G2587" i="1" a="1"/>
  <c r="G2619" i="1" a="1"/>
  <c r="G2651" i="1" a="1"/>
  <c r="G2683" i="1" a="1"/>
  <c r="G2715" i="1" a="1"/>
  <c r="G2751" i="1" a="1"/>
  <c r="G2783" i="1" a="1"/>
  <c r="G2819" i="1" a="1"/>
  <c r="G2875" i="1" a="1"/>
  <c r="G2939" i="1" a="1"/>
  <c r="G3003" i="1" a="1"/>
  <c r="G1273" i="1" a="1"/>
  <c r="G2448" i="1" a="1"/>
  <c r="G2704" i="1" a="1"/>
  <c r="G3094" i="1" a="1"/>
  <c r="G3222" i="1" a="1"/>
  <c r="G3350" i="1" a="1"/>
  <c r="G2157" i="1" a="1"/>
  <c r="G2909" i="1" a="1"/>
  <c r="G3179" i="1" a="1"/>
  <c r="G1294" i="1" a="1"/>
  <c r="G2205" i="1" a="1"/>
  <c r="G2376" i="1" a="1"/>
  <c r="G2620" i="1" a="1"/>
  <c r="G2816" i="1" a="1"/>
  <c r="G2880" i="1" a="1"/>
  <c r="G2944" i="1" a="1"/>
  <c r="G3008" i="1" a="1"/>
  <c r="G3073" i="1" a="1"/>
  <c r="G3116" i="1" a="1"/>
  <c r="G3159" i="1" a="1"/>
  <c r="G3201" i="1" a="1"/>
  <c r="G3244" i="1" a="1"/>
  <c r="G3287" i="1" a="1"/>
  <c r="G3329" i="1" a="1"/>
  <c r="G3070" i="1" a="1"/>
  <c r="G3098" i="1" a="1"/>
  <c r="G2805" i="1" a="1"/>
  <c r="G3099" i="1" a="1"/>
  <c r="G3333" i="1" a="1"/>
  <c r="G2295" i="1" a="1"/>
  <c r="G2632" i="1" a="1"/>
  <c r="G3058" i="1" a="1"/>
  <c r="G3186" i="1" a="1"/>
  <c r="G3314" i="1" a="1"/>
  <c r="G3213" i="1" a="1"/>
  <c r="G3288" i="1" a="1"/>
  <c r="G3363" i="1" a="1"/>
  <c r="G2933" i="1" a="1"/>
  <c r="G3344" i="1" a="1"/>
  <c r="G2232" i="1" a="1"/>
  <c r="G2402" i="1" a="1"/>
  <c r="G2644" i="1" a="1"/>
  <c r="G2825" i="1" a="1"/>
  <c r="G2889" i="1" a="1"/>
  <c r="G2953" i="1" a="1"/>
  <c r="G3017" i="1" a="1"/>
  <c r="G3075" i="1" a="1"/>
  <c r="G3117" i="1" a="1"/>
  <c r="G3165" i="1" a="1"/>
  <c r="G3245" i="1" a="1"/>
  <c r="G3341" i="1" a="1"/>
  <c r="G3162" i="1" a="1"/>
  <c r="G3189" i="1" a="1"/>
  <c r="G2042" i="1" a="1"/>
  <c r="G2432" i="1" a="1"/>
  <c r="G2688" i="1" a="1"/>
  <c r="G3134" i="1" a="1"/>
  <c r="G3210" i="1" a="1"/>
  <c r="G2392" i="1" a="1"/>
  <c r="G3005" i="1" a="1"/>
  <c r="G3253" i="1" a="1"/>
  <c r="G2086" i="1" a="1"/>
  <c r="G2301" i="1" a="1"/>
  <c r="G2476" i="1" a="1"/>
  <c r="G2732" i="1" a="1"/>
  <c r="G2844" i="1" a="1"/>
  <c r="G2908" i="1" a="1"/>
  <c r="G2972" i="1" a="1"/>
  <c r="G3041" i="1" a="1"/>
  <c r="G3087" i="1" a="1"/>
  <c r="G3129" i="1" a="1"/>
  <c r="G3172" i="1" a="1"/>
  <c r="G3215" i="1" a="1"/>
  <c r="G3257" i="1" a="1"/>
  <c r="G3300" i="1" a="1"/>
  <c r="G3343" i="1" a="1"/>
  <c r="G2327" i="1" a="1"/>
  <c r="G3082" i="1" a="1"/>
  <c r="G2468" i="1" a="1"/>
  <c r="G2997" i="1" a="1"/>
  <c r="G3259" i="1" a="1"/>
  <c r="C16" i="1" a="1"/>
  <c r="C48" i="1" a="1"/>
  <c r="C80" i="1" a="1"/>
  <c r="C115" i="1" a="1"/>
  <c r="C179" i="1" a="1"/>
  <c r="C243" i="1" a="1"/>
  <c r="C307" i="1" a="1"/>
  <c r="C21" i="1" a="1"/>
  <c r="C63" i="1" a="1"/>
  <c r="C106" i="1" a="1"/>
  <c r="C166" i="1" a="1"/>
  <c r="C230" i="1" a="1"/>
  <c r="C294" i="1" a="1"/>
  <c r="C352" i="1" a="1"/>
  <c r="C384" i="1" a="1"/>
  <c r="C416" i="1" a="1"/>
  <c r="C448" i="1" a="1"/>
  <c r="C480" i="1" a="1"/>
  <c r="C512" i="1" a="1"/>
  <c r="C145" i="1" a="1"/>
  <c r="C209" i="1" a="1"/>
  <c r="C273" i="1" a="1"/>
  <c r="C337" i="1" a="1"/>
  <c r="C121" i="1" a="1"/>
  <c r="C215" i="1" a="1"/>
  <c r="C318" i="1" a="1"/>
  <c r="C406" i="1" a="1"/>
  <c r="C493" i="1" a="1"/>
  <c r="C545" i="1" a="1"/>
  <c r="C577" i="1" a="1"/>
  <c r="C609" i="1" a="1"/>
  <c r="C14" i="1" a="1"/>
  <c r="C137" i="1" a="1"/>
  <c r="C246" i="1" a="1"/>
  <c r="C367" i="1" a="1"/>
  <c r="C454" i="1" a="1"/>
  <c r="C536" i="1" a="1"/>
  <c r="C623" i="1" a="1"/>
  <c r="C660" i="1" a="1"/>
  <c r="C692" i="1" a="1"/>
  <c r="C724" i="1" a="1"/>
  <c r="C756" i="1" a="1"/>
  <c r="C788" i="1" a="1"/>
  <c r="C820" i="1" a="1"/>
  <c r="C25" i="1" a="1"/>
  <c r="C171" i="1" a="1"/>
  <c r="C272" i="1" a="1"/>
  <c r="C361" i="1" a="1"/>
  <c r="C481" i="1" a="1"/>
  <c r="C578" i="1" a="1"/>
  <c r="C49" i="1" a="1"/>
  <c r="C158" i="1" a="1"/>
  <c r="C283" i="1" a="1"/>
  <c r="C389" i="1" a="1"/>
  <c r="C467" i="1" a="1"/>
  <c r="C7" i="1" a="1"/>
  <c r="C185" i="1" a="1"/>
  <c r="C332" i="1" a="1"/>
  <c r="C497" i="1" a="1"/>
  <c r="C27" i="1" a="1"/>
  <c r="C293" i="1" a="1"/>
  <c r="C422" i="1" a="1"/>
  <c r="C574" i="1" a="1"/>
  <c r="C30" i="1" a="1"/>
  <c r="C242" i="1" a="1"/>
  <c r="C466" i="1" a="1"/>
  <c r="C586" i="1" a="1"/>
  <c r="C155" i="1" a="1"/>
  <c r="C395" i="1" a="1"/>
  <c r="C584" i="1" a="1"/>
  <c r="C690" i="1" a="1"/>
  <c r="C775" i="1" a="1"/>
  <c r="C839" i="1" a="1"/>
  <c r="C904" i="1" a="1"/>
  <c r="C968" i="1" a="1"/>
  <c r="C181" i="1" a="1"/>
  <c r="C437" i="1" a="1"/>
  <c r="C685" i="1" a="1"/>
  <c r="C770" i="1" a="1"/>
  <c r="C873" i="1" a="1"/>
  <c r="C937" i="1" a="1"/>
  <c r="C1000" i="1" a="1"/>
  <c r="C1032" i="1" a="1"/>
  <c r="C1064" i="1" a="1"/>
  <c r="C1096" i="1" a="1"/>
  <c r="C18" i="1" a="1"/>
  <c r="C311" i="1" a="1"/>
  <c r="C607" i="1" a="1"/>
  <c r="C691" i="1" a="1"/>
  <c r="C777" i="1" a="1"/>
  <c r="C841" i="1" a="1"/>
  <c r="C901" i="1" a="1"/>
  <c r="C965" i="1" a="1"/>
  <c r="C210" i="1" a="1"/>
  <c r="C485" i="1" a="1"/>
  <c r="C675" i="1" a="1"/>
  <c r="C761" i="1" a="1"/>
  <c r="C866" i="1" a="1"/>
  <c r="C930" i="1" a="1"/>
  <c r="C165" i="1" a="1"/>
  <c r="C618" i="1" a="1"/>
  <c r="C558" i="1" a="1"/>
  <c r="C797" i="1" a="1"/>
  <c r="C888" i="1" a="1"/>
  <c r="C1019" i="1" a="1"/>
  <c r="C1097" i="1" a="1"/>
  <c r="C1208" i="1" a="1"/>
  <c r="C1275" i="1" a="1"/>
  <c r="C1307" i="1" a="1"/>
  <c r="C1339" i="1" a="1"/>
  <c r="C1371" i="1" a="1"/>
  <c r="C1403" i="1" a="1"/>
  <c r="C1435" i="1" a="1"/>
  <c r="C1467" i="1" a="1"/>
  <c r="C1499" i="1" a="1"/>
  <c r="C1531" i="1" a="1"/>
  <c r="C1563" i="1" a="1"/>
  <c r="C1595" i="1" a="1"/>
  <c r="C1627" i="1" a="1"/>
  <c r="C1659" i="1" a="1"/>
  <c r="C1691" i="1" a="1"/>
  <c r="C1723" i="1" a="1"/>
  <c r="C1755" i="1" a="1"/>
  <c r="C127" i="1" a="1"/>
  <c r="C677" i="1" a="1"/>
  <c r="C822" i="1" a="1"/>
  <c r="C926" i="1" a="1"/>
  <c r="C1039" i="1" a="1"/>
  <c r="C1117" i="1" a="1"/>
  <c r="C1166" i="1" a="1"/>
  <c r="C1209" i="1" a="1"/>
  <c r="C1251" i="1" a="1"/>
  <c r="C469" i="1" a="1"/>
  <c r="C681" i="1" a="1"/>
  <c r="C847" i="1" a="1"/>
  <c r="C975" i="1" a="1"/>
  <c r="C1067" i="1" a="1"/>
  <c r="C1168" i="1" a="1"/>
  <c r="C1261" i="1" a="1"/>
  <c r="C1293" i="1" a="1"/>
  <c r="C1325" i="1" a="1"/>
  <c r="C1357" i="1" a="1"/>
  <c r="C1389" i="1" a="1"/>
  <c r="C1421" i="1" a="1"/>
  <c r="C1453" i="1" a="1"/>
  <c r="C1485" i="1" a="1"/>
  <c r="C1517" i="1" a="1"/>
  <c r="C1549" i="1" a="1"/>
  <c r="C1581" i="1" a="1"/>
  <c r="C1613" i="1" a="1"/>
  <c r="C1645" i="1" a="1"/>
  <c r="C1677" i="1" a="1"/>
  <c r="C1709" i="1" a="1"/>
  <c r="C1741" i="1" a="1"/>
  <c r="C1773" i="1" a="1"/>
  <c r="C387" i="1" a="1"/>
  <c r="C915" i="1" a="1"/>
  <c r="C1079" i="1" a="1"/>
  <c r="C1173" i="1" a="1"/>
  <c r="C1308" i="1" a="1"/>
  <c r="C1436" i="1" a="1"/>
  <c r="C1564" i="1" a="1"/>
  <c r="C1692" i="1" a="1"/>
  <c r="C1801" i="1" a="1"/>
  <c r="C1865" i="1" a="1"/>
  <c r="C1929" i="1" a="1"/>
  <c r="C1993" i="1" a="1"/>
  <c r="C2057" i="1" a="1"/>
  <c r="C731" i="1" a="1"/>
  <c r="C931" i="1" a="1"/>
  <c r="C1061" i="1" a="1"/>
  <c r="C1165" i="1" a="1"/>
  <c r="C1270" i="1" a="1"/>
  <c r="C1398" i="1" a="1"/>
  <c r="C1526" i="1" a="1"/>
  <c r="C1654" i="1" a="1"/>
  <c r="C1792" i="1" a="1"/>
  <c r="C1852" i="1" a="1"/>
  <c r="C1916" i="1" a="1"/>
  <c r="C1980" i="1" a="1"/>
  <c r="C2044" i="1" a="1"/>
  <c r="C738" i="1" a="1"/>
  <c r="C922" i="1" a="1"/>
  <c r="C1043" i="1" a="1"/>
  <c r="C1202" i="1" a="1"/>
  <c r="C1292" i="1" a="1"/>
  <c r="C1420" i="1" a="1"/>
  <c r="C1548" i="1" a="1"/>
  <c r="C1676" i="1" a="1"/>
  <c r="C1783" i="1" a="1"/>
  <c r="C1849" i="1" a="1"/>
  <c r="C1913" i="1" a="1"/>
  <c r="C1977" i="1" a="1"/>
  <c r="C2041" i="1" a="1"/>
  <c r="C646" i="1" a="1"/>
  <c r="C1125" i="1" a="1"/>
  <c r="C1290" i="1" a="1"/>
  <c r="C1464" i="1" a="1"/>
  <c r="C1678" i="1" a="1"/>
  <c r="C1863" i="1" a="1"/>
  <c r="C1965" i="1" a="1"/>
  <c r="C2067" i="1" a="1"/>
  <c r="C2133" i="1" a="1"/>
  <c r="C2197" i="1" a="1"/>
  <c r="C2261" i="1" a="1"/>
  <c r="C528" i="1" a="1"/>
  <c r="C954" i="1" a="1"/>
  <c r="C1094" i="1" a="1"/>
  <c r="C1249" i="1" a="1"/>
  <c r="C1454" i="1" a="1"/>
  <c r="C1670" i="1" a="1"/>
  <c r="C1805" i="1" a="1"/>
  <c r="C1908" i="1" a="1"/>
  <c r="C2003" i="1" a="1"/>
  <c r="C2088" i="1" a="1"/>
  <c r="C2152" i="1" a="1"/>
  <c r="C2216" i="1" a="1"/>
  <c r="C2280" i="1" a="1"/>
  <c r="C2328" i="1" a="1"/>
  <c r="C2360" i="1" a="1"/>
  <c r="C2392" i="1" a="1"/>
  <c r="C2424" i="1" a="1"/>
  <c r="C2456" i="1" a="1"/>
  <c r="C2488" i="1" a="1"/>
  <c r="C2520" i="1" a="1"/>
  <c r="C2552" i="1" a="1"/>
  <c r="C2584" i="1" a="1"/>
  <c r="C2616" i="1" a="1"/>
  <c r="C2648" i="1" a="1"/>
  <c r="C277" i="1" a="1"/>
  <c r="C963" i="1" a="1"/>
  <c r="C1227" i="1" a="1"/>
  <c r="C1418" i="1" a="1"/>
  <c r="C1592" i="1" a="1"/>
  <c r="C1830" i="1" a="1"/>
  <c r="C1918" i="1" a="1"/>
  <c r="C2028" i="1" a="1"/>
  <c r="C2108" i="1" a="1"/>
  <c r="C2172" i="1" a="1"/>
  <c r="C2236" i="1" a="1"/>
  <c r="C2300" i="1" a="1"/>
  <c r="C811" i="1" a="1"/>
  <c r="C1127" i="1" a="1"/>
  <c r="C1338" i="1" a="1"/>
  <c r="C1748" i="1" a="1"/>
  <c r="C1982" i="1" a="1"/>
  <c r="C2132" i="1" a="1"/>
  <c r="C2227" i="1" a="1"/>
  <c r="C2327" i="1" a="1"/>
  <c r="C2417" i="1" a="1"/>
  <c r="C2494" i="1" a="1"/>
  <c r="C2583" i="1" a="1"/>
  <c r="C2673" i="1" a="1"/>
  <c r="C2738" i="1" a="1"/>
  <c r="C2802" i="1" a="1"/>
  <c r="C2866" i="1" a="1"/>
  <c r="C999" i="1" a="1"/>
  <c r="C1472" i="1" a="1"/>
  <c r="C1734" i="1" a="1"/>
  <c r="C1877" i="1" a="1"/>
  <c r="C2029" i="1" a="1"/>
  <c r="C2148" i="1" a="1"/>
  <c r="C2242" i="1" a="1"/>
  <c r="C2347" i="1" a="1"/>
  <c r="C2437" i="1" a="1"/>
  <c r="C2514" i="1" a="1"/>
  <c r="C2603" i="1" a="1"/>
  <c r="C2680" i="1" a="1"/>
  <c r="C2744" i="1" a="1"/>
  <c r="C2808" i="1" a="1"/>
  <c r="C2872" i="1" a="1"/>
  <c r="C612" i="1" a="1"/>
  <c r="C1057" i="1" a="1"/>
  <c r="C1460" i="1" a="1"/>
  <c r="C1656" i="1" a="1"/>
  <c r="C1799" i="1" a="1"/>
  <c r="C2033" i="1" a="1"/>
  <c r="C949" i="1" a="1"/>
  <c r="C1205" i="1" a="1"/>
  <c r="C1594" i="1" a="1"/>
  <c r="C1825" i="1" a="1"/>
  <c r="C1154" i="1" a="1"/>
  <c r="C1768" i="1" a="1"/>
  <c r="C2079" i="1" a="1"/>
  <c r="C2274" i="1" a="1"/>
  <c r="C2407" i="1" a="1"/>
  <c r="C2527" i="1" a="1"/>
  <c r="C2646" i="1" a="1"/>
  <c r="C2723" i="1" a="1"/>
  <c r="C2815" i="1" a="1"/>
  <c r="C2894" i="1" a="1"/>
  <c r="C2949" i="1" a="1"/>
  <c r="C3013" i="1" a="1"/>
  <c r="C3285" i="1" a="1"/>
  <c r="C3349" i="1" a="1"/>
  <c r="C2902" i="1" a="1"/>
  <c r="C3102" i="1" a="1"/>
  <c r="C3186" i="1" a="1"/>
  <c r="C3286" i="1" a="1"/>
  <c r="C1082" i="1" a="1"/>
  <c r="C2075" i="1" a="1"/>
  <c r="C2369" i="1" a="1"/>
  <c r="C2633" i="1" a="1"/>
  <c r="C2875" i="1" a="1"/>
  <c r="C1006" i="1" a="1"/>
  <c r="C1610" i="1" a="1"/>
  <c r="C1941" i="1" a="1"/>
  <c r="C2187" i="1" a="1"/>
  <c r="C2285" i="1" a="1"/>
  <c r="C2357" i="1" a="1"/>
  <c r="C2477" i="1" a="1"/>
  <c r="C2595" i="1" a="1"/>
  <c r="C2724" i="1" a="1"/>
  <c r="C2809" i="1" a="1"/>
  <c r="C2918" i="1" a="1"/>
  <c r="C2982" i="1" a="1"/>
  <c r="C3046" i="1" a="1"/>
  <c r="C3093" i="1" a="1"/>
  <c r="C3125" i="1" a="1"/>
  <c r="C3157" i="1" a="1"/>
  <c r="C3189" i="1" a="1"/>
  <c r="C3221" i="1" a="1"/>
  <c r="C3253" i="1" a="1"/>
  <c r="C3289" i="1" a="1"/>
  <c r="C3353" i="1" a="1"/>
  <c r="C2908" i="1" a="1"/>
  <c r="C3058" i="1" a="1"/>
  <c r="C3174" i="1" a="1"/>
  <c r="C3282" i="1" a="1"/>
  <c r="C683" i="1" a="1"/>
  <c r="C1949" i="1" a="1"/>
  <c r="C2335" i="1" a="1"/>
  <c r="C2582" i="1" a="1"/>
  <c r="C2783" i="1" a="1"/>
  <c r="C3021" i="1" a="1"/>
  <c r="C1163" i="1" a="1"/>
  <c r="C1482" i="1" a="1"/>
  <c r="C2014" i="1" a="1"/>
  <c r="C2141" i="1" a="1"/>
  <c r="C2258" i="1" a="1"/>
  <c r="C2383" i="1" a="1"/>
  <c r="C2503" i="1" a="1"/>
  <c r="C2623" i="1" a="1"/>
  <c r="C2710" i="1" a="1"/>
  <c r="C2795" i="1" a="1"/>
  <c r="C2874" i="1" a="1"/>
  <c r="C2945" i="1" a="1"/>
  <c r="C3009" i="1" a="1"/>
  <c r="C3073" i="1" a="1"/>
  <c r="C2555" i="1" a="1"/>
  <c r="C2675" i="1" a="1"/>
  <c r="C2789" i="1" a="1"/>
  <c r="C2994" i="1" a="1"/>
  <c r="C3130" i="1" a="1"/>
  <c r="C3218" i="1" a="1"/>
  <c r="C3306" i="1" a="1"/>
  <c r="C885" i="1" a="1"/>
  <c r="C1614" i="1" a="1"/>
  <c r="C2072" i="1" a="1"/>
  <c r="C2171" i="1" a="1"/>
  <c r="C2325" i="1" a="1"/>
  <c r="C2790" i="1" a="1"/>
  <c r="C3016" i="1" a="1"/>
  <c r="C1368" i="1" a="1"/>
  <c r="C2214" i="1" a="1"/>
  <c r="C2567" i="1" a="1"/>
  <c r="C2814" i="1" a="1"/>
  <c r="C3018" i="1" a="1"/>
  <c r="C3171" i="1" a="1"/>
  <c r="C3239" i="1" a="1"/>
  <c r="C3303" i="1" a="1"/>
  <c r="C3367" i="1" a="1"/>
  <c r="C2842" i="1" a="1"/>
  <c r="C3291" i="1" a="1"/>
  <c r="C2397" i="1" a="1"/>
  <c r="C1432" i="1" a="1"/>
  <c r="C2714" i="1" a="1"/>
  <c r="C3188" i="1" a="1"/>
  <c r="C1037" i="1" a="1"/>
  <c r="C2678" i="1" a="1"/>
  <c r="C1188" i="1" a="1"/>
  <c r="C1999" i="1" a="1"/>
  <c r="C2413" i="1" a="1"/>
  <c r="C2684" i="1" a="1"/>
  <c r="C2922" i="1" a="1"/>
  <c r="C3099" i="1" a="1"/>
  <c r="C3296" i="1" a="1"/>
  <c r="C2670" i="1" a="1"/>
  <c r="C3323" i="1" a="1"/>
  <c r="C2713" i="1" a="1"/>
  <c r="C2182" i="1" a="1"/>
  <c r="C3284" i="1" a="1"/>
  <c r="C551" i="1" a="1"/>
  <c r="C2116" i="1" a="1"/>
  <c r="C2389" i="1" a="1"/>
  <c r="C2686" i="1" a="1"/>
  <c r="C2892" i="1" a="1"/>
  <c r="C3050" i="1" a="1"/>
  <c r="C3172" i="1" a="1"/>
  <c r="C3248" i="1" a="1"/>
  <c r="C1836" i="1" a="1"/>
  <c r="C2898" i="1" a="1"/>
  <c r="C3299" i="1" a="1"/>
  <c r="C2916" i="1" a="1"/>
  <c r="C2585" i="1" a="1"/>
  <c r="C3316" i="1" a="1"/>
  <c r="C2869" i="1" a="1"/>
  <c r="C1226" i="1" a="1"/>
  <c r="C2195" i="1" a="1"/>
  <c r="C2575" i="1" a="1"/>
  <c r="C2857" i="1" a="1"/>
  <c r="C3011" i="1" a="1"/>
  <c r="C3155" i="1" a="1"/>
  <c r="C2123" i="1" a="1"/>
  <c r="C3112" i="1" a="1"/>
  <c r="C2175" i="1" a="1"/>
  <c r="C3055" i="1" a="1"/>
  <c r="C2864" i="1" a="1"/>
  <c r="C3268" i="1" a="1"/>
  <c r="C2406" i="1" a="1"/>
  <c r="C2947" i="1" a="1"/>
  <c r="C2498" i="1" a="1"/>
  <c r="G123" i="1" a="1"/>
  <c r="G287" i="1" a="1"/>
  <c r="G162" i="1" a="1"/>
  <c r="G700" i="1" a="1"/>
  <c r="G535" i="1" a="1"/>
  <c r="G909" i="1" a="1"/>
  <c r="G936" i="1" a="1"/>
  <c r="G836" i="1" a="1"/>
  <c r="G1208" i="1" a="1"/>
  <c r="G1285" i="1" a="1"/>
  <c r="G1339" i="1" a="1"/>
  <c r="G1510" i="1" a="1"/>
  <c r="G587" i="1" a="1"/>
  <c r="G1329" i="1" a="1"/>
  <c r="G1091" i="1" a="1"/>
  <c r="G1423" i="1" a="1"/>
  <c r="G1551" i="1" a="1"/>
  <c r="G905" i="1" a="1"/>
  <c r="G906" i="1" a="1"/>
  <c r="G1397" i="1" a="1"/>
  <c r="G1568" i="1" a="1"/>
  <c r="G1702" i="1" a="1"/>
  <c r="G1279" i="1" a="1"/>
  <c r="G1845" i="1" a="1"/>
  <c r="G1505" i="1" a="1"/>
  <c r="G1682" i="1" a="1"/>
  <c r="G1637" i="1" a="1"/>
  <c r="G1947" i="1" a="1"/>
  <c r="G2075" i="1" a="1"/>
  <c r="G1880" i="1" a="1"/>
  <c r="G1952" i="1" a="1"/>
  <c r="G1429" i="1" a="1"/>
  <c r="G1977" i="1" a="1"/>
  <c r="G1739" i="1" a="1"/>
  <c r="G2323" i="1" a="1"/>
  <c r="G2276" i="1" a="1"/>
  <c r="G2473" i="1" a="1"/>
  <c r="G2665" i="1" a="1"/>
  <c r="G2130" i="1" a="1"/>
  <c r="G2822" i="1" a="1"/>
  <c r="G2102" i="1" a="1"/>
  <c r="G2304" i="1" a="1"/>
  <c r="G2494" i="1" a="1"/>
  <c r="G2654" i="1" a="1"/>
  <c r="G1605" i="1" a="1"/>
  <c r="G2959" i="1" a="1"/>
  <c r="G2204" i="1" a="1"/>
  <c r="G2451" i="1" a="1"/>
  <c r="G2643" i="1" a="1"/>
  <c r="G2775" i="1" a="1"/>
  <c r="G2375" i="1" a="1"/>
  <c r="G3318" i="1" a="1"/>
  <c r="G2333" i="1" a="1"/>
  <c r="G2992" i="1" a="1"/>
  <c r="G3233" i="1" a="1"/>
  <c r="G2744" i="1" a="1"/>
  <c r="G2167" i="1" a="1"/>
  <c r="G3282" i="1" a="1"/>
  <c r="G2500" i="1" a="1"/>
  <c r="G2809" i="1" a="1"/>
  <c r="G3155" i="1" a="1"/>
  <c r="G1860" i="1" a="1"/>
  <c r="G3200" i="1" a="1"/>
  <c r="G2668" i="1" a="1"/>
  <c r="G55" i="1" a="1"/>
  <c r="G32" i="1" a="1"/>
  <c r="G174" i="1" a="1"/>
  <c r="G154" i="1" a="1"/>
  <c r="G377" i="1" a="1"/>
  <c r="G26" i="1" a="1"/>
  <c r="G288" i="1" a="1"/>
  <c r="G326" i="1" a="1"/>
  <c r="G241" i="1" a="1"/>
  <c r="G392" i="1" a="1"/>
  <c r="G498" i="1" a="1"/>
  <c r="G379" i="1" a="1"/>
  <c r="G632" i="1" a="1"/>
  <c r="G22" i="1" a="1"/>
  <c r="G571" i="1" a="1"/>
  <c r="G462" i="1" a="1"/>
  <c r="G540" i="1" a="1"/>
  <c r="G687" i="1" a="1"/>
  <c r="G689" i="1" a="1"/>
  <c r="G666" i="1" a="1"/>
  <c r="G921" i="1" a="1"/>
  <c r="G768" i="1" a="1"/>
  <c r="G1024" i="1" a="1"/>
  <c r="G583" i="1" a="1"/>
  <c r="G846" i="1" a="1"/>
  <c r="G426" i="1" a="1"/>
  <c r="G802" i="1" a="1"/>
  <c r="G1058" i="1" a="1"/>
  <c r="G886" i="1" a="1"/>
  <c r="G912" i="1" a="1"/>
  <c r="G1211" i="1" a="1"/>
  <c r="G964" i="1" a="1"/>
  <c r="G541" i="1" a="1"/>
  <c r="G978" i="1" a="1"/>
  <c r="G1168" i="1" a="1"/>
  <c r="G1224" i="1" a="1"/>
  <c r="G1264" i="1" a="1"/>
  <c r="G943" i="1" a="1"/>
  <c r="G1237" i="1" a="1"/>
  <c r="G1306" i="1" a="1"/>
  <c r="G1376" i="1" a="1"/>
  <c r="G867" i="1" a="1"/>
  <c r="G1161" i="1" a="1"/>
  <c r="G1257" i="1" a="1"/>
  <c r="G1363" i="1" a="1"/>
  <c r="G1426" i="1" a="1"/>
  <c r="G1458" i="1" a="1"/>
  <c r="G1490" i="1" a="1"/>
  <c r="G1522" i="1" a="1"/>
  <c r="G1554" i="1" a="1"/>
  <c r="G1586" i="1" a="1"/>
  <c r="G1618" i="1" a="1"/>
  <c r="G1650" i="1" a="1"/>
  <c r="G766" i="1" a="1"/>
  <c r="G1022" i="1" a="1"/>
  <c r="G1245" i="1" a="1"/>
  <c r="G1302" i="1" a="1"/>
  <c r="G1345" i="1" a="1"/>
  <c r="G1409" i="1" a="1"/>
  <c r="G946" i="1" a="1"/>
  <c r="G1154" i="1" a="1"/>
  <c r="G1218" i="1" a="1"/>
  <c r="G1303" i="1" a="1"/>
  <c r="G1387" i="1" a="1"/>
  <c r="G1435" i="1" a="1"/>
  <c r="G1467" i="1" a="1"/>
  <c r="G1499" i="1" a="1"/>
  <c r="G1531" i="1" a="1"/>
  <c r="G1563" i="1" a="1"/>
  <c r="G1595" i="1" a="1"/>
  <c r="G1627" i="1" a="1"/>
  <c r="G750" i="1" a="1"/>
  <c r="G1007" i="1" a="1"/>
  <c r="G1259" i="1" a="1"/>
  <c r="G1309" i="1" a="1"/>
  <c r="G1351" i="1" a="1"/>
  <c r="G1415" i="1" a="1"/>
  <c r="G1008" i="1" a="1"/>
  <c r="G1173" i="1" a="1"/>
  <c r="G1241" i="1" a="1"/>
  <c r="G1356" i="1" a="1"/>
  <c r="G1420" i="1" a="1"/>
  <c r="G1452" i="1" a="1"/>
  <c r="G1484" i="1" a="1"/>
  <c r="G1516" i="1" a="1"/>
  <c r="G1548" i="1" a="1"/>
  <c r="G1580" i="1" a="1"/>
  <c r="G1612" i="1" a="1"/>
  <c r="G1644" i="1" a="1"/>
  <c r="G1229" i="1" a="1"/>
  <c r="G1665" i="1" a="1"/>
  <c r="G1725" i="1" a="1"/>
  <c r="G1789" i="1" a="1"/>
  <c r="G1853" i="1" a="1"/>
  <c r="G1083" i="1" a="1"/>
  <c r="G1398" i="1" a="1"/>
  <c r="G1261" i="1" a="1"/>
  <c r="G1676" i="1" a="1"/>
  <c r="G1740" i="1" a="1"/>
  <c r="G1804" i="1" a="1"/>
  <c r="G1868" i="1" a="1"/>
  <c r="G1327" i="1" a="1"/>
  <c r="G1465" i="1" a="1"/>
  <c r="G1529" i="1" a="1"/>
  <c r="G1593" i="1" a="1"/>
  <c r="G1667" i="1" a="1"/>
  <c r="G1731" i="1" a="1"/>
  <c r="G1795" i="1" a="1"/>
  <c r="G1371" i="1" a="1"/>
  <c r="G1705" i="1" a="1"/>
  <c r="G1769" i="1" a="1"/>
  <c r="G1833" i="1" a="1"/>
  <c r="G1295" i="1" a="1"/>
  <c r="G1678" i="1" a="1"/>
  <c r="G1805" i="1" a="1"/>
  <c r="G1890" i="1" a="1"/>
  <c r="G1688" i="1" a="1"/>
  <c r="G1806" i="1" a="1"/>
  <c r="G1895" i="1" a="1"/>
  <c r="G1927" i="1" a="1"/>
  <c r="G1959" i="1" a="1"/>
  <c r="G1991" i="1" a="1"/>
  <c r="G2023" i="1" a="1"/>
  <c r="G2055" i="1" a="1"/>
  <c r="G2087" i="1" a="1"/>
  <c r="G2119" i="1" a="1"/>
  <c r="G1249" i="1" a="1"/>
  <c r="G1680" i="1" a="1"/>
  <c r="G1814" i="1" a="1"/>
  <c r="G1061" i="1" a="1"/>
  <c r="G1709" i="1" a="1"/>
  <c r="G1815" i="1" a="1"/>
  <c r="G1900" i="1" a="1"/>
  <c r="G1932" i="1" a="1"/>
  <c r="G1964" i="1" a="1"/>
  <c r="G1996" i="1" a="1"/>
  <c r="G2028" i="1" a="1"/>
  <c r="G2060" i="1" a="1"/>
  <c r="G2092" i="1" a="1"/>
  <c r="G2124" i="1" a="1"/>
  <c r="G1629" i="1" a="1"/>
  <c r="G1793" i="1" a="1"/>
  <c r="G1893" i="1" a="1"/>
  <c r="G1925" i="1" a="1"/>
  <c r="G1957" i="1" a="1"/>
  <c r="G1989" i="1" a="1"/>
  <c r="G2021" i="1" a="1"/>
  <c r="G2053" i="1" a="1"/>
  <c r="G2085" i="1" a="1"/>
  <c r="G2117" i="1" a="1"/>
  <c r="G1651" i="1" a="1"/>
  <c r="G1794" i="1" a="1"/>
  <c r="G1825" i="1" a="1"/>
  <c r="G2129" i="1" a="1"/>
  <c r="G2243" i="1" a="1"/>
  <c r="G2371" i="1" a="1"/>
  <c r="G1732" i="1" a="1"/>
  <c r="G2014" i="1" a="1"/>
  <c r="G2164" i="1" a="1"/>
  <c r="G2206" i="1" a="1"/>
  <c r="G2249" i="1" a="1"/>
  <c r="G2292" i="1" a="1"/>
  <c r="G2334" i="1" a="1"/>
  <c r="G2377" i="1" a="1"/>
  <c r="G2420" i="1" a="1"/>
  <c r="G2453" i="1" a="1"/>
  <c r="G2485" i="1" a="1"/>
  <c r="G2517" i="1" a="1"/>
  <c r="G2549" i="1" a="1"/>
  <c r="G2581" i="1" a="1"/>
  <c r="G2613" i="1" a="1"/>
  <c r="G2645" i="1" a="1"/>
  <c r="G2677" i="1" a="1"/>
  <c r="G2709" i="1" a="1"/>
  <c r="G2741" i="1" a="1"/>
  <c r="G2773" i="1" a="1"/>
  <c r="G1701" i="1" a="1"/>
  <c r="G1994" i="1" a="1"/>
  <c r="G2159" i="1" a="1"/>
  <c r="G2287" i="1" a="1"/>
  <c r="G2415" i="1" a="1"/>
  <c r="G2786" i="1" a="1"/>
  <c r="G2846" i="1" a="1"/>
  <c r="G2910" i="1" a="1"/>
  <c r="G2970" i="1" a="1"/>
  <c r="G3030" i="1" a="1"/>
  <c r="G1942" i="1" a="1"/>
  <c r="G2149" i="1" a="1"/>
  <c r="G2192" i="1" a="1"/>
  <c r="G2234" i="1" a="1"/>
  <c r="G2277" i="1" a="1"/>
  <c r="G2320" i="1" a="1"/>
  <c r="G2362" i="1" a="1"/>
  <c r="G2405" i="1" a="1"/>
  <c r="G2442" i="1" a="1"/>
  <c r="G2474" i="1" a="1"/>
  <c r="G2506" i="1" a="1"/>
  <c r="G2538" i="1" a="1"/>
  <c r="G2570" i="1" a="1"/>
  <c r="G2602" i="1" a="1"/>
  <c r="G2634" i="1" a="1"/>
  <c r="G2670" i="1" a="1"/>
  <c r="G2702" i="1" a="1"/>
  <c r="G2738" i="1" a="1"/>
  <c r="G2798" i="1" a="1"/>
  <c r="G2866" i="1" a="1"/>
  <c r="G2930" i="1" a="1"/>
  <c r="G3002" i="1" a="1"/>
  <c r="G1816" i="1" a="1"/>
  <c r="G2125" i="1" a="1"/>
  <c r="G2251" i="1" a="1"/>
  <c r="G2379" i="1" a="1"/>
  <c r="G2855" i="1" a="1"/>
  <c r="G2919" i="1" a="1"/>
  <c r="G2983" i="1" a="1"/>
  <c r="G3051" i="1" a="1"/>
  <c r="G1892" i="1" a="1"/>
  <c r="G2133" i="1" a="1"/>
  <c r="G2177" i="1" a="1"/>
  <c r="G2220" i="1" a="1"/>
  <c r="G2262" i="1" a="1"/>
  <c r="G2305" i="1" a="1"/>
  <c r="G2348" i="1" a="1"/>
  <c r="G2390" i="1" a="1"/>
  <c r="G2431" i="1" a="1"/>
  <c r="G2463" i="1" a="1"/>
  <c r="G2495" i="1" a="1"/>
  <c r="G2527" i="1" a="1"/>
  <c r="G2559" i="1" a="1"/>
  <c r="G2591" i="1" a="1"/>
  <c r="G2623" i="1" a="1"/>
  <c r="G2655" i="1" a="1"/>
  <c r="G2687" i="1" a="1"/>
  <c r="G2719" i="1" a="1"/>
  <c r="G2755" i="1" a="1"/>
  <c r="G2787" i="1" a="1"/>
  <c r="G2823" i="1" a="1"/>
  <c r="G2883" i="1" a="1"/>
  <c r="G2947" i="1" a="1"/>
  <c r="G3011" i="1" a="1"/>
  <c r="G1978" i="1" a="1"/>
  <c r="G2480" i="1" a="1"/>
  <c r="G2736" i="1" a="1"/>
  <c r="G3110" i="1" a="1"/>
  <c r="G3238" i="1" a="1"/>
  <c r="G3366" i="1" a="1"/>
  <c r="G2242" i="1" a="1"/>
  <c r="G2941" i="1" a="1"/>
  <c r="G3211" i="1" a="1"/>
  <c r="G1686" i="1" a="1"/>
  <c r="G2226" i="1" a="1"/>
  <c r="G2397" i="1" a="1"/>
  <c r="G2652" i="1" a="1"/>
  <c r="G2824" i="1" a="1"/>
  <c r="G2888" i="1" a="1"/>
  <c r="G2952" i="1" a="1"/>
  <c r="G3016" i="1" a="1"/>
  <c r="G3079" i="1" a="1"/>
  <c r="G3121" i="1" a="1"/>
  <c r="G3164" i="1" a="1"/>
  <c r="G3207" i="1" a="1"/>
  <c r="G3249" i="1" a="1"/>
  <c r="G3292" i="1" a="1"/>
  <c r="G3335" i="1" a="1"/>
  <c r="G3230" i="1" a="1"/>
  <c r="G3146" i="1" a="1"/>
  <c r="G2837" i="1" a="1"/>
  <c r="G3131" i="1" a="1"/>
  <c r="G3360" i="1" a="1"/>
  <c r="G2359" i="1" a="1"/>
  <c r="G2664" i="1" a="1"/>
  <c r="G3074" i="1" a="1"/>
  <c r="G3202" i="1" a="1"/>
  <c r="G3330" i="1" a="1"/>
  <c r="G3224" i="1" a="1"/>
  <c r="G3293" i="1" a="1"/>
  <c r="G3198" i="1" a="1"/>
  <c r="G3013" i="1" a="1"/>
  <c r="G1841" i="1" a="1"/>
  <c r="G2253" i="1" a="1"/>
  <c r="G2418" i="1" a="1"/>
  <c r="G2676" i="1" a="1"/>
  <c r="G2833" i="1" a="1"/>
  <c r="G2897" i="1" a="1"/>
  <c r="G2961" i="1" a="1"/>
  <c r="G3025" i="1" a="1"/>
  <c r="G3080" i="1" a="1"/>
  <c r="G3123" i="1" a="1"/>
  <c r="G3171" i="1" a="1"/>
  <c r="G3261" i="1" a="1"/>
  <c r="G3357" i="1" a="1"/>
  <c r="G2532" i="1" a="1"/>
  <c r="G3227" i="1" a="1"/>
  <c r="G2126" i="1" a="1"/>
  <c r="G2464" i="1" a="1"/>
  <c r="G2720" i="1" a="1"/>
  <c r="G3166" i="1" a="1"/>
  <c r="G3242" i="1" a="1"/>
  <c r="G2436" i="1" a="1"/>
  <c r="G3061" i="1" a="1"/>
  <c r="G3285" i="1" a="1"/>
  <c r="G2152" i="1" a="1"/>
  <c r="G2322" i="1" a="1"/>
  <c r="G2508" i="1" a="1"/>
  <c r="G2764" i="1" a="1"/>
  <c r="G2852" i="1" a="1"/>
  <c r="G2916" i="1" a="1"/>
  <c r="G2980" i="1" a="1"/>
  <c r="G3048" i="1" a="1"/>
  <c r="G3092" i="1" a="1"/>
  <c r="G3135" i="1" a="1"/>
  <c r="G3177" i="1" a="1"/>
  <c r="G3220" i="1" a="1"/>
  <c r="G3263" i="1" a="1"/>
  <c r="G3305" i="1" a="1"/>
  <c r="G3348" i="1" a="1"/>
  <c r="G2391" i="1" a="1"/>
  <c r="G3130" i="1" a="1"/>
  <c r="G2596" i="1" a="1"/>
  <c r="G3049" i="1" a="1"/>
  <c r="G3291" i="1" a="1"/>
  <c r="C20" i="1" a="1"/>
  <c r="C52" i="1" a="1"/>
  <c r="C84" i="1" a="1"/>
  <c r="C120" i="1" a="1"/>
  <c r="C184" i="1" a="1"/>
  <c r="C248" i="1" a="1"/>
  <c r="C312" i="1" a="1"/>
  <c r="C26" i="1" a="1"/>
  <c r="C69" i="1" a="1"/>
  <c r="C111" i="1" a="1"/>
  <c r="C175" i="1" a="1"/>
  <c r="C239" i="1" a="1"/>
  <c r="C303" i="1" a="1"/>
  <c r="C356" i="1" a="1"/>
  <c r="C388" i="1" a="1"/>
  <c r="C420" i="1" a="1"/>
  <c r="C452" i="1" a="1"/>
  <c r="C484" i="1" a="1"/>
  <c r="C516" i="1" a="1"/>
  <c r="C154" i="1" a="1"/>
  <c r="C218" i="1" a="1"/>
  <c r="C282" i="1" a="1"/>
  <c r="C19" i="1" a="1"/>
  <c r="C128" i="1" a="1"/>
  <c r="C223" i="1" a="1"/>
  <c r="C325" i="1" a="1"/>
  <c r="C415" i="1" a="1"/>
  <c r="C502" i="1" a="1"/>
  <c r="C549" i="1" a="1"/>
  <c r="C581" i="1" a="1"/>
  <c r="C613" i="1" a="1"/>
  <c r="C34" i="1" a="1"/>
  <c r="C162" i="1" a="1"/>
  <c r="C254" i="1" a="1"/>
  <c r="C381" i="1" a="1"/>
  <c r="C459" i="1" a="1"/>
  <c r="C550" i="1" a="1"/>
  <c r="C632" i="1" a="1"/>
  <c r="C664" i="1" a="1"/>
  <c r="C696" i="1" a="1"/>
  <c r="C728" i="1" a="1"/>
  <c r="C760" i="1" a="1"/>
  <c r="C792" i="1" a="1"/>
  <c r="C824" i="1" a="1"/>
  <c r="C45" i="1" a="1"/>
  <c r="C188" i="1" a="1"/>
  <c r="C279" i="1" a="1"/>
  <c r="C375" i="1" a="1"/>
  <c r="C486" i="1" a="1"/>
  <c r="C587" i="1" a="1"/>
  <c r="C67" i="1" a="1"/>
  <c r="C174" i="1" a="1"/>
  <c r="C292" i="1" a="1"/>
  <c r="C394" i="1" a="1"/>
  <c r="C509" i="1" a="1"/>
  <c r="C41" i="1" a="1"/>
  <c r="C226" i="1" a="1"/>
  <c r="C357" i="1" a="1"/>
  <c r="C505" i="1" a="1"/>
  <c r="C59" i="1" a="1"/>
  <c r="C320" i="1" a="1"/>
  <c r="C431" i="1" a="1"/>
  <c r="C592" i="1" a="1"/>
  <c r="C46" i="1" a="1"/>
  <c r="C256" i="1" a="1"/>
  <c r="C482" i="1" a="1"/>
  <c r="C604" i="1" a="1"/>
  <c r="C197" i="1" a="1"/>
  <c r="C410" i="1" a="1"/>
  <c r="C606" i="1" a="1"/>
  <c r="C702" i="1" a="1"/>
  <c r="C787" i="1" a="1"/>
  <c r="C845" i="1" a="1"/>
  <c r="C909" i="1" a="1"/>
  <c r="C973" i="1" a="1"/>
  <c r="C203" i="1" a="1"/>
  <c r="C478" i="1" a="1"/>
  <c r="C697" i="1" a="1"/>
  <c r="C782" i="1" a="1"/>
  <c r="C882" i="1" a="1"/>
  <c r="C946" i="1" a="1"/>
  <c r="C1004" i="1" a="1"/>
  <c r="C1036" i="1" a="1"/>
  <c r="C1068" i="1" a="1"/>
  <c r="C1100" i="1" a="1"/>
  <c r="C117" i="1" a="1"/>
  <c r="C331" i="1" a="1"/>
  <c r="C626" i="1" a="1"/>
  <c r="C698" i="1" a="1"/>
  <c r="C783" i="1" a="1"/>
  <c r="C846" i="1" a="1"/>
  <c r="C910" i="1" a="1"/>
  <c r="C974" i="1" a="1"/>
  <c r="C299" i="1" a="1"/>
  <c r="C526" i="1" a="1"/>
  <c r="C682" i="1" a="1"/>
  <c r="C767" i="1" a="1"/>
  <c r="C875" i="1" a="1"/>
  <c r="C939" i="1" a="1"/>
  <c r="C206" i="1" a="1"/>
  <c r="C22" i="1" a="1"/>
  <c r="C637" i="1" a="1"/>
  <c r="C809" i="1" a="1"/>
  <c r="C925" i="1" a="1"/>
  <c r="C1026" i="1" a="1"/>
  <c r="C1115" i="1" a="1"/>
  <c r="C1224" i="1" a="1"/>
  <c r="C1279" i="1" a="1"/>
  <c r="C1311" i="1" a="1"/>
  <c r="C1343" i="1" a="1"/>
  <c r="C1375" i="1" a="1"/>
  <c r="C1407" i="1" a="1"/>
  <c r="C1439" i="1" a="1"/>
  <c r="C1471" i="1" a="1"/>
  <c r="C1503" i="1" a="1"/>
  <c r="C1535" i="1" a="1"/>
  <c r="C1567" i="1" a="1"/>
  <c r="C1599" i="1" a="1"/>
  <c r="C1631" i="1" a="1"/>
  <c r="C1663" i="1" a="1"/>
  <c r="C1695" i="1" a="1"/>
  <c r="C1727" i="1" a="1"/>
  <c r="C1759" i="1" a="1"/>
  <c r="C169" i="1" a="1"/>
  <c r="C689" i="1" a="1"/>
  <c r="C833" i="1" a="1"/>
  <c r="C935" i="1" a="1"/>
  <c r="C1046" i="1" a="1"/>
  <c r="C1129" i="1" a="1"/>
  <c r="C1171" i="1" a="1"/>
  <c r="C1214" i="1" a="1"/>
  <c r="C99" i="1" a="1"/>
  <c r="C495" i="1" a="1"/>
  <c r="C730" i="1" a="1"/>
  <c r="C856" i="1" a="1"/>
  <c r="C990" i="1" a="1"/>
  <c r="C1074" i="1" a="1"/>
  <c r="C1184" i="1" a="1"/>
  <c r="C1265" i="1" a="1"/>
  <c r="C1297" i="1" a="1"/>
  <c r="C1329" i="1" a="1"/>
  <c r="C1361" i="1" a="1"/>
  <c r="C1393" i="1" a="1"/>
  <c r="C1425" i="1" a="1"/>
  <c r="C1457" i="1" a="1"/>
  <c r="C1489" i="1" a="1"/>
  <c r="C1521" i="1" a="1"/>
  <c r="C1553" i="1" a="1"/>
  <c r="C1585" i="1" a="1"/>
  <c r="C1617" i="1" a="1"/>
  <c r="C1649" i="1" a="1"/>
  <c r="C1681" i="1" a="1"/>
  <c r="C1713" i="1" a="1"/>
  <c r="C1745" i="1" a="1"/>
  <c r="C1777" i="1" a="1"/>
  <c r="C442" i="1" a="1"/>
  <c r="C945" i="1" a="1"/>
  <c r="C1101" i="1" a="1"/>
  <c r="C1181" i="1" a="1"/>
  <c r="C1314" i="1" a="1"/>
  <c r="C1442" i="1" a="1"/>
  <c r="C1570" i="1" a="1"/>
  <c r="C1698" i="1" a="1"/>
  <c r="C1810" i="1" a="1"/>
  <c r="C1874" i="1" a="1"/>
  <c r="C1938" i="1" a="1"/>
  <c r="C2002" i="1" a="1"/>
  <c r="C151" i="1" a="1"/>
  <c r="C750" i="1" a="1"/>
  <c r="C947" i="1" a="1"/>
  <c r="C1070" i="1" a="1"/>
  <c r="C1174" i="1" a="1"/>
  <c r="C1296" i="1" a="1"/>
  <c r="C1424" i="1" a="1"/>
  <c r="C1552" i="1" a="1"/>
  <c r="C1680" i="1" a="1"/>
  <c r="C1797" i="1" a="1"/>
  <c r="C1861" i="1" a="1"/>
  <c r="C1925" i="1" a="1"/>
  <c r="C1989" i="1" a="1"/>
  <c r="C2053" i="1" a="1"/>
  <c r="C757" i="1" a="1"/>
  <c r="C938" i="1" a="1"/>
  <c r="C1054" i="1" a="1"/>
  <c r="C1211" i="1" a="1"/>
  <c r="C1298" i="1" a="1"/>
  <c r="C1426" i="1" a="1"/>
  <c r="C1554" i="1" a="1"/>
  <c r="C1682" i="1" a="1"/>
  <c r="C1794" i="1" a="1"/>
  <c r="C1858" i="1" a="1"/>
  <c r="C1922" i="1" a="1"/>
  <c r="C1986" i="1" a="1"/>
  <c r="C2050" i="1" a="1"/>
  <c r="C771" i="1" a="1"/>
  <c r="C1153" i="1" a="1"/>
  <c r="C1300" i="1" a="1"/>
  <c r="C1536" i="1" a="1"/>
  <c r="C1700" i="1" a="1"/>
  <c r="C1885" i="1" a="1"/>
  <c r="C1973" i="1" a="1"/>
  <c r="C2078" i="1" a="1"/>
  <c r="C2142" i="1" a="1"/>
  <c r="C2206" i="1" a="1"/>
  <c r="C2270" i="1" a="1"/>
  <c r="C714" i="1" a="1"/>
  <c r="C977" i="1" a="1"/>
  <c r="C1109" i="1" a="1"/>
  <c r="C1312" i="1" a="1"/>
  <c r="C1476" i="1" a="1"/>
  <c r="C1690" i="1" a="1"/>
  <c r="C1813" i="1" a="1"/>
  <c r="C1930" i="1" a="1"/>
  <c r="C2010" i="1" a="1"/>
  <c r="C2097" i="1" a="1"/>
  <c r="C2161" i="1" a="1"/>
  <c r="C2225" i="1" a="1"/>
  <c r="C2289" i="1" a="1"/>
  <c r="C2332" i="1" a="1"/>
  <c r="C2364" i="1" a="1"/>
  <c r="C2396" i="1" a="1"/>
  <c r="C2428" i="1" a="1"/>
  <c r="C2460" i="1" a="1"/>
  <c r="C2492" i="1" a="1"/>
  <c r="C2524" i="1" a="1"/>
  <c r="C2556" i="1" a="1"/>
  <c r="C2588" i="1" a="1"/>
  <c r="C2620" i="1" a="1"/>
  <c r="C2652" i="1" a="1"/>
  <c r="C563" i="1" a="1"/>
  <c r="C984" i="1" a="1"/>
  <c r="C1239" i="1" a="1"/>
  <c r="C1428" i="1" a="1"/>
  <c r="C1664" i="1" a="1"/>
  <c r="C1837" i="1" a="1"/>
  <c r="C1940" i="1" a="1"/>
  <c r="C2035" i="1" a="1"/>
  <c r="C2117" i="1" a="1"/>
  <c r="C2181" i="1" a="1"/>
  <c r="C2245" i="1" a="1"/>
  <c r="C2309" i="1" a="1"/>
  <c r="C851" i="1" a="1"/>
  <c r="C1149" i="1" a="1"/>
  <c r="C1370" i="1" a="1"/>
  <c r="C1779" i="1" a="1"/>
  <c r="C2005" i="1" a="1"/>
  <c r="C2139" i="1" a="1"/>
  <c r="C2249" i="1" a="1"/>
  <c r="C2334" i="1" a="1"/>
  <c r="C2423" i="1" a="1"/>
  <c r="C2513" i="1" a="1"/>
  <c r="C2590" i="1" a="1"/>
  <c r="C2679" i="1" a="1"/>
  <c r="C2743" i="1" a="1"/>
  <c r="C2807" i="1" a="1"/>
  <c r="C2871" i="1" a="1"/>
  <c r="C1025" i="1" a="1"/>
  <c r="C1504" i="1" a="1"/>
  <c r="C1795" i="1" a="1"/>
  <c r="C1901" i="1" a="1"/>
  <c r="C2052" i="1" a="1"/>
  <c r="C2162" i="1" a="1"/>
  <c r="C2250" i="1" a="1"/>
  <c r="C2354" i="1" a="1"/>
  <c r="C2443" i="1" a="1"/>
  <c r="C2533" i="1" a="1"/>
  <c r="C2610" i="1" a="1"/>
  <c r="C2685" i="1" a="1"/>
  <c r="C2749" i="1" a="1"/>
  <c r="C2813" i="1" a="1"/>
  <c r="C2877" i="1" a="1"/>
  <c r="C153" i="1" a="1"/>
  <c r="C1086" i="1" a="1"/>
  <c r="C1492" i="1" a="1"/>
  <c r="C1672" i="1" a="1"/>
  <c r="C1822" i="1" a="1"/>
  <c r="C2056" i="1" a="1"/>
  <c r="C985" i="1" a="1"/>
  <c r="C1229" i="1" a="1"/>
  <c r="C1626" i="1" a="1"/>
  <c r="C1848" i="1" a="1"/>
  <c r="C1197" i="1" a="1"/>
  <c r="C1796" i="1" a="1"/>
  <c r="C2090" i="1" a="1"/>
  <c r="C2283" i="1" a="1"/>
  <c r="C2415" i="1" a="1"/>
  <c r="C2535" i="1" a="1"/>
  <c r="C2655" i="1" a="1"/>
  <c r="C2730" i="1" a="1"/>
  <c r="C2822" i="1" a="1"/>
  <c r="C2900" i="1" a="1"/>
  <c r="C2960" i="1" a="1"/>
  <c r="C3024" i="1" a="1"/>
  <c r="C3297" i="1" a="1"/>
  <c r="C3357" i="1" a="1"/>
  <c r="C2919" i="1" a="1"/>
  <c r="C3114" i="1" a="1"/>
  <c r="C3198" i="1" a="1"/>
  <c r="C3310" i="1" a="1"/>
  <c r="C1218" i="1" a="1"/>
  <c r="C2143" i="1" a="1"/>
  <c r="C2438" i="1" a="1"/>
  <c r="C2691" i="1" a="1"/>
  <c r="C2920" i="1" a="1"/>
  <c r="C1114" i="1" a="1"/>
  <c r="C1642" i="1" a="1"/>
  <c r="C1964" i="1" a="1"/>
  <c r="C2208" i="1" a="1"/>
  <c r="C2296" i="1" a="1"/>
  <c r="C2365" i="1" a="1"/>
  <c r="C2485" i="1" a="1"/>
  <c r="C2605" i="1" a="1"/>
  <c r="C2737" i="1" a="1"/>
  <c r="C2816" i="1" a="1"/>
  <c r="C2923" i="1" a="1"/>
  <c r="C2987" i="1" a="1"/>
  <c r="C3051" i="1" a="1"/>
  <c r="C3097" i="1" a="1"/>
  <c r="C3129" i="1" a="1"/>
  <c r="C3161" i="1" a="1"/>
  <c r="C3193" i="1" a="1"/>
  <c r="C3225" i="1" a="1"/>
  <c r="C3257" i="1" a="1"/>
  <c r="C3293" i="1" a="1"/>
  <c r="C3361" i="1" a="1"/>
  <c r="C2935" i="1" a="1"/>
  <c r="C3074" i="1" a="1"/>
  <c r="C3190" i="1" a="1"/>
  <c r="C3294" i="1" a="1"/>
  <c r="C970" i="1" a="1"/>
  <c r="C2060" i="1" a="1"/>
  <c r="C2351" i="1" a="1"/>
  <c r="C2599" i="1" a="1"/>
  <c r="C2811" i="1" a="1"/>
  <c r="C3069" i="1" a="1"/>
  <c r="C1210" i="1" a="1"/>
  <c r="C1514" i="1" a="1"/>
  <c r="C2037" i="1" a="1"/>
  <c r="C2150" i="1" a="1"/>
  <c r="C2267" i="1" a="1"/>
  <c r="C2393" i="1" a="1"/>
  <c r="C2511" i="1" a="1"/>
  <c r="C2631" i="1" a="1"/>
  <c r="C2718" i="1" a="1"/>
  <c r="C2803" i="1" a="1"/>
  <c r="C2895" i="1" a="1"/>
  <c r="C2956" i="1" a="1"/>
  <c r="C3020" i="1" a="1"/>
  <c r="C2427" i="1" a="1"/>
  <c r="C2563" i="1" a="1"/>
  <c r="C2689" i="1" a="1"/>
  <c r="C2817" i="1" a="1"/>
  <c r="C3010" i="1" a="1"/>
  <c r="C3138" i="1" a="1"/>
  <c r="C3230" i="1" a="1"/>
  <c r="C3318" i="1" a="1"/>
  <c r="C958" i="1" a="1"/>
  <c r="C1646" i="1" a="1"/>
  <c r="C2084" i="1" a="1"/>
  <c r="C2230" i="1" a="1"/>
  <c r="C2333" i="1" a="1"/>
  <c r="C2826" i="1" a="1"/>
  <c r="C3032" i="1" a="1"/>
  <c r="C1630" i="1" a="1"/>
  <c r="C2241" i="1" a="1"/>
  <c r="C2611" i="1" a="1"/>
  <c r="C2833" i="1" a="1"/>
  <c r="C3033" i="1" a="1"/>
  <c r="C3180" i="1" a="1"/>
  <c r="C3247" i="1" a="1"/>
  <c r="C3311" i="1" a="1"/>
  <c r="C3352" i="1" a="1"/>
  <c r="C2927" i="1" a="1"/>
  <c r="C3315" i="1" a="1"/>
  <c r="C2602" i="1" a="1"/>
  <c r="C1528" i="1" a="1"/>
  <c r="C2771" i="1" a="1"/>
  <c r="C3204" i="1" a="1"/>
  <c r="C1364" i="1" a="1"/>
  <c r="C2756" i="1" a="1"/>
  <c r="C1466" i="1" a="1"/>
  <c r="C2049" i="1" a="1"/>
  <c r="C2457" i="1" a="1"/>
  <c r="C2700" i="1" a="1"/>
  <c r="C2937" i="1" a="1"/>
  <c r="C3108" i="1" a="1"/>
  <c r="C3312" i="1" a="1"/>
  <c r="C2764" i="1" a="1"/>
  <c r="C3355" i="1" a="1"/>
  <c r="C2769" i="1" a="1"/>
  <c r="C2447" i="1" a="1"/>
  <c r="C3324" i="1" a="1"/>
  <c r="C1087" i="1" a="1"/>
  <c r="C2144" i="1" a="1"/>
  <c r="C2414" i="1" a="1"/>
  <c r="C2705" i="1" a="1"/>
  <c r="C2926" i="1" a="1"/>
  <c r="C3065" i="1" a="1"/>
  <c r="C3192" i="1" a="1"/>
  <c r="C3256" i="1" a="1"/>
  <c r="C2022" i="1" a="1"/>
  <c r="C2958" i="1" a="1"/>
  <c r="C3331" i="1" a="1"/>
  <c r="C2985" i="1" a="1"/>
  <c r="C2848" i="1" a="1"/>
  <c r="C3348" i="1" a="1"/>
  <c r="C2948" i="1" a="1"/>
  <c r="C1304" i="1" a="1"/>
  <c r="C2223" i="1" a="1"/>
  <c r="C2619" i="1" a="1"/>
  <c r="C2878" i="1" a="1"/>
  <c r="C3023" i="1" a="1"/>
  <c r="C3164" i="1" a="1"/>
  <c r="C2253" i="1" a="1"/>
  <c r="C3195" i="1" a="1"/>
  <c r="C2282" i="1" a="1"/>
  <c r="C3115" i="1" a="1"/>
  <c r="C3300" i="1" a="1"/>
  <c r="G416" i="1" a="1"/>
  <c r="G1344" i="1" a="1"/>
  <c r="G843" i="1" a="1"/>
  <c r="G1293" i="1" a="1"/>
  <c r="G1632" i="1" a="1"/>
  <c r="G1402" i="1" a="1"/>
  <c r="G1704" i="1" a="1"/>
  <c r="G1469" i="1" a="1"/>
  <c r="G2043" i="1" a="1"/>
  <c r="G1782" i="1" a="1"/>
  <c r="G2080" i="1" a="1"/>
  <c r="G1945" i="1" a="1"/>
  <c r="G1461" i="1" a="1"/>
  <c r="G1485" i="1" a="1"/>
  <c r="G2361" i="1" a="1"/>
  <c r="G2601" i="1" a="1"/>
  <c r="G1898" i="1" a="1"/>
  <c r="G3006" i="1" a="1"/>
  <c r="G2346" i="1" a="1"/>
  <c r="G2590" i="1" a="1"/>
  <c r="G2906" i="1" a="1"/>
  <c r="G2895" i="1" a="1"/>
  <c r="G2289" i="1" a="1"/>
  <c r="G2611" i="1" a="1"/>
  <c r="G2987" i="1" a="1"/>
  <c r="G3338" i="1" a="1"/>
  <c r="G2800" i="1" a="1"/>
  <c r="G3276" i="1" a="1"/>
  <c r="G3045" i="1" a="1"/>
  <c r="G2189" i="1" a="1"/>
  <c r="G3064" i="1" a="1"/>
  <c r="G3125" i="1" a="1"/>
  <c r="G2264" i="1" a="1"/>
  <c r="G59" i="1" a="1"/>
  <c r="G36" i="1" a="1"/>
  <c r="G179" i="1" a="1"/>
  <c r="G159" i="1" a="1"/>
  <c r="G381" i="1" a="1"/>
  <c r="G34" i="1" a="1"/>
  <c r="G293" i="1" a="1"/>
  <c r="G331" i="1" a="1"/>
  <c r="G252" i="1" a="1"/>
  <c r="G400" i="1" a="1"/>
  <c r="G514" i="1" a="1"/>
  <c r="G387" i="1" a="1"/>
  <c r="G636" i="1" a="1"/>
  <c r="G54" i="1" a="1"/>
  <c r="G580" i="1" a="1"/>
  <c r="G468" i="1" a="1"/>
  <c r="G549" i="1" a="1"/>
  <c r="G695" i="1" a="1"/>
  <c r="G697" i="1" a="1"/>
  <c r="G674" i="1" a="1"/>
  <c r="G927" i="1" a="1"/>
  <c r="G781" i="1" a="1"/>
  <c r="G1037" i="1" a="1"/>
  <c r="G592" i="1" a="1"/>
  <c r="G852" i="1" a="1"/>
  <c r="G500" i="1" a="1"/>
  <c r="G808" i="1" a="1"/>
  <c r="G1064" i="1" a="1"/>
  <c r="G911" i="1" a="1"/>
  <c r="G925" i="1" a="1"/>
  <c r="G1215" i="1" a="1"/>
  <c r="G990" i="1" a="1"/>
  <c r="G760" i="1" a="1"/>
  <c r="G1016" i="1" a="1"/>
  <c r="G1176" i="1" a="1"/>
  <c r="G1228" i="1" a="1"/>
  <c r="G559" i="1" a="1"/>
  <c r="G969" i="1" a="1"/>
  <c r="G1243" i="1" a="1"/>
  <c r="G1317" i="1" a="1"/>
  <c r="G1385" i="1" a="1"/>
  <c r="G893" i="1" a="1"/>
  <c r="G1177" i="1" a="1"/>
  <c r="G1263" i="1" a="1"/>
  <c r="G1372" i="1" a="1"/>
  <c r="G1430" i="1" a="1"/>
  <c r="G1462" i="1" a="1"/>
  <c r="G1494" i="1" a="1"/>
  <c r="G1526" i="1" a="1"/>
  <c r="G1558" i="1" a="1"/>
  <c r="G1590" i="1" a="1"/>
  <c r="G1622" i="1" a="1"/>
  <c r="G1654" i="1" a="1"/>
  <c r="G791" i="1" a="1"/>
  <c r="G1047" i="1" a="1"/>
  <c r="G1251" i="1" a="1"/>
  <c r="G1308" i="1" a="1"/>
  <c r="G1354" i="1" a="1"/>
  <c r="G1418" i="1" a="1"/>
  <c r="G971" i="1" a="1"/>
  <c r="G1162" i="1" a="1"/>
  <c r="G1226" i="1" a="1"/>
  <c r="G1319" i="1" a="1"/>
  <c r="G1396" i="1" a="1"/>
  <c r="G1439" i="1" a="1"/>
  <c r="G1471" i="1" a="1"/>
  <c r="G1503" i="1" a="1"/>
  <c r="G1535" i="1" a="1"/>
  <c r="G1567" i="1" a="1"/>
  <c r="G1599" i="1" a="1"/>
  <c r="G1631" i="1" a="1"/>
  <c r="G777" i="1" a="1"/>
  <c r="G1033" i="1" a="1"/>
  <c r="G1272" i="1" a="1"/>
  <c r="G1314" i="1" a="1"/>
  <c r="G1360" i="1" a="1"/>
  <c r="G778" i="1" a="1"/>
  <c r="G1034" i="1" a="1"/>
  <c r="G1181" i="1" a="1"/>
  <c r="G1247" i="1" a="1"/>
  <c r="G1365" i="1" a="1"/>
  <c r="G1424" i="1" a="1"/>
  <c r="G1456" i="1" a="1"/>
  <c r="G1488" i="1" a="1"/>
  <c r="G1520" i="1" a="1"/>
  <c r="G1552" i="1" a="1"/>
  <c r="G1584" i="1" a="1"/>
  <c r="G1616" i="1" a="1"/>
  <c r="G1648" i="1" a="1"/>
  <c r="G1254" i="1" a="1"/>
  <c r="G1670" i="1" a="1"/>
  <c r="G1734" i="1" a="1"/>
  <c r="G1798" i="1" a="1"/>
  <c r="G1862" i="1" a="1"/>
  <c r="G1131" i="1" a="1"/>
  <c r="G1433" i="1" a="1"/>
  <c r="G1284" i="1" a="1"/>
  <c r="G1685" i="1" a="1"/>
  <c r="G1749" i="1" a="1"/>
  <c r="G1813" i="1" a="1"/>
  <c r="G1877" i="1" a="1"/>
  <c r="G1348" i="1" a="1"/>
  <c r="G1473" i="1" a="1"/>
  <c r="G1537" i="1" a="1"/>
  <c r="G1601" i="1" a="1"/>
  <c r="G1672" i="1" a="1"/>
  <c r="G1736" i="1" a="1"/>
  <c r="G1800" i="1" a="1"/>
  <c r="G1389" i="1" a="1"/>
  <c r="G1714" i="1" a="1"/>
  <c r="G1778" i="1" a="1"/>
  <c r="G1842" i="1" a="1"/>
  <c r="G1407" i="1" a="1"/>
  <c r="G1687" i="1" a="1"/>
  <c r="G1820" i="1" a="1"/>
  <c r="G751" i="1" a="1"/>
  <c r="G1697" i="1" a="1"/>
  <c r="G1828" i="1" a="1"/>
  <c r="G1899" i="1" a="1"/>
  <c r="G1931" i="1" a="1"/>
  <c r="G1963" i="1" a="1"/>
  <c r="G1995" i="1" a="1"/>
  <c r="G2027" i="1" a="1"/>
  <c r="G2059" i="1" a="1"/>
  <c r="G2091" i="1" a="1"/>
  <c r="G2123" i="1" a="1"/>
  <c r="G1316" i="1" a="1"/>
  <c r="G1689" i="1" a="1"/>
  <c r="G1829" i="1" a="1"/>
  <c r="G1267" i="1" a="1"/>
  <c r="G1718" i="1" a="1"/>
  <c r="G1837" i="1" a="1"/>
  <c r="G1904" i="1" a="1"/>
  <c r="G1936" i="1" a="1"/>
  <c r="G1968" i="1" a="1"/>
  <c r="G2000" i="1" a="1"/>
  <c r="G2032" i="1" a="1"/>
  <c r="G2064" i="1" a="1"/>
  <c r="G2096" i="1" a="1"/>
  <c r="G2128" i="1" a="1"/>
  <c r="G1674" i="1" a="1"/>
  <c r="G1802" i="1" a="1"/>
  <c r="G1897" i="1" a="1"/>
  <c r="G1929" i="1" a="1"/>
  <c r="G1961" i="1" a="1"/>
  <c r="G1993" i="1" a="1"/>
  <c r="G2025" i="1" a="1"/>
  <c r="G2057" i="1" a="1"/>
  <c r="G2089" i="1" a="1"/>
  <c r="G2121" i="1" a="1"/>
  <c r="G1675" i="1" a="1"/>
  <c r="G1803" i="1" a="1"/>
  <c r="G1906" i="1" a="1"/>
  <c r="G2136" i="1" a="1"/>
  <c r="G2259" i="1" a="1"/>
  <c r="G2387" i="1" a="1"/>
  <c r="G1826" i="1" a="1"/>
  <c r="G2046" i="1" a="1"/>
  <c r="G2169" i="1" a="1"/>
  <c r="G2212" i="1" a="1"/>
  <c r="G2254" i="1" a="1"/>
  <c r="G2297" i="1" a="1"/>
  <c r="G2340" i="1" a="1"/>
  <c r="G2382" i="1" a="1"/>
  <c r="G2425" i="1" a="1"/>
  <c r="G2457" i="1" a="1"/>
  <c r="G2489" i="1" a="1"/>
  <c r="G2521" i="1" a="1"/>
  <c r="G2553" i="1" a="1"/>
  <c r="G2585" i="1" a="1"/>
  <c r="G2617" i="1" a="1"/>
  <c r="G2649" i="1" a="1"/>
  <c r="G2681" i="1" a="1"/>
  <c r="G2713" i="1" a="1"/>
  <c r="G2745" i="1" a="1"/>
  <c r="G2777" i="1" a="1"/>
  <c r="G1774" i="1" a="1"/>
  <c r="G2026" i="1" a="1"/>
  <c r="G2175" i="1" a="1"/>
  <c r="G2303" i="1" a="1"/>
  <c r="G2666" i="1" a="1"/>
  <c r="G2794" i="1" a="1"/>
  <c r="G2854" i="1" a="1"/>
  <c r="G2918" i="1" a="1"/>
  <c r="G2978" i="1" a="1"/>
  <c r="G1149" i="1" a="1"/>
  <c r="G1974" i="1" a="1"/>
  <c r="G2154" i="1" a="1"/>
  <c r="G2197" i="1" a="1"/>
  <c r="G2240" i="1" a="1"/>
  <c r="G2282" i="1" a="1"/>
  <c r="G2325" i="1" a="1"/>
  <c r="G2368" i="1" a="1"/>
  <c r="G2410" i="1" a="1"/>
  <c r="G2446" i="1" a="1"/>
  <c r="G2478" i="1" a="1"/>
  <c r="G2510" i="1" a="1"/>
  <c r="G2542" i="1" a="1"/>
  <c r="G2574" i="1" a="1"/>
  <c r="G2606" i="1" a="1"/>
  <c r="G2638" i="1" a="1"/>
  <c r="G2674" i="1" a="1"/>
  <c r="G2706" i="1" a="1"/>
  <c r="G2746" i="1" a="1"/>
  <c r="G2806" i="1" a="1"/>
  <c r="G2874" i="1" a="1"/>
  <c r="G2942" i="1" a="1"/>
  <c r="G3010" i="1" a="1"/>
  <c r="G1922" i="1" a="1"/>
  <c r="G2138" i="1" a="1"/>
  <c r="G2267" i="1" a="1"/>
  <c r="G2395" i="1" a="1"/>
  <c r="G2863" i="1" a="1"/>
  <c r="G2927" i="1" a="1"/>
  <c r="G2991" i="1" a="1"/>
  <c r="G1222" i="1" a="1"/>
  <c r="G1902" i="1" a="1"/>
  <c r="G2140" i="1" a="1"/>
  <c r="G2182" i="1" a="1"/>
  <c r="G2225" i="1" a="1"/>
  <c r="G2268" i="1" a="1"/>
  <c r="G2310" i="1" a="1"/>
  <c r="G2353" i="1" a="1"/>
  <c r="G2396" i="1" a="1"/>
  <c r="G2435" i="1" a="1"/>
  <c r="G2467" i="1" a="1"/>
  <c r="G2499" i="1" a="1"/>
  <c r="G2531" i="1" a="1"/>
  <c r="G2563" i="1" a="1"/>
  <c r="G2595" i="1" a="1"/>
  <c r="G2627" i="1" a="1"/>
  <c r="G2659" i="1" a="1"/>
  <c r="G2691" i="1" a="1"/>
  <c r="G2723" i="1" a="1"/>
  <c r="G2759" i="1" a="1"/>
  <c r="G2791" i="1" a="1"/>
  <c r="G2827" i="1" a="1"/>
  <c r="G2891" i="1" a="1"/>
  <c r="G2955" i="1" a="1"/>
  <c r="G3019" i="1" a="1"/>
  <c r="G2106" i="1" a="1"/>
  <c r="G2512" i="1" a="1"/>
  <c r="G2768" i="1" a="1"/>
  <c r="G3126" i="1" a="1"/>
  <c r="G3254" i="1" a="1"/>
  <c r="G3066" i="1" a="1"/>
  <c r="G2285" i="1" a="1"/>
  <c r="G2981" i="1" a="1"/>
  <c r="G3243" i="1" a="1"/>
  <c r="G1823" i="1" a="1"/>
  <c r="G2248" i="1" a="1"/>
  <c r="G2428" i="1" a="1"/>
  <c r="G2684" i="1" a="1"/>
  <c r="G2832" i="1" a="1"/>
  <c r="G2896" i="1" a="1"/>
  <c r="G2960" i="1" a="1"/>
  <c r="G3024" i="1" a="1"/>
  <c r="G3084" i="1" a="1"/>
  <c r="G3127" i="1" a="1"/>
  <c r="G3169" i="1" a="1"/>
  <c r="G3212" i="1" a="1"/>
  <c r="G3255" i="1" a="1"/>
  <c r="G3297" i="1" a="1"/>
  <c r="G3340" i="1" a="1"/>
  <c r="G3310" i="1" a="1"/>
  <c r="G3274" i="1" a="1"/>
  <c r="G2877" i="1" a="1"/>
  <c r="G3163" i="1" a="1"/>
  <c r="G1719" i="1" a="1"/>
  <c r="G2440" i="1" a="1"/>
  <c r="G2696" i="1" a="1"/>
  <c r="G3090" i="1" a="1"/>
  <c r="G3218" i="1" a="1"/>
  <c r="G3346" i="1" a="1"/>
  <c r="G3229" i="1" a="1"/>
  <c r="G3304" i="1" a="1"/>
  <c r="G3278" i="1" a="1"/>
  <c r="G3067" i="1" a="1"/>
  <c r="G1990" i="1" a="1"/>
  <c r="G2274" i="1" a="1"/>
  <c r="G2452" i="1" a="1"/>
  <c r="G2708" i="1" a="1"/>
  <c r="G2841" i="1" a="1"/>
  <c r="G2905" i="1" a="1"/>
  <c r="G2969" i="1" a="1"/>
  <c r="G3033" i="1" a="1"/>
  <c r="G3085" i="1" a="1"/>
  <c r="G3128" i="1" a="1"/>
  <c r="G3176" i="1" a="1"/>
  <c r="G3272" i="1" a="1"/>
  <c r="G2784" i="1" a="1"/>
  <c r="G2788" i="1" a="1"/>
  <c r="G3269" i="1" a="1"/>
  <c r="G2151" i="1" a="1"/>
  <c r="G2496" i="1" a="1"/>
  <c r="G2752" i="1" a="1"/>
  <c r="G3262" i="1" a="1"/>
  <c r="G3354" i="1" a="1"/>
  <c r="G2756" i="1" a="1"/>
  <c r="G3088" i="1" a="1"/>
  <c r="G3301" i="1" a="1"/>
  <c r="G2173" i="1" a="1"/>
  <c r="G2344" i="1" a="1"/>
  <c r="G2540" i="1" a="1"/>
  <c r="G2796" i="1" a="1"/>
  <c r="G2860" i="1" a="1"/>
  <c r="G2924" i="1" a="1"/>
  <c r="G2988" i="1" a="1"/>
  <c r="G3054" i="1" a="1"/>
  <c r="G3097" i="1" a="1"/>
  <c r="G3140" i="1" a="1"/>
  <c r="G3183" i="1" a="1"/>
  <c r="G3225" i="1" a="1"/>
  <c r="G3268" i="1" a="1"/>
  <c r="G3311" i="1" a="1"/>
  <c r="G3353" i="1" a="1"/>
  <c r="G2424" i="1" a="1"/>
  <c r="G3194" i="1" a="1"/>
  <c r="G2660" i="1" a="1"/>
  <c r="G3077" i="1" a="1"/>
  <c r="G3323" i="1" a="1"/>
  <c r="C24" i="1" a="1"/>
  <c r="C56" i="1" a="1"/>
  <c r="C88" i="1" a="1"/>
  <c r="C129" i="1" a="1"/>
  <c r="C193" i="1" a="1"/>
  <c r="C257" i="1" a="1"/>
  <c r="C321" i="1" a="1"/>
  <c r="C31" i="1" a="1"/>
  <c r="C74" i="1" a="1"/>
  <c r="C116" i="1" a="1"/>
  <c r="C180" i="1" a="1"/>
  <c r="C244" i="1" a="1"/>
  <c r="C308" i="1" a="1"/>
  <c r="C360" i="1" a="1"/>
  <c r="C392" i="1" a="1"/>
  <c r="C424" i="1" a="1"/>
  <c r="C456" i="1" a="1"/>
  <c r="C488" i="1" a="1"/>
  <c r="C520" i="1" a="1"/>
  <c r="C163" i="1" a="1"/>
  <c r="C227" i="1" a="1"/>
  <c r="C291" i="1" a="1"/>
  <c r="C29" i="1" a="1"/>
  <c r="C135" i="1" a="1"/>
  <c r="C245" i="1" a="1"/>
  <c r="C333" i="1" a="1"/>
  <c r="C429" i="1" a="1"/>
  <c r="C511" i="1" a="1"/>
  <c r="C553" i="1" a="1"/>
  <c r="C585" i="1" a="1"/>
  <c r="C617" i="1" a="1"/>
  <c r="C43" i="1" a="1"/>
  <c r="C178" i="1" a="1"/>
  <c r="C270" i="1" a="1"/>
  <c r="C386" i="1" a="1"/>
  <c r="C475" i="1" a="1"/>
  <c r="C559" i="1" a="1"/>
  <c r="C636" i="1" a="1"/>
  <c r="C668" i="1" a="1"/>
  <c r="C700" i="1" a="1"/>
  <c r="C732" i="1" a="1"/>
  <c r="C764" i="1" a="1"/>
  <c r="C796" i="1" a="1"/>
  <c r="C828" i="1" a="1"/>
  <c r="C55" i="1" a="1"/>
  <c r="C205" i="1" a="1"/>
  <c r="C288" i="1" a="1"/>
  <c r="C413" i="1" a="1"/>
  <c r="C491" i="1" a="1"/>
  <c r="C596" i="1" a="1"/>
  <c r="C87" i="1" a="1"/>
  <c r="C191" i="1" a="1"/>
  <c r="C300" i="1" a="1"/>
  <c r="C399" i="1" a="1"/>
  <c r="C514" i="1" a="1"/>
  <c r="C57" i="1" a="1"/>
  <c r="C240" i="1" a="1"/>
  <c r="C369" i="1" a="1"/>
  <c r="C530" i="1" a="1"/>
  <c r="C75" i="1" a="1"/>
  <c r="C334" i="1" a="1"/>
  <c r="C473" i="1" a="1"/>
  <c r="C598" i="1" a="1"/>
  <c r="C61" i="1" a="1"/>
  <c r="C269" i="1" a="1"/>
  <c r="C490" i="1" a="1"/>
  <c r="C611" i="1" a="1"/>
  <c r="C219" i="1" a="1"/>
  <c r="C425" i="1" a="1"/>
  <c r="C633" i="1" a="1"/>
  <c r="C709" i="1" a="1"/>
  <c r="C794" i="1" a="1"/>
  <c r="C854" i="1" a="1"/>
  <c r="C918" i="1" a="1"/>
  <c r="C982" i="1" a="1"/>
  <c r="C222" i="1" a="1"/>
  <c r="C576" i="1" a="1"/>
  <c r="C703" i="1" a="1"/>
  <c r="C789" i="1" a="1"/>
  <c r="C891" i="1" a="1"/>
  <c r="C955" i="1" a="1"/>
  <c r="C1008" i="1" a="1"/>
  <c r="C1040" i="1" a="1"/>
  <c r="C1072" i="1" a="1"/>
  <c r="C1104" i="1" a="1"/>
  <c r="C140" i="1" a="1"/>
  <c r="C351" i="1" a="1"/>
  <c r="C635" i="1" a="1"/>
  <c r="C710" i="1" a="1"/>
  <c r="C795" i="1" a="1"/>
  <c r="C855" i="1" a="1"/>
  <c r="C919" i="1" a="1"/>
  <c r="C983" i="1" a="1"/>
  <c r="C341" i="1" a="1"/>
  <c r="C562" i="1" a="1"/>
  <c r="C694" i="1" a="1"/>
  <c r="C779" i="1" a="1"/>
  <c r="C884" i="1" a="1"/>
  <c r="C948" i="1" a="1"/>
  <c r="C249" i="1" a="1"/>
  <c r="C78" i="1" a="1"/>
  <c r="C687" i="1" a="1"/>
  <c r="C821" i="1" a="1"/>
  <c r="C934" i="1" a="1"/>
  <c r="C1033" i="1" a="1"/>
  <c r="C1122" i="1" a="1"/>
  <c r="C1240" i="1" a="1"/>
  <c r="C1283" i="1" a="1"/>
  <c r="C1315" i="1" a="1"/>
  <c r="C1347" i="1" a="1"/>
  <c r="C1379" i="1" a="1"/>
  <c r="C1411" i="1" a="1"/>
  <c r="C1443" i="1" a="1"/>
  <c r="C1475" i="1" a="1"/>
  <c r="C1507" i="1" a="1"/>
  <c r="C1539" i="1" a="1"/>
  <c r="C1571" i="1" a="1"/>
  <c r="C1603" i="1" a="1"/>
  <c r="C1635" i="1" a="1"/>
  <c r="C1667" i="1" a="1"/>
  <c r="C1699" i="1" a="1"/>
  <c r="C1731" i="1" a="1"/>
  <c r="C1763" i="1" a="1"/>
  <c r="C301" i="1" a="1"/>
  <c r="C701" i="1" a="1"/>
  <c r="C843" i="1" a="1"/>
  <c r="C944" i="1" a="1"/>
  <c r="C1053" i="1" a="1"/>
  <c r="C1134" i="1" a="1"/>
  <c r="C1177" i="1" a="1"/>
  <c r="C1219" i="1" a="1"/>
  <c r="C144" i="1" a="1"/>
  <c r="C548" i="1" a="1"/>
  <c r="C742" i="1" a="1"/>
  <c r="C893" i="1" a="1"/>
  <c r="C1003" i="1" a="1"/>
  <c r="C1081" i="1" a="1"/>
  <c r="C1200" i="1" a="1"/>
  <c r="C1269" i="1" a="1"/>
  <c r="C1301" i="1" a="1"/>
  <c r="C1333" i="1" a="1"/>
  <c r="C1365" i="1" a="1"/>
  <c r="C1397" i="1" a="1"/>
  <c r="C1429" i="1" a="1"/>
  <c r="C1461" i="1" a="1"/>
  <c r="C1493" i="1" a="1"/>
  <c r="C1525" i="1" a="1"/>
  <c r="C1557" i="1" a="1"/>
  <c r="C1589" i="1" a="1"/>
  <c r="C1621" i="1" a="1"/>
  <c r="C1653" i="1" a="1"/>
  <c r="C1685" i="1" a="1"/>
  <c r="C1717" i="1" a="1"/>
  <c r="C1749" i="1" a="1"/>
  <c r="C1781" i="1" a="1"/>
  <c r="C547" i="1" a="1"/>
  <c r="C998" i="1" a="1"/>
  <c r="C1121" i="1" a="1"/>
  <c r="C1190" i="1" a="1"/>
  <c r="C1340" i="1" a="1"/>
  <c r="C1468" i="1" a="1"/>
  <c r="C1596" i="1" a="1"/>
  <c r="C1724" i="1" a="1"/>
  <c r="C1819" i="1" a="1"/>
  <c r="C1883" i="1" a="1"/>
  <c r="C1947" i="1" a="1"/>
  <c r="C2011" i="1" a="1"/>
  <c r="C235" i="1" a="1"/>
  <c r="C769" i="1" a="1"/>
  <c r="C961" i="1" a="1"/>
  <c r="C1091" i="1" a="1"/>
  <c r="C1199" i="1" a="1"/>
  <c r="C1302" i="1" a="1"/>
  <c r="C1430" i="1" a="1"/>
  <c r="C1558" i="1" a="1"/>
  <c r="C1686" i="1" a="1"/>
  <c r="C1806" i="1" a="1"/>
  <c r="C1870" i="1" a="1"/>
  <c r="C1934" i="1" a="1"/>
  <c r="C1998" i="1" a="1"/>
  <c r="C2062" i="1" a="1"/>
  <c r="C778" i="1" a="1"/>
  <c r="C967" i="1" a="1"/>
  <c r="C1063" i="1" a="1"/>
  <c r="C1220" i="1" a="1"/>
  <c r="C1324" i="1" a="1"/>
  <c r="C1452" i="1" a="1"/>
  <c r="C1580" i="1" a="1"/>
  <c r="C1708" i="1" a="1"/>
  <c r="C1803" i="1" a="1"/>
  <c r="C1867" i="1" a="1"/>
  <c r="C1931" i="1" a="1"/>
  <c r="C1995" i="1" a="1"/>
  <c r="C2059" i="1" a="1"/>
  <c r="C802" i="1" a="1"/>
  <c r="C1179" i="1" a="1"/>
  <c r="C1310" i="1" a="1"/>
  <c r="C1546" i="1" a="1"/>
  <c r="C1720" i="1" a="1"/>
  <c r="C1892" i="1" a="1"/>
  <c r="C1987" i="1" a="1"/>
  <c r="C2087" i="1" a="1"/>
  <c r="C2151" i="1" a="1"/>
  <c r="C2215" i="1" a="1"/>
  <c r="C2279" i="1" a="1"/>
  <c r="C743" i="1" a="1"/>
  <c r="C995" i="1" a="1"/>
  <c r="C1141" i="1" a="1"/>
  <c r="C1322" i="1" a="1"/>
  <c r="C1496" i="1" a="1"/>
  <c r="C1710" i="1" a="1"/>
  <c r="C1827" i="1" a="1"/>
  <c r="C1937" i="1" a="1"/>
  <c r="C2040" i="1" a="1"/>
  <c r="C2106" i="1" a="1"/>
  <c r="C2170" i="1" a="1"/>
  <c r="C2234" i="1" a="1"/>
  <c r="C2298" i="1" a="1"/>
  <c r="C2336" i="1" a="1"/>
  <c r="C2368" i="1" a="1"/>
  <c r="C2400" i="1" a="1"/>
  <c r="C2432" i="1" a="1"/>
  <c r="C2464" i="1" a="1"/>
  <c r="C2496" i="1" a="1"/>
  <c r="C2528" i="1" a="1"/>
  <c r="C2560" i="1" a="1"/>
  <c r="C2592" i="1" a="1"/>
  <c r="C2624" i="1" a="1"/>
  <c r="C2656" i="1" a="1"/>
  <c r="C624" i="1" a="1"/>
  <c r="C1002" i="1" a="1"/>
  <c r="C1254" i="1" a="1"/>
  <c r="C1438" i="1" a="1"/>
  <c r="C1674" i="1" a="1"/>
  <c r="C1845" i="1" a="1"/>
  <c r="C1962" i="1" a="1"/>
  <c r="C2042" i="1" a="1"/>
  <c r="C2126" i="1" a="1"/>
  <c r="C2190" i="1" a="1"/>
  <c r="C2254" i="1" a="1"/>
  <c r="C35" i="1" a="1"/>
  <c r="C890" i="1" a="1"/>
  <c r="C1170" i="1" a="1"/>
  <c r="C1470" i="1" a="1"/>
  <c r="C1853" i="1" a="1"/>
  <c r="C2015" i="1" a="1"/>
  <c r="C2146" i="1" a="1"/>
  <c r="C2256" i="1" a="1"/>
  <c r="C2353" i="1" a="1"/>
  <c r="C2430" i="1" a="1"/>
  <c r="C2519" i="1" a="1"/>
  <c r="C2609" i="1" a="1"/>
  <c r="C2690" i="1" a="1"/>
  <c r="C2754" i="1" a="1"/>
  <c r="C2818" i="1" a="1"/>
  <c r="C2882" i="1" a="1"/>
  <c r="C1105" i="1" a="1"/>
  <c r="C1604" i="1" a="1"/>
  <c r="C1807" i="1" a="1"/>
  <c r="C1924" i="1" a="1"/>
  <c r="C2065" i="1" a="1"/>
  <c r="C2169" i="1" a="1"/>
  <c r="C2272" i="1" a="1"/>
  <c r="C2373" i="1" a="1"/>
  <c r="C2450" i="1" a="1"/>
  <c r="C2539" i="1" a="1"/>
  <c r="C2629" i="1" a="1"/>
  <c r="C2696" i="1" a="1"/>
  <c r="C2760" i="1" a="1"/>
  <c r="C2824" i="1" a="1"/>
  <c r="C2888" i="1" a="1"/>
  <c r="C674" i="1" a="1"/>
  <c r="C1135" i="1" a="1"/>
  <c r="C1524" i="1" a="1"/>
  <c r="C1688" i="1" a="1"/>
  <c r="C1891" i="1" a="1"/>
  <c r="C409" i="1" a="1"/>
  <c r="C1066" i="1" a="1"/>
  <c r="C1252" i="1" a="1"/>
  <c r="C1726" i="1" a="1"/>
  <c r="C1860" i="1" a="1"/>
  <c r="C1243" i="1" a="1"/>
  <c r="C1821" i="1" a="1"/>
  <c r="C2099" i="1" a="1"/>
  <c r="C2304" i="1" a="1"/>
  <c r="C2425" i="1" a="1"/>
  <c r="C2543" i="1" a="1"/>
  <c r="C2663" i="1" a="1"/>
  <c r="C2751" i="1" a="1"/>
  <c r="C2830" i="1" a="1"/>
  <c r="C2906" i="1" a="1"/>
  <c r="C2965" i="1" a="1"/>
  <c r="C3029" i="1" a="1"/>
  <c r="C3305" i="1" a="1"/>
  <c r="C3365" i="1" a="1"/>
  <c r="C2946" i="1" a="1"/>
  <c r="C3126" i="1" a="1"/>
  <c r="C3210" i="1" a="1"/>
  <c r="C3326" i="1" a="1"/>
  <c r="C1358" i="1" a="1"/>
  <c r="C2192" i="1" a="1"/>
  <c r="C2454" i="1" a="1"/>
  <c r="C2719" i="1" a="1"/>
  <c r="C2941" i="1" a="1"/>
  <c r="C1204" i="1" a="1"/>
  <c r="C1800" i="1" a="1"/>
  <c r="C2055" i="1" a="1"/>
  <c r="C2217" i="1" a="1"/>
  <c r="C2305" i="1" a="1"/>
  <c r="C2426" i="1" a="1"/>
  <c r="C2493" i="1" a="1"/>
  <c r="C2613" i="1" a="1"/>
  <c r="C2745" i="1" a="1"/>
  <c r="C2837" i="1" a="1"/>
  <c r="C2934" i="1" a="1"/>
  <c r="C2998" i="1" a="1"/>
  <c r="C3062" i="1" a="1"/>
  <c r="C3101" i="1" a="1"/>
  <c r="C3133" i="1" a="1"/>
  <c r="C3165" i="1" a="1"/>
  <c r="C3197" i="1" a="1"/>
  <c r="C3229" i="1" a="1"/>
  <c r="C3261" i="1" a="1"/>
  <c r="C3301" i="1" a="1"/>
  <c r="C2445" i="1" a="1"/>
  <c r="C2951" i="1" a="1"/>
  <c r="C3086" i="1" a="1"/>
  <c r="C3202" i="1" a="1"/>
  <c r="C3302" i="1" a="1"/>
  <c r="C1133" i="1" a="1"/>
  <c r="C2134" i="1" a="1"/>
  <c r="C2377" i="1" a="1"/>
  <c r="C2617" i="1" a="1"/>
  <c r="C2847" i="1" a="1"/>
  <c r="C781" i="1" a="1"/>
  <c r="C1286" i="1" a="1"/>
  <c r="C1850" i="1" a="1"/>
  <c r="C2058" i="1" a="1"/>
  <c r="C2159" i="1" a="1"/>
  <c r="C2287" i="1" a="1"/>
  <c r="C2401" i="1" a="1"/>
  <c r="C2521" i="1" a="1"/>
  <c r="C2639" i="1" a="1"/>
  <c r="C2731" i="1" a="1"/>
  <c r="C2810" i="1" a="1"/>
  <c r="C2901" i="1" a="1"/>
  <c r="C2961" i="1" a="1"/>
  <c r="C3025" i="1" a="1"/>
  <c r="C2453" i="1" a="1"/>
  <c r="C2573" i="1" a="1"/>
  <c r="C2697" i="1" a="1"/>
  <c r="C2832" i="1" a="1"/>
  <c r="C3047" i="1" a="1"/>
  <c r="C3146" i="1" a="1"/>
  <c r="C3242" i="1" a="1"/>
  <c r="C3330" i="1" a="1"/>
  <c r="C1073" i="1" a="1"/>
  <c r="C1804" i="1" a="1"/>
  <c r="C2093" i="1" a="1"/>
  <c r="C2239" i="1" a="1"/>
  <c r="C2394" i="1" a="1"/>
  <c r="C2862" i="1" a="1"/>
  <c r="C3048" i="1" a="1"/>
  <c r="C1928" i="1" a="1"/>
  <c r="C2291" i="1" a="1"/>
  <c r="C2659" i="1" a="1"/>
  <c r="C2849" i="1" a="1"/>
  <c r="C3087" i="1" a="1"/>
  <c r="C3191" i="1" a="1"/>
  <c r="C3255" i="1" a="1"/>
  <c r="C3319" i="1" a="1"/>
  <c r="C2281" i="1" a="1"/>
  <c r="C3070" i="1" a="1"/>
  <c r="C3347" i="1" a="1"/>
  <c r="C2750" i="1" a="1"/>
  <c r="C1787" i="1" a="1"/>
  <c r="C2932" i="1" a="1"/>
  <c r="C3236" i="1" a="1"/>
  <c r="C1978" i="1" a="1"/>
  <c r="C2885" i="1" a="1"/>
  <c r="C1560" i="1" a="1"/>
  <c r="C2086" i="1" a="1"/>
  <c r="C2499" i="1" a="1"/>
  <c r="C2741" i="1" a="1"/>
  <c r="C2979" i="1" a="1"/>
  <c r="C3131" i="1" a="1"/>
  <c r="C3328" i="1" a="1"/>
  <c r="C2915" i="1" a="1"/>
  <c r="C1764" i="1" a="1"/>
  <c r="C2899" i="1" a="1"/>
  <c r="C2693" i="1" a="1"/>
  <c r="C1268" i="1" a="1"/>
  <c r="C1189" i="1" a="1"/>
  <c r="C2166" i="1" a="1"/>
  <c r="C2458" i="1" a="1"/>
  <c r="C2721" i="1" a="1"/>
  <c r="C2938" i="1" a="1"/>
  <c r="C3079" i="1" a="1"/>
  <c r="C3200" i="1" a="1"/>
  <c r="C3272" i="1" a="1"/>
  <c r="C2224" i="1" a="1"/>
  <c r="C3012" i="1" a="1"/>
  <c r="C3363" i="1" a="1"/>
  <c r="C3092" i="1" a="1"/>
  <c r="C3095" i="1" a="1"/>
  <c r="C2045" i="1" a="1"/>
  <c r="C2990" i="1" a="1"/>
  <c r="C1400" i="1" a="1"/>
  <c r="C2251" i="1" a="1"/>
  <c r="C2669" i="1" a="1"/>
  <c r="C2897" i="1" a="1"/>
  <c r="C3054" i="1" a="1"/>
  <c r="C3175" i="1" a="1"/>
  <c r="C2509" i="1" a="1"/>
  <c r="C3219" i="1" a="1"/>
  <c r="C2422" i="1" a="1"/>
  <c r="C3156" i="1" a="1"/>
  <c r="C2986" i="1" a="1"/>
  <c r="C3332" i="1" a="1"/>
  <c r="C2653" i="1" a="1"/>
  <c r="G25" i="1" a="1"/>
  <c r="G445" i="1" a="1"/>
  <c r="G402" i="1" a="1"/>
  <c r="G117" i="1" a="1"/>
  <c r="G308" i="1" a="1"/>
  <c r="G799" i="1" a="1"/>
  <c r="G723" i="1" a="1"/>
  <c r="G375" i="1" a="1"/>
  <c r="G1123" i="1" a="1"/>
  <c r="G1248" i="1" a="1"/>
  <c r="G586" i="1" a="1"/>
  <c r="G1404" i="1" a="1"/>
  <c r="G1542" i="1" a="1"/>
  <c r="G919" i="1" a="1"/>
  <c r="G1386" i="1" a="1"/>
  <c r="G1364" i="1" a="1"/>
  <c r="G1455" i="1" a="1"/>
  <c r="G1583" i="1" a="1"/>
  <c r="G1227" i="1" a="1"/>
  <c r="G1139" i="1" a="1"/>
  <c r="G1440" i="1" a="1"/>
  <c r="G1600" i="1" a="1"/>
  <c r="G1766" i="1" a="1"/>
  <c r="G1009" i="1" a="1"/>
  <c r="G1098" i="1" a="1"/>
  <c r="G1633" i="1" a="1"/>
  <c r="G1810" i="1" a="1"/>
  <c r="G1864" i="1" a="1"/>
  <c r="G1915" i="1" a="1"/>
  <c r="G2107" i="1" a="1"/>
  <c r="G1581" i="1" a="1"/>
  <c r="G1984" i="1" a="1"/>
  <c r="G1738" i="1" a="1"/>
  <c r="G2009" i="1" a="1"/>
  <c r="G1649" i="1" a="1"/>
  <c r="G1918" i="1" a="1"/>
  <c r="G2318" i="1" a="1"/>
  <c r="G2537" i="1" a="1"/>
  <c r="G2697" i="1" a="1"/>
  <c r="G2239" i="1" a="1"/>
  <c r="G2946" i="1" a="1"/>
  <c r="G2218" i="1" a="1"/>
  <c r="G2430" i="1" a="1"/>
  <c r="G2526" i="1" a="1"/>
  <c r="G2722" i="1" a="1"/>
  <c r="G2050" i="1" a="1"/>
  <c r="G1818" i="1" a="1"/>
  <c r="G2374" i="1" a="1"/>
  <c r="G2515" i="1" a="1"/>
  <c r="G2707" i="1" a="1"/>
  <c r="G2923" i="1" a="1"/>
  <c r="G3190" i="1" a="1"/>
  <c r="G2162" i="1" a="1"/>
  <c r="G2864" i="1" a="1"/>
  <c r="G3148" i="1" a="1"/>
  <c r="G3361" i="1" a="1"/>
  <c r="G3280" i="1" a="1"/>
  <c r="G3192" i="1" a="1"/>
  <c r="G3221" i="1" a="1"/>
  <c r="G2873" i="1" a="1"/>
  <c r="G3219" i="1" a="1"/>
  <c r="G2407" i="1" a="1"/>
  <c r="G1759" i="1" a="1"/>
  <c r="G87" i="1" a="1"/>
  <c r="G64" i="1" a="1"/>
  <c r="G238" i="1" a="1"/>
  <c r="G218" i="1" a="1"/>
  <c r="G409" i="1" a="1"/>
  <c r="G90" i="1" a="1"/>
  <c r="G9" i="1" a="1"/>
  <c r="G366" i="1" a="1"/>
  <c r="G305" i="1" a="1"/>
  <c r="G478" i="1" a="1"/>
  <c r="G574" i="1" a="1"/>
  <c r="G460" i="1" a="1"/>
  <c r="G664" i="1" a="1"/>
  <c r="G212" i="1" a="1"/>
  <c r="G93" i="1" a="1"/>
  <c r="G152" i="1" a="1"/>
  <c r="G604" i="1" a="1"/>
  <c r="G38" i="1" a="1"/>
  <c r="G69" i="1" a="1"/>
  <c r="G730" i="1" a="1"/>
  <c r="G985" i="1" a="1"/>
  <c r="G832" i="1" a="1"/>
  <c r="G1084" i="1" a="1"/>
  <c r="G651" i="1" a="1"/>
  <c r="G910" i="1" a="1"/>
  <c r="G594" i="1" a="1"/>
  <c r="G866" i="1" a="1"/>
  <c r="G1101" i="1" a="1"/>
  <c r="G1014" i="1" a="1"/>
  <c r="G1040" i="1" a="1"/>
  <c r="G646" i="1" a="1"/>
  <c r="G1054" i="1" a="1"/>
  <c r="G824" i="1" a="1"/>
  <c r="G1079" i="1" a="1"/>
  <c r="G1192" i="1" a="1"/>
  <c r="G1232" i="1" a="1"/>
  <c r="G654" i="1" a="1"/>
  <c r="G1046" i="1" a="1"/>
  <c r="G1262" i="1" a="1"/>
  <c r="G1322" i="1" a="1"/>
  <c r="G1399" i="1" a="1"/>
  <c r="G944" i="1" a="1"/>
  <c r="G1185" i="1" a="1"/>
  <c r="G1291" i="1" a="1"/>
  <c r="G1381" i="1" a="1"/>
  <c r="G1434" i="1" a="1"/>
  <c r="G1466" i="1" a="1"/>
  <c r="G1498" i="1" a="1"/>
  <c r="G1530" i="1" a="1"/>
  <c r="G1562" i="1" a="1"/>
  <c r="G1594" i="1" a="1"/>
  <c r="G1626" i="1" a="1"/>
  <c r="G1658" i="1" a="1"/>
  <c r="G817" i="1" a="1"/>
  <c r="G1073" i="1" a="1"/>
  <c r="G1270" i="1" a="1"/>
  <c r="G1313" i="1" a="1"/>
  <c r="G1359" i="1" a="1"/>
  <c r="G432" i="1" a="1"/>
  <c r="G997" i="1" a="1"/>
  <c r="G1170" i="1" a="1"/>
  <c r="G1233" i="1" a="1"/>
  <c r="G1335" i="1" a="1"/>
  <c r="G1405" i="1" a="1"/>
  <c r="G1443" i="1" a="1"/>
  <c r="G1475" i="1" a="1"/>
  <c r="G1507" i="1" a="1"/>
  <c r="G1539" i="1" a="1"/>
  <c r="G1571" i="1" a="1"/>
  <c r="G1603" i="1" a="1"/>
  <c r="G1635" i="1" a="1"/>
  <c r="G828" i="1" a="1"/>
  <c r="G1095" i="1" a="1"/>
  <c r="G1277" i="1" a="1"/>
  <c r="G1320" i="1" a="1"/>
  <c r="G1369" i="1" a="1"/>
  <c r="G803" i="1" a="1"/>
  <c r="G1059" i="1" a="1"/>
  <c r="G1189" i="1" a="1"/>
  <c r="G1266" i="1" a="1"/>
  <c r="G1374" i="1" a="1"/>
  <c r="G1428" i="1" a="1"/>
  <c r="G1460" i="1" a="1"/>
  <c r="G1492" i="1" a="1"/>
  <c r="G1524" i="1" a="1"/>
  <c r="G1556" i="1" a="1"/>
  <c r="G1588" i="1" a="1"/>
  <c r="G1620" i="1" a="1"/>
  <c r="G1652" i="1" a="1"/>
  <c r="G1278" i="1" a="1"/>
  <c r="G1679" i="1" a="1"/>
  <c r="G1743" i="1" a="1"/>
  <c r="G1807" i="1" a="1"/>
  <c r="G1871" i="1" a="1"/>
  <c r="G1166" i="1" a="1"/>
  <c r="G1653" i="1" a="1"/>
  <c r="G1305" i="1" a="1"/>
  <c r="G1694" i="1" a="1"/>
  <c r="G1758" i="1" a="1"/>
  <c r="G1822" i="1" a="1"/>
  <c r="G805" i="1" a="1"/>
  <c r="G1366" i="1" a="1"/>
  <c r="G1481" i="1" a="1"/>
  <c r="G1545" i="1" a="1"/>
  <c r="G1609" i="1" a="1"/>
  <c r="G1681" i="1" a="1"/>
  <c r="G1745" i="1" a="1"/>
  <c r="G933" i="1" a="1"/>
  <c r="G1425" i="1" a="1"/>
  <c r="G1723" i="1" a="1"/>
  <c r="G1787" i="1" a="1"/>
  <c r="G1851" i="1" a="1"/>
  <c r="G1445" i="1" a="1"/>
  <c r="G1724" i="1" a="1"/>
  <c r="G1827" i="1" a="1"/>
  <c r="G1158" i="1" a="1"/>
  <c r="G1706" i="1" a="1"/>
  <c r="G1835" i="1" a="1"/>
  <c r="G1903" i="1" a="1"/>
  <c r="G1935" i="1" a="1"/>
  <c r="G1967" i="1" a="1"/>
  <c r="G1999" i="1" a="1"/>
  <c r="G2031" i="1" a="1"/>
  <c r="G2063" i="1" a="1"/>
  <c r="G2095" i="1" a="1"/>
  <c r="G2127" i="1" a="1"/>
  <c r="G1370" i="1" a="1"/>
  <c r="G1698" i="1" a="1"/>
  <c r="G1843" i="1" a="1"/>
  <c r="G1375" i="1" a="1"/>
  <c r="G1727" i="1" a="1"/>
  <c r="G1852" i="1" a="1"/>
  <c r="G1908" i="1" a="1"/>
  <c r="G1940" i="1" a="1"/>
  <c r="G1972" i="1" a="1"/>
  <c r="G2004" i="1" a="1"/>
  <c r="G2036" i="1" a="1"/>
  <c r="G2068" i="1" a="1"/>
  <c r="G2100" i="1" a="1"/>
  <c r="G856" i="1" a="1"/>
  <c r="G1683" i="1" a="1"/>
  <c r="G1817" i="1" a="1"/>
  <c r="G1901" i="1" a="1"/>
  <c r="G1933" i="1" a="1"/>
  <c r="G1965" i="1" a="1"/>
  <c r="G1997" i="1" a="1"/>
  <c r="G2029" i="1" a="1"/>
  <c r="G2061" i="1" a="1"/>
  <c r="G2093" i="1" a="1"/>
  <c r="G932" i="1" a="1"/>
  <c r="G1712" i="1" a="1"/>
  <c r="G855" i="1" a="1"/>
  <c r="G1938" i="1" a="1"/>
  <c r="G2147" i="1" a="1"/>
  <c r="G2275" i="1" a="1"/>
  <c r="G2403" i="1" a="1"/>
  <c r="G1847" i="1" a="1"/>
  <c r="G2078" i="1" a="1"/>
  <c r="G2174" i="1" a="1"/>
  <c r="G2217" i="1" a="1"/>
  <c r="G2260" i="1" a="1"/>
  <c r="G2302" i="1" a="1"/>
  <c r="G2345" i="1" a="1"/>
  <c r="G2388" i="1" a="1"/>
  <c r="G2429" i="1" a="1"/>
  <c r="G2461" i="1" a="1"/>
  <c r="G2493" i="1" a="1"/>
  <c r="G2525" i="1" a="1"/>
  <c r="G2557" i="1" a="1"/>
  <c r="G2589" i="1" a="1"/>
  <c r="G2621" i="1" a="1"/>
  <c r="G2653" i="1" a="1"/>
  <c r="G2685" i="1" a="1"/>
  <c r="G2717" i="1" a="1"/>
  <c r="G2749" i="1" a="1"/>
  <c r="G2781" i="1" a="1"/>
  <c r="G1809" i="1" a="1"/>
  <c r="G2058" i="1" a="1"/>
  <c r="G2191" i="1" a="1"/>
  <c r="G2319" i="1" a="1"/>
  <c r="G2734" i="1" a="1"/>
  <c r="G2802" i="1" a="1"/>
  <c r="G2862" i="1" a="1"/>
  <c r="G2926" i="1" a="1"/>
  <c r="G2986" i="1" a="1"/>
  <c r="G1668" i="1" a="1"/>
  <c r="G2006" i="1" a="1"/>
  <c r="G2160" i="1" a="1"/>
  <c r="G2202" i="1" a="1"/>
  <c r="G2245" i="1" a="1"/>
  <c r="G2288" i="1" a="1"/>
  <c r="G2330" i="1" a="1"/>
  <c r="G2373" i="1" a="1"/>
  <c r="G2416" i="1" a="1"/>
  <c r="G2450" i="1" a="1"/>
  <c r="G2482" i="1" a="1"/>
  <c r="G2514" i="1" a="1"/>
  <c r="G2546" i="1" a="1"/>
  <c r="G2578" i="1" a="1"/>
  <c r="G2610" i="1" a="1"/>
  <c r="G2642" i="1" a="1"/>
  <c r="G2678" i="1" a="1"/>
  <c r="G2710" i="1" a="1"/>
  <c r="G2750" i="1" a="1"/>
  <c r="G2814" i="1" a="1"/>
  <c r="G2882" i="1" a="1"/>
  <c r="G2950" i="1" a="1"/>
  <c r="G3018" i="1" a="1"/>
  <c r="G1954" i="1" a="1"/>
  <c r="G2155" i="1" a="1"/>
  <c r="G2283" i="1" a="1"/>
  <c r="G2411" i="1" a="1"/>
  <c r="G2871" i="1" a="1"/>
  <c r="G2935" i="1" a="1"/>
  <c r="G2999" i="1" a="1"/>
  <c r="G1613" i="1" a="1"/>
  <c r="G1934" i="1" a="1"/>
  <c r="G2145" i="1" a="1"/>
  <c r="G2188" i="1" a="1"/>
  <c r="G2230" i="1" a="1"/>
  <c r="G2273" i="1" a="1"/>
  <c r="G2316" i="1" a="1"/>
  <c r="G2358" i="1" a="1"/>
  <c r="G2401" i="1" a="1"/>
  <c r="G2439" i="1" a="1"/>
  <c r="G2471" i="1" a="1"/>
  <c r="G2503" i="1" a="1"/>
  <c r="G2535" i="1" a="1"/>
  <c r="G2567" i="1" a="1"/>
  <c r="G2599" i="1" a="1"/>
  <c r="G2631" i="1" a="1"/>
  <c r="G2663" i="1" a="1"/>
  <c r="G2695" i="1" a="1"/>
  <c r="G2727" i="1" a="1"/>
  <c r="G2763" i="1" a="1"/>
  <c r="G2795" i="1" a="1"/>
  <c r="G2835" i="1" a="1"/>
  <c r="G2899" i="1" a="1"/>
  <c r="G2963" i="1" a="1"/>
  <c r="G3027" i="1" a="1"/>
  <c r="G2183" i="1" a="1"/>
  <c r="G2544" i="1" a="1"/>
  <c r="G3037" i="1" a="1"/>
  <c r="G3142" i="1" a="1"/>
  <c r="G3270" i="1" a="1"/>
  <c r="G3178" i="1" a="1"/>
  <c r="G2370" i="1" a="1"/>
  <c r="G3021" i="1" a="1"/>
  <c r="G3264" i="1" a="1"/>
  <c r="G1894" i="1" a="1"/>
  <c r="G2269" i="1" a="1"/>
  <c r="G2460" i="1" a="1"/>
  <c r="G2716" i="1" a="1"/>
  <c r="G2840" i="1" a="1"/>
  <c r="G2904" i="1" a="1"/>
  <c r="G2968" i="1" a="1"/>
  <c r="G3032" i="1" a="1"/>
  <c r="G3089" i="1" a="1"/>
  <c r="G3132" i="1" a="1"/>
  <c r="G3175" i="1" a="1"/>
  <c r="G3217" i="1" a="1"/>
  <c r="G3260" i="1" a="1"/>
  <c r="G3303" i="1" a="1"/>
  <c r="G3345" i="1" a="1"/>
  <c r="G2456" i="1" a="1"/>
  <c r="G1796" i="1" a="1"/>
  <c r="G2917" i="1" a="1"/>
  <c r="G3195" i="1" a="1"/>
  <c r="G1840" i="1" a="1"/>
  <c r="G2472" i="1" a="1"/>
  <c r="G2728" i="1" a="1"/>
  <c r="G3106" i="1" a="1"/>
  <c r="G3234" i="1" a="1"/>
  <c r="G3362" i="1" a="1"/>
  <c r="G3240" i="1" a="1"/>
  <c r="G3315" i="1" a="1"/>
  <c r="G3326" i="1" a="1"/>
  <c r="G3104" i="1" a="1"/>
  <c r="G2118" i="1" a="1"/>
  <c r="G2296" i="1" a="1"/>
  <c r="G2484" i="1" a="1"/>
  <c r="G2740" i="1" a="1"/>
  <c r="G2849" i="1" a="1"/>
  <c r="G2913" i="1" a="1"/>
  <c r="G2977" i="1" a="1"/>
  <c r="G3040" i="1" a="1"/>
  <c r="G3091" i="1" a="1"/>
  <c r="G3133" i="1" a="1"/>
  <c r="G3187" i="1" a="1"/>
  <c r="G3283" i="1" a="1"/>
  <c r="G3150" i="1" a="1"/>
  <c r="G2893" i="1" a="1"/>
  <c r="G3312" i="1" a="1"/>
  <c r="G2215" i="1" a="1"/>
  <c r="G2528" i="1" a="1"/>
  <c r="G3034" i="1" a="1"/>
  <c r="G3294" i="1" a="1"/>
  <c r="G1926" i="1" a="1"/>
  <c r="G2813" i="1" a="1"/>
  <c r="G3115" i="1" a="1"/>
  <c r="G3328" i="1" a="1"/>
  <c r="G2194" i="1" a="1"/>
  <c r="G2365" i="1" a="1"/>
  <c r="G2572" i="1" a="1"/>
  <c r="G2804" i="1" a="1"/>
  <c r="G2868" i="1" a="1"/>
  <c r="G2932" i="1" a="1"/>
  <c r="G2996" i="1" a="1"/>
  <c r="G3060" i="1" a="1"/>
  <c r="G3103" i="1" a="1"/>
  <c r="G3145" i="1" a="1"/>
  <c r="G3188" i="1" a="1"/>
  <c r="G3231" i="1" a="1"/>
  <c r="G3273" i="1" a="1"/>
  <c r="G3316" i="1" a="1"/>
  <c r="G3359" i="1" a="1"/>
  <c r="G2488" i="1" a="1"/>
  <c r="G3226" i="1" a="1"/>
  <c r="G2724" i="1" a="1"/>
  <c r="G3109" i="1" a="1"/>
  <c r="G3355" i="1" a="1"/>
  <c r="C28" i="1" a="1"/>
  <c r="C60" i="1" a="1"/>
  <c r="C92" i="1" a="1"/>
  <c r="C138" i="1" a="1"/>
  <c r="C202" i="1" a="1"/>
  <c r="C266" i="1" a="1"/>
  <c r="C330" i="1" a="1"/>
  <c r="C37" i="1" a="1"/>
  <c r="C79" i="1" a="1"/>
  <c r="C125" i="1" a="1"/>
  <c r="C189" i="1" a="1"/>
  <c r="C253" i="1" a="1"/>
  <c r="C317" i="1" a="1"/>
  <c r="C364" i="1" a="1"/>
  <c r="C396" i="1" a="1"/>
  <c r="C428" i="1" a="1"/>
  <c r="C460" i="1" a="1"/>
  <c r="C492" i="1" a="1"/>
  <c r="C524" i="1" a="1"/>
  <c r="C168" i="1" a="1"/>
  <c r="C232" i="1" a="1"/>
  <c r="C296" i="1" a="1"/>
  <c r="C54" i="1" a="1"/>
  <c r="C142" i="1" a="1"/>
  <c r="C252" i="1" a="1"/>
  <c r="C353" i="1" a="1"/>
  <c r="C438" i="1" a="1"/>
  <c r="C525" i="1" a="1"/>
  <c r="C557" i="1" a="1"/>
  <c r="C589" i="1" a="1"/>
  <c r="C621" i="1" a="1"/>
  <c r="C73" i="1" a="1"/>
  <c r="C187" i="1" a="1"/>
  <c r="C287" i="1" a="1"/>
  <c r="C391" i="1" a="1"/>
  <c r="C501" i="1" a="1"/>
  <c r="C568" i="1" a="1"/>
  <c r="C640" i="1" a="1"/>
  <c r="C672" i="1" a="1"/>
  <c r="C704" i="1" a="1"/>
  <c r="C736" i="1" a="1"/>
  <c r="C768" i="1" a="1"/>
  <c r="C800" i="1" a="1"/>
  <c r="C832" i="1" a="1"/>
  <c r="C65" i="1" a="1"/>
  <c r="C213" i="1" a="1"/>
  <c r="C297" i="1" a="1"/>
  <c r="C418" i="1" a="1"/>
  <c r="C507" i="1" a="1"/>
  <c r="C610" i="1" a="1"/>
  <c r="C98" i="1" a="1"/>
  <c r="C199" i="1" a="1"/>
  <c r="C316" i="1" a="1"/>
  <c r="C441" i="1" a="1"/>
  <c r="C519" i="1" a="1"/>
  <c r="C89" i="1" a="1"/>
  <c r="C251" i="1" a="1"/>
  <c r="C405" i="1" a="1"/>
  <c r="C544" i="1" a="1"/>
  <c r="C133" i="1" a="1"/>
  <c r="C347" i="1" a="1"/>
  <c r="C498" i="1" a="1"/>
  <c r="C616" i="1" a="1"/>
  <c r="C77" i="1" a="1"/>
  <c r="C309" i="1" a="1"/>
  <c r="C499" i="1" a="1"/>
  <c r="C13" i="1" a="1"/>
  <c r="C261" i="1" a="1"/>
  <c r="C477" i="1" a="1"/>
  <c r="C641" i="1" a="1"/>
  <c r="C721" i="1" a="1"/>
  <c r="C806" i="1" a="1"/>
  <c r="C863" i="1" a="1"/>
  <c r="C927" i="1" a="1"/>
  <c r="C991" i="1" a="1"/>
  <c r="C286" i="1" a="1"/>
  <c r="C595" i="1" a="1"/>
  <c r="C715" i="1" a="1"/>
  <c r="C801" i="1" a="1"/>
  <c r="C900" i="1" a="1"/>
  <c r="C964" i="1" a="1"/>
  <c r="C1012" i="1" a="1"/>
  <c r="C1044" i="1" a="1"/>
  <c r="C1076" i="1" a="1"/>
  <c r="C1108" i="1" a="1"/>
  <c r="C164" i="1" a="1"/>
  <c r="C373" i="1" a="1"/>
  <c r="C642" i="1" a="1"/>
  <c r="C722" i="1" a="1"/>
  <c r="C807" i="1" a="1"/>
  <c r="C864" i="1" a="1"/>
  <c r="C928" i="1" a="1"/>
  <c r="C992" i="1" a="1"/>
  <c r="C362" i="1" a="1"/>
  <c r="C571" i="1" a="1"/>
  <c r="C706" i="1" a="1"/>
  <c r="C791" i="1" a="1"/>
  <c r="C889" i="1" a="1"/>
  <c r="C953" i="1" a="1"/>
  <c r="C374" i="1" a="1"/>
  <c r="C167" i="1" a="1"/>
  <c r="C699" i="1" a="1"/>
  <c r="C831" i="1" a="1"/>
  <c r="C943" i="1" a="1"/>
  <c r="C1051" i="1" a="1"/>
  <c r="C1128" i="1" a="1"/>
  <c r="C1255" i="1" a="1"/>
  <c r="C1287" i="1" a="1"/>
  <c r="C1319" i="1" a="1"/>
  <c r="C1351" i="1" a="1"/>
  <c r="C1383" i="1" a="1"/>
  <c r="C1415" i="1" a="1"/>
  <c r="C1447" i="1" a="1"/>
  <c r="C1479" i="1" a="1"/>
  <c r="C1511" i="1" a="1"/>
  <c r="C1543" i="1" a="1"/>
  <c r="C1575" i="1" a="1"/>
  <c r="C1607" i="1" a="1"/>
  <c r="C1639" i="1" a="1"/>
  <c r="C1671" i="1" a="1"/>
  <c r="C1703" i="1" a="1"/>
  <c r="C1735" i="1" a="1"/>
  <c r="C1767" i="1" a="1"/>
  <c r="C379" i="1" a="1"/>
  <c r="C713" i="1" a="1"/>
  <c r="C853" i="1" a="1"/>
  <c r="C980" i="1" a="1"/>
  <c r="C1071" i="1" a="1"/>
  <c r="C1139" i="1" a="1"/>
  <c r="C1182" i="1" a="1"/>
  <c r="C1225" i="1" a="1"/>
  <c r="C190" i="1" a="1"/>
  <c r="C608" i="1" a="1"/>
  <c r="C754" i="1" a="1"/>
  <c r="C902" i="1" a="1"/>
  <c r="C1010" i="1" a="1"/>
  <c r="C1099" i="1" a="1"/>
  <c r="C1216" i="1" a="1"/>
  <c r="C1273" i="1" a="1"/>
  <c r="C1305" i="1" a="1"/>
  <c r="C1337" i="1" a="1"/>
  <c r="C1369" i="1" a="1"/>
  <c r="C1401" i="1" a="1"/>
  <c r="C1433" i="1" a="1"/>
  <c r="C1465" i="1" a="1"/>
  <c r="C1497" i="1" a="1"/>
  <c r="C1529" i="1" a="1"/>
  <c r="C1561" i="1" a="1"/>
  <c r="C1593" i="1" a="1"/>
  <c r="C1625" i="1" a="1"/>
  <c r="C1657" i="1" a="1"/>
  <c r="C1689" i="1" a="1"/>
  <c r="C1721" i="1" a="1"/>
  <c r="C1753" i="1" a="1"/>
  <c r="C1785" i="1" a="1"/>
  <c r="C650" i="1" a="1"/>
  <c r="C1009" i="1" a="1"/>
  <c r="C1130" i="1" a="1"/>
  <c r="C1215" i="1" a="1"/>
  <c r="C1346" i="1" a="1"/>
  <c r="C1474" i="1" a="1"/>
  <c r="C1602" i="1" a="1"/>
  <c r="C1730" i="1" a="1"/>
  <c r="C1824" i="1" a="1"/>
  <c r="C1888" i="1" a="1"/>
  <c r="C1952" i="1" a="1"/>
  <c r="C2016" i="1" a="1"/>
  <c r="C324" i="1" a="1"/>
  <c r="C790" i="1" a="1"/>
  <c r="C976" i="1" a="1"/>
  <c r="C1111" i="1" a="1"/>
  <c r="C1207" i="1" a="1"/>
  <c r="C1328" i="1" a="1"/>
  <c r="C1456" i="1" a="1"/>
  <c r="C1584" i="1" a="1"/>
  <c r="C1712" i="1" a="1"/>
  <c r="C1815" i="1" a="1"/>
  <c r="C1879" i="1" a="1"/>
  <c r="C1943" i="1" a="1"/>
  <c r="C2007" i="1" a="1"/>
  <c r="C2071" i="1" a="1"/>
  <c r="C817" i="1" a="1"/>
  <c r="C981" i="1" a="1"/>
  <c r="C1126" i="1" a="1"/>
  <c r="C1228" i="1" a="1"/>
  <c r="C1330" i="1" a="1"/>
  <c r="C1458" i="1" a="1"/>
  <c r="C1586" i="1" a="1"/>
  <c r="C1714" i="1" a="1"/>
  <c r="C1808" i="1" a="1"/>
  <c r="C1872" i="1" a="1"/>
  <c r="C1936" i="1" a="1"/>
  <c r="C2000" i="1" a="1"/>
  <c r="C2064" i="1" a="1"/>
  <c r="C881" i="1" a="1"/>
  <c r="C1206" i="1" a="1"/>
  <c r="C1320" i="1" a="1"/>
  <c r="C1556" i="1" a="1"/>
  <c r="C1780" i="1" a="1"/>
  <c r="C1900" i="1" a="1"/>
  <c r="C2017" i="1" a="1"/>
  <c r="C2092" i="1" a="1"/>
  <c r="C2156" i="1" a="1"/>
  <c r="C2220" i="1" a="1"/>
  <c r="C2284" i="1" a="1"/>
  <c r="C805" i="1" a="1"/>
  <c r="C1011" i="1" a="1"/>
  <c r="C1167" i="1" a="1"/>
  <c r="C1332" i="1" a="1"/>
  <c r="C1568" i="1" a="1"/>
  <c r="C1732" i="1" a="1"/>
  <c r="C1857" i="1" a="1"/>
  <c r="C1951" i="1" a="1"/>
  <c r="C2054" i="1" a="1"/>
  <c r="C2115" i="1" a="1"/>
  <c r="C2179" i="1" a="1"/>
  <c r="C2243" i="1" a="1"/>
  <c r="C2307" i="1" a="1"/>
  <c r="C2340" i="1" a="1"/>
  <c r="C2372" i="1" a="1"/>
  <c r="C2404" i="1" a="1"/>
  <c r="C2436" i="1" a="1"/>
  <c r="C2468" i="1" a="1"/>
  <c r="C2500" i="1" a="1"/>
  <c r="C2532" i="1" a="1"/>
  <c r="C2564" i="1" a="1"/>
  <c r="C2596" i="1" a="1"/>
  <c r="C2628" i="1" a="1"/>
  <c r="C2660" i="1" a="1"/>
  <c r="C662" i="1" a="1"/>
  <c r="C1132" i="1" a="1"/>
  <c r="C1274" i="1" a="1"/>
  <c r="C1448" i="1" a="1"/>
  <c r="C1684" i="1" a="1"/>
  <c r="C1859" i="1" a="1"/>
  <c r="C1969" i="1" a="1"/>
  <c r="C2070" i="1" a="1"/>
  <c r="C2135" i="1" a="1"/>
  <c r="C2199" i="1" a="1"/>
  <c r="C2263" i="1" a="1"/>
  <c r="C284" i="1" a="1"/>
  <c r="C924" i="1" a="1"/>
  <c r="C1191" i="1" a="1"/>
  <c r="C1486" i="1" a="1"/>
  <c r="C1876" i="1" a="1"/>
  <c r="C2051" i="1" a="1"/>
  <c r="C2154" i="1" a="1"/>
  <c r="C2264" i="1" a="1"/>
  <c r="C2359" i="1" a="1"/>
  <c r="C2449" i="1" a="1"/>
  <c r="C2526" i="1" a="1"/>
  <c r="C2615" i="1" a="1"/>
  <c r="C2695" i="1" a="1"/>
  <c r="C2759" i="1" a="1"/>
  <c r="C2823" i="1" a="1"/>
  <c r="C2887" i="1" a="1"/>
  <c r="C1196" i="1" a="1"/>
  <c r="C1620" i="1" a="1"/>
  <c r="C1818" i="1" a="1"/>
  <c r="C1935" i="1" a="1"/>
  <c r="C2089" i="1" a="1"/>
  <c r="C2177" i="1" a="1"/>
  <c r="C2294" i="1" a="1"/>
  <c r="C2379" i="1" a="1"/>
  <c r="C2469" i="1" a="1"/>
  <c r="C2546" i="1" a="1"/>
  <c r="C2635" i="1" a="1"/>
  <c r="C2701" i="1" a="1"/>
  <c r="C2765" i="1" a="1"/>
  <c r="C2829" i="1" a="1"/>
  <c r="C2893" i="1" a="1"/>
  <c r="C726" i="1" a="1"/>
  <c r="C1158" i="1" a="1"/>
  <c r="C1542" i="1" a="1"/>
  <c r="C1706" i="1" a="1"/>
  <c r="C1927" i="1" a="1"/>
  <c r="C540" i="1" a="1"/>
  <c r="C1089" i="1" a="1"/>
  <c r="C1284" i="1" a="1"/>
  <c r="C1742" i="1" a="1"/>
  <c r="C1895" i="1" a="1"/>
  <c r="C1344" i="1" a="1"/>
  <c r="C1844" i="1" a="1"/>
  <c r="C2128" i="1" a="1"/>
  <c r="C2313" i="1" a="1"/>
  <c r="C2433" i="1" a="1"/>
  <c r="C2553" i="1" a="1"/>
  <c r="C2671" i="1" a="1"/>
  <c r="C2758" i="1" a="1"/>
  <c r="C2843" i="1" a="1"/>
  <c r="C2912" i="1" a="1"/>
  <c r="C2976" i="1" a="1"/>
  <c r="C3040" i="1" a="1"/>
  <c r="C3313" i="1" a="1"/>
  <c r="C2435" i="1" a="1"/>
  <c r="C2967" i="1" a="1"/>
  <c r="C3134" i="1" a="1"/>
  <c r="C3222" i="1" a="1"/>
  <c r="C3342" i="1" a="1"/>
  <c r="C1809" i="1" a="1"/>
  <c r="C2210" i="1" a="1"/>
  <c r="C2471" i="1" a="1"/>
  <c r="C2747" i="1" a="1"/>
  <c r="C2973" i="1" a="1"/>
  <c r="C1348" i="1" a="1"/>
  <c r="C1823" i="1" a="1"/>
  <c r="C2080" i="1" a="1"/>
  <c r="C2226" i="1" a="1"/>
  <c r="C2314" i="1" a="1"/>
  <c r="C2434" i="1" a="1"/>
  <c r="C2554" i="1" a="1"/>
  <c r="C2621" i="1" a="1"/>
  <c r="C2752" i="1" a="1"/>
  <c r="C2844" i="1" a="1"/>
  <c r="C2939" i="1" a="1"/>
  <c r="C3003" i="1" a="1"/>
  <c r="C3067" i="1" a="1"/>
  <c r="C3105" i="1" a="1"/>
  <c r="C3137" i="1" a="1"/>
  <c r="C3169" i="1" a="1"/>
  <c r="C3201" i="1" a="1"/>
  <c r="C3233" i="1" a="1"/>
  <c r="C3265" i="1" a="1"/>
  <c r="C3309" i="1" a="1"/>
  <c r="C2761" i="1" a="1"/>
  <c r="C2962" i="1" a="1"/>
  <c r="C3098" i="1" a="1"/>
  <c r="C3214" i="1" a="1"/>
  <c r="C3314" i="1" a="1"/>
  <c r="C1175" i="1" a="1"/>
  <c r="C2163" i="1" a="1"/>
  <c r="C2446" i="1" a="1"/>
  <c r="C2625" i="1" a="1"/>
  <c r="C2890" i="1" a="1"/>
  <c r="C876" i="1" a="1"/>
  <c r="C1318" i="1" a="1"/>
  <c r="C1873" i="1" a="1"/>
  <c r="C2082" i="1" a="1"/>
  <c r="C2180" i="1" a="1"/>
  <c r="C2342" i="1" a="1"/>
  <c r="C2409" i="1" a="1"/>
  <c r="C2529" i="1" a="1"/>
  <c r="C2649" i="1" a="1"/>
  <c r="C2739" i="1" a="1"/>
  <c r="C2831" i="1" a="1"/>
  <c r="C2907" i="1" a="1"/>
  <c r="C2972" i="1" a="1"/>
  <c r="C3036" i="1" a="1"/>
  <c r="C2461" i="1" a="1"/>
  <c r="C2581" i="1" a="1"/>
  <c r="C2704" i="1" a="1"/>
  <c r="C2868" i="1" a="1"/>
  <c r="C3063" i="1" a="1"/>
  <c r="C3158" i="1" a="1"/>
  <c r="C3254" i="1" a="1"/>
  <c r="C3338" i="1" a="1"/>
  <c r="C1123" i="1" a="1"/>
  <c r="C1828" i="1" a="1"/>
  <c r="C2102" i="1" a="1"/>
  <c r="C2259" i="1" a="1"/>
  <c r="C2402" i="1" a="1"/>
  <c r="C2883" i="1" a="1"/>
  <c r="C3064" i="1" a="1"/>
  <c r="C2047" i="1" a="1"/>
  <c r="C2338" i="1" a="1"/>
  <c r="C2699" i="1" a="1"/>
  <c r="C2870" i="1" a="1"/>
  <c r="C3096" i="1" a="1"/>
  <c r="C3199" i="1" a="1"/>
  <c r="C3263" i="1" a="1"/>
  <c r="C3327" i="1" a="1"/>
  <c r="C2371" i="1" a="1"/>
  <c r="C3103" i="1" a="1"/>
  <c r="C1905" i="1" a="1"/>
  <c r="C2785" i="1" a="1"/>
  <c r="C1976" i="1" a="1"/>
  <c r="C2959" i="1" a="1"/>
  <c r="C3252" i="1" a="1"/>
  <c r="C2157" i="1" a="1"/>
  <c r="C2975" i="1" a="1"/>
  <c r="C1632" i="1" a="1"/>
  <c r="C2114" i="1" a="1"/>
  <c r="C2549" i="1" a="1"/>
  <c r="C2757" i="1" a="1"/>
  <c r="C2991" i="1" a="1"/>
  <c r="C3140" i="1" a="1"/>
  <c r="C3344" i="1" a="1"/>
  <c r="C3039" i="1" a="1"/>
  <c r="C1956" i="1" a="1"/>
  <c r="C2974" i="1" a="1"/>
  <c r="C2827" i="1" a="1"/>
  <c r="C2212" i="1" a="1"/>
  <c r="C1396" i="1" a="1"/>
  <c r="C2194" i="1" a="1"/>
  <c r="C2506" i="1" a="1"/>
  <c r="C2742" i="1" a="1"/>
  <c r="C2953" i="1" a="1"/>
  <c r="C3088" i="1" a="1"/>
  <c r="C3208" i="1" a="1"/>
  <c r="C3288" i="1" a="1"/>
  <c r="C2329" i="1" a="1"/>
  <c r="C3080" i="1" a="1"/>
  <c r="C1231" i="1" a="1"/>
  <c r="C3147" i="1" a="1"/>
  <c r="C3159" i="1" a="1"/>
  <c r="C2262" i="1" a="1"/>
  <c r="C3060" i="1" a="1"/>
  <c r="C1662" i="1" a="1"/>
  <c r="C2346" i="1" a="1"/>
  <c r="C2707" i="1" a="1"/>
  <c r="C2911" i="1" a="1"/>
  <c r="C3066" i="1" a="1"/>
  <c r="C3184" i="1" a="1"/>
  <c r="C2534" i="1" a="1"/>
  <c r="C3251" i="1" a="1"/>
  <c r="C2559" i="1" a="1"/>
  <c r="C1696" i="1" a="1"/>
  <c r="C3044" i="1" a="1"/>
  <c r="C3356" i="1" a="1"/>
  <c r="C2828" i="1" a="1"/>
  <c r="C3100" i="1" a="1"/>
  <c r="C3307" i="1" a="1"/>
  <c r="C2127" i="1" a="1"/>
  <c r="C3002" i="1" a="1"/>
  <c r="G203" i="1" a="1"/>
  <c r="G529" i="1" a="1"/>
  <c r="G503" i="1" a="1"/>
  <c r="G1055" i="1" a="1"/>
  <c r="G980" i="1" a="1"/>
  <c r="G1132" i="1" a="1"/>
  <c r="G888" i="1" a="1"/>
  <c r="G815" i="1" a="1"/>
  <c r="G1072" i="1" a="1"/>
  <c r="G1446" i="1" a="1"/>
  <c r="G1606" i="1" a="1"/>
  <c r="G1286" i="1" a="1"/>
  <c r="G1265" i="1" a="1"/>
  <c r="G1519" i="1" a="1"/>
  <c r="G512" i="1" a="1"/>
  <c r="G1392" i="1" a="1"/>
  <c r="G1315" i="1" a="1"/>
  <c r="G1536" i="1" a="1"/>
  <c r="G1342" i="1" a="1"/>
  <c r="G779" i="1" a="1"/>
  <c r="G1781" i="1" a="1"/>
  <c r="G1569" i="1" a="1"/>
  <c r="G1746" i="1" a="1"/>
  <c r="G1751" i="1" a="1"/>
  <c r="G1872" i="1" a="1"/>
  <c r="G2011" i="1" a="1"/>
  <c r="G1557" i="1" a="1"/>
  <c r="G1881" i="1" a="1"/>
  <c r="G2016" i="1" a="1"/>
  <c r="G1913" i="1" a="1"/>
  <c r="G2073" i="1" a="1"/>
  <c r="G2195" i="1" a="1"/>
  <c r="G2233" i="1" a="1"/>
  <c r="G2441" i="1" a="1"/>
  <c r="G2633" i="1" a="1"/>
  <c r="G2793" i="1" a="1"/>
  <c r="G2762" i="1" a="1"/>
  <c r="G2176" i="1" a="1"/>
  <c r="G2462" i="1" a="1"/>
  <c r="G2690" i="1" a="1"/>
  <c r="G2974" i="1" a="1"/>
  <c r="G2331" i="1" a="1"/>
  <c r="G2030" i="1" a="1"/>
  <c r="G2332" i="1" a="1"/>
  <c r="G2483" i="1" a="1"/>
  <c r="G2675" i="1" a="1"/>
  <c r="G2807" i="1" a="1"/>
  <c r="G2640" i="1" a="1"/>
  <c r="G2829" i="1" a="1"/>
  <c r="G2556" i="1" a="1"/>
  <c r="G3063" i="1" a="1"/>
  <c r="G3319" i="1" a="1"/>
  <c r="G3029" i="1" a="1"/>
  <c r="G3154" i="1" a="1"/>
  <c r="G3347" i="1" a="1"/>
  <c r="G2580" i="1" a="1"/>
  <c r="G3001" i="1" a="1"/>
  <c r="G3246" i="1" a="1"/>
  <c r="G3102" i="1" a="1"/>
  <c r="G2925" i="1" a="1"/>
  <c r="G2423" i="1" a="1"/>
  <c r="G3020" i="1" a="1"/>
  <c r="G91" i="1" a="1"/>
  <c r="G68" i="1" a="1"/>
  <c r="G243" i="1" a="1"/>
  <c r="G223" i="1" a="1"/>
  <c r="G413" i="1" a="1"/>
  <c r="G98" i="1" a="1"/>
  <c r="G130" i="1" a="1"/>
  <c r="G370" i="1" a="1"/>
  <c r="G316" i="1" a="1"/>
  <c r="G484" i="1" a="1"/>
  <c r="G579" i="1" a="1"/>
  <c r="G467" i="1" a="1"/>
  <c r="G668" i="1" a="1"/>
  <c r="G242" i="1" a="1"/>
  <c r="G125" i="1" a="1"/>
  <c r="G173" i="1" a="1"/>
  <c r="G613" i="1" a="1"/>
  <c r="G157" i="1" a="1"/>
  <c r="G232" i="1" a="1"/>
  <c r="G738" i="1" a="1"/>
  <c r="G991" i="1" a="1"/>
  <c r="G845" i="1" a="1"/>
  <c r="G1088" i="1" a="1"/>
  <c r="G659" i="1" a="1"/>
  <c r="G916" i="1" a="1"/>
  <c r="G621" i="1" a="1"/>
  <c r="G872" i="1" a="1"/>
  <c r="G1105" i="1" a="1"/>
  <c r="G1039" i="1" a="1"/>
  <c r="G1053" i="1" a="1"/>
  <c r="G678" i="1" a="1"/>
  <c r="G1094" i="1" a="1"/>
  <c r="G837" i="1" a="1"/>
  <c r="G1087" i="1" a="1"/>
  <c r="G1196" i="1" a="1"/>
  <c r="G1240" i="1" a="1"/>
  <c r="G718" i="1" a="1"/>
  <c r="G1071" i="1" a="1"/>
  <c r="G1274" i="1" a="1"/>
  <c r="G1328" i="1" a="1"/>
  <c r="G1408" i="1" a="1"/>
  <c r="G995" i="1" a="1"/>
  <c r="G1193" i="1" a="1"/>
  <c r="G1307" i="1" a="1"/>
  <c r="G1390" i="1" a="1"/>
  <c r="G1438" i="1" a="1"/>
  <c r="G1470" i="1" a="1"/>
  <c r="G1502" i="1" a="1"/>
  <c r="G1534" i="1" a="1"/>
  <c r="G1566" i="1" a="1"/>
  <c r="G1598" i="1" a="1"/>
  <c r="G1630" i="1" a="1"/>
  <c r="G1662" i="1" a="1"/>
  <c r="G868" i="1" a="1"/>
  <c r="G1103" i="1" a="1"/>
  <c r="G1276" i="1" a="1"/>
  <c r="G1318" i="1" a="1"/>
  <c r="G1368" i="1" a="1"/>
  <c r="G792" i="1" a="1"/>
  <c r="G1048" i="1" a="1"/>
  <c r="G1178" i="1" a="1"/>
  <c r="G1239" i="1" a="1"/>
  <c r="G1350" i="1" a="1"/>
  <c r="G1414" i="1" a="1"/>
  <c r="G1447" i="1" a="1"/>
  <c r="G1479" i="1" a="1"/>
  <c r="G1511" i="1" a="1"/>
  <c r="G1543" i="1" a="1"/>
  <c r="G1575" i="1" a="1"/>
  <c r="G1607" i="1" a="1"/>
  <c r="G1639" i="1" a="1"/>
  <c r="G854" i="1" a="1"/>
  <c r="G1119" i="1" a="1"/>
  <c r="G1282" i="1" a="1"/>
  <c r="G1325" i="1" a="1"/>
  <c r="G1378" i="1" a="1"/>
  <c r="G829" i="1" a="1"/>
  <c r="G1082" i="1" a="1"/>
  <c r="G1197" i="1" a="1"/>
  <c r="G1283" i="1" a="1"/>
  <c r="G1379" i="1" a="1"/>
  <c r="G1432" i="1" a="1"/>
  <c r="G1464" i="1" a="1"/>
  <c r="G1496" i="1" a="1"/>
  <c r="G1528" i="1" a="1"/>
  <c r="G1560" i="1" a="1"/>
  <c r="G1592" i="1" a="1"/>
  <c r="G1624" i="1" a="1"/>
  <c r="G1656" i="1" a="1"/>
  <c r="G1300" i="1" a="1"/>
  <c r="G1684" i="1" a="1"/>
  <c r="G1748" i="1" a="1"/>
  <c r="G1812" i="1" a="1"/>
  <c r="G1876" i="1" a="1"/>
  <c r="G1198" i="1" a="1"/>
  <c r="G630" i="1" a="1"/>
  <c r="G1326" i="1" a="1"/>
  <c r="G1703" i="1" a="1"/>
  <c r="G1767" i="1" a="1"/>
  <c r="G1831" i="1" a="1"/>
  <c r="G907" i="1" a="1"/>
  <c r="G1403" i="1" a="1"/>
  <c r="G1489" i="1" a="1"/>
  <c r="G1553" i="1" a="1"/>
  <c r="G1617" i="1" a="1"/>
  <c r="G1690" i="1" a="1"/>
  <c r="G1754" i="1" a="1"/>
  <c r="G1035" i="1" a="1"/>
  <c r="G1441" i="1" a="1"/>
  <c r="G1728" i="1" a="1"/>
  <c r="G1792" i="1" a="1"/>
  <c r="G1856" i="1" a="1"/>
  <c r="G1509" i="1" a="1"/>
  <c r="G1733" i="1" a="1"/>
  <c r="G1834" i="1" a="1"/>
  <c r="G1310" i="1" a="1"/>
  <c r="G1715" i="1" a="1"/>
  <c r="G1850" i="1" a="1"/>
  <c r="G1907" i="1" a="1"/>
  <c r="G1939" i="1" a="1"/>
  <c r="G1971" i="1" a="1"/>
  <c r="G2003" i="1" a="1"/>
  <c r="G2035" i="1" a="1"/>
  <c r="G2067" i="1" a="1"/>
  <c r="G2099" i="1" a="1"/>
  <c r="G2131" i="1" a="1"/>
  <c r="G1412" i="1" a="1"/>
  <c r="G1707" i="1" a="1"/>
  <c r="G1858" i="1" a="1"/>
  <c r="G1453" i="1" a="1"/>
  <c r="G1764" i="1" a="1"/>
  <c r="G1859" i="1" a="1"/>
  <c r="G1912" i="1" a="1"/>
  <c r="G1944" i="1" a="1"/>
  <c r="G1976" i="1" a="1"/>
  <c r="G2008" i="1" a="1"/>
  <c r="G2040" i="1" a="1"/>
  <c r="G2072" i="1" a="1"/>
  <c r="G2104" i="1" a="1"/>
  <c r="G1121" i="1" a="1"/>
  <c r="G1720" i="1" a="1"/>
  <c r="G1832" i="1" a="1"/>
  <c r="G1905" i="1" a="1"/>
  <c r="G1937" i="1" a="1"/>
  <c r="G1969" i="1" a="1"/>
  <c r="G2001" i="1" a="1"/>
  <c r="G2033" i="1" a="1"/>
  <c r="G2065" i="1" a="1"/>
  <c r="G2097" i="1" a="1"/>
  <c r="G1289" i="1" a="1"/>
  <c r="G1721" i="1" a="1"/>
  <c r="G1332" i="1" a="1"/>
  <c r="G1970" i="1" a="1"/>
  <c r="G2163" i="1" a="1"/>
  <c r="G2291" i="1" a="1"/>
  <c r="G958" i="1" a="1"/>
  <c r="G1867" i="1" a="1"/>
  <c r="G2110" i="1" a="1"/>
  <c r="G2180" i="1" a="1"/>
  <c r="G2222" i="1" a="1"/>
  <c r="G2265" i="1" a="1"/>
  <c r="G2308" i="1" a="1"/>
  <c r="G2350" i="1" a="1"/>
  <c r="G2393" i="1" a="1"/>
  <c r="G2433" i="1" a="1"/>
  <c r="G2465" i="1" a="1"/>
  <c r="G2497" i="1" a="1"/>
  <c r="G2529" i="1" a="1"/>
  <c r="G2561" i="1" a="1"/>
  <c r="G2593" i="1" a="1"/>
  <c r="G2625" i="1" a="1"/>
  <c r="G2657" i="1" a="1"/>
  <c r="G2689" i="1" a="1"/>
  <c r="G2721" i="1" a="1"/>
  <c r="G2753" i="1" a="1"/>
  <c r="G2785" i="1" a="1"/>
  <c r="G1848" i="1" a="1"/>
  <c r="G2090" i="1" a="1"/>
  <c r="G2207" i="1" a="1"/>
  <c r="G2335" i="1" a="1"/>
  <c r="G2742" i="1" a="1"/>
  <c r="G2810" i="1" a="1"/>
  <c r="G2870" i="1" a="1"/>
  <c r="G2934" i="1" a="1"/>
  <c r="G2990" i="1" a="1"/>
  <c r="G1741" i="1" a="1"/>
  <c r="G2038" i="1" a="1"/>
  <c r="G2165" i="1" a="1"/>
  <c r="G2208" i="1" a="1"/>
  <c r="G2250" i="1" a="1"/>
  <c r="G2293" i="1" a="1"/>
  <c r="G2336" i="1" a="1"/>
  <c r="G2378" i="1" a="1"/>
  <c r="G2421" i="1" a="1"/>
  <c r="G2454" i="1" a="1"/>
  <c r="G2486" i="1" a="1"/>
  <c r="G2518" i="1" a="1"/>
  <c r="G2550" i="1" a="1"/>
  <c r="G2582" i="1" a="1"/>
  <c r="G2614" i="1" a="1"/>
  <c r="G2646" i="1" a="1"/>
  <c r="G2682" i="1" a="1"/>
  <c r="G2714" i="1" a="1"/>
  <c r="G2758" i="1" a="1"/>
  <c r="G2826" i="1" a="1"/>
  <c r="G2890" i="1" a="1"/>
  <c r="G2958" i="1" a="1"/>
  <c r="G3026" i="1" a="1"/>
  <c r="G1986" i="1" a="1"/>
  <c r="G2171" i="1" a="1"/>
  <c r="G2299" i="1" a="1"/>
  <c r="G2735" i="1" a="1"/>
  <c r="G2879" i="1" a="1"/>
  <c r="G2943" i="1" a="1"/>
  <c r="G3007" i="1" a="1"/>
  <c r="G1677" i="1" a="1"/>
  <c r="G1966" i="1" a="1"/>
  <c r="G2150" i="1" a="1"/>
  <c r="G2193" i="1" a="1"/>
  <c r="G2236" i="1" a="1"/>
  <c r="G2278" i="1" a="1"/>
  <c r="G2321" i="1" a="1"/>
  <c r="G2364" i="1" a="1"/>
  <c r="G2406" i="1" a="1"/>
  <c r="G2443" i="1" a="1"/>
  <c r="G2475" i="1" a="1"/>
  <c r="G2507" i="1" a="1"/>
  <c r="G2539" i="1" a="1"/>
  <c r="G2571" i="1" a="1"/>
  <c r="G2603" i="1" a="1"/>
  <c r="G2635" i="1" a="1"/>
  <c r="G2667" i="1" a="1"/>
  <c r="G2699" i="1" a="1"/>
  <c r="G2731" i="1" a="1"/>
  <c r="G2767" i="1" a="1"/>
  <c r="G2799" i="1" a="1"/>
  <c r="G2843" i="1" a="1"/>
  <c r="G2907" i="1" a="1"/>
  <c r="G2971" i="1" a="1"/>
  <c r="G3035" i="1" a="1"/>
  <c r="G2247" i="1" a="1"/>
  <c r="G2576" i="1" a="1"/>
  <c r="G3044" i="1" a="1"/>
  <c r="G3158" i="1" a="1"/>
  <c r="G3286" i="1" a="1"/>
  <c r="G3258" i="1" a="1"/>
  <c r="G2564" i="1" a="1"/>
  <c r="G3056" i="1" a="1"/>
  <c r="G3296" i="1" a="1"/>
  <c r="G2022" i="1" a="1"/>
  <c r="G2290" i="1" a="1"/>
  <c r="G2492" i="1" a="1"/>
  <c r="G2748" i="1" a="1"/>
  <c r="G2848" i="1" a="1"/>
  <c r="G2912" i="1" a="1"/>
  <c r="G2976" i="1" a="1"/>
  <c r="G3038" i="1" a="1"/>
  <c r="G3095" i="1" a="1"/>
  <c r="G3137" i="1" a="1"/>
  <c r="G3180" i="1" a="1"/>
  <c r="G3223" i="1" a="1"/>
  <c r="G3265" i="1" a="1"/>
  <c r="G3308" i="1" a="1"/>
  <c r="G3351" i="1" a="1"/>
  <c r="G2552" i="1" a="1"/>
  <c r="G2221" i="1" a="1"/>
  <c r="G2957" i="1" a="1"/>
  <c r="G3216" i="1" a="1"/>
  <c r="G1946" i="1" a="1"/>
  <c r="G2504" i="1" a="1"/>
  <c r="G2760" i="1" a="1"/>
  <c r="G3122" i="1" a="1"/>
  <c r="G3250" i="1" a="1"/>
  <c r="G3149" i="1" a="1"/>
  <c r="G3251" i="1" a="1"/>
  <c r="G3325" i="1" a="1"/>
  <c r="G3358" i="1" a="1"/>
  <c r="G3147" i="1" a="1"/>
  <c r="G2146" i="1" a="1"/>
  <c r="G2317" i="1" a="1"/>
  <c r="G2516" i="1" a="1"/>
  <c r="G2772" i="1" a="1"/>
  <c r="G2857" i="1" a="1"/>
  <c r="G2921" i="1" a="1"/>
  <c r="G2985" i="1" a="1"/>
  <c r="G3046" i="1" a="1"/>
  <c r="G3096" i="1" a="1"/>
  <c r="G3139" i="1" a="1"/>
  <c r="G3197" i="1" a="1"/>
  <c r="G3299" i="1" a="1"/>
  <c r="G3182" i="1" a="1"/>
  <c r="G2973" i="1" a="1"/>
  <c r="G1541" i="1" a="1"/>
  <c r="G2279" i="1" a="1"/>
  <c r="G2560" i="1" a="1"/>
  <c r="G3053" i="1" a="1"/>
  <c r="G3342" i="1" a="1"/>
  <c r="G2134" i="1" a="1"/>
  <c r="G2845" i="1" a="1"/>
  <c r="G3141" i="1" a="1"/>
  <c r="G3349" i="1" a="1"/>
  <c r="G2216" i="1" a="1"/>
  <c r="G2386" i="1" a="1"/>
  <c r="G2604" i="1" a="1"/>
  <c r="G2812" i="1" a="1"/>
  <c r="G2876" i="1" a="1"/>
  <c r="G2940" i="1" a="1"/>
  <c r="G3004" i="1" a="1"/>
  <c r="G3065" i="1" a="1"/>
  <c r="G3108" i="1" a="1"/>
  <c r="G3151" i="1" a="1"/>
  <c r="G3193" i="1" a="1"/>
  <c r="G3236" i="1" a="1"/>
  <c r="G3279" i="1" a="1"/>
  <c r="G3321" i="1" a="1"/>
  <c r="G3364" i="1" a="1"/>
  <c r="G2520" i="1" a="1"/>
  <c r="G3322" i="1" a="1"/>
  <c r="G2821" i="1" a="1"/>
  <c r="G3136" i="1" a="1"/>
  <c r="G2" i="1" a="1"/>
  <c r="C32" i="1" a="1"/>
  <c r="C64" i="1" a="1"/>
  <c r="C96" i="1" a="1"/>
  <c r="C147" i="1" a="1"/>
  <c r="C211" i="1" a="1"/>
  <c r="C275" i="1" a="1"/>
  <c r="C339" i="1" a="1"/>
  <c r="C42" i="1" a="1"/>
  <c r="C85" i="1" a="1"/>
  <c r="C134" i="1" a="1"/>
  <c r="C198" i="1" a="1"/>
  <c r="C262" i="1" a="1"/>
  <c r="C326" i="1" a="1"/>
  <c r="C368" i="1" a="1"/>
  <c r="C400" i="1" a="1"/>
  <c r="C432" i="1" a="1"/>
  <c r="C464" i="1" a="1"/>
  <c r="C496" i="1" a="1"/>
  <c r="C113" i="1" a="1"/>
  <c r="C177" i="1" a="1"/>
  <c r="C241" i="1" a="1"/>
  <c r="C305" i="1" a="1"/>
  <c r="C62" i="1" a="1"/>
  <c r="C150" i="1" a="1"/>
  <c r="C260" i="1" a="1"/>
  <c r="C359" i="1" a="1"/>
  <c r="C447" i="1" a="1"/>
  <c r="C529" i="1" a="1"/>
  <c r="C561" i="1" a="1"/>
  <c r="C593" i="1" a="1"/>
  <c r="C625" i="1" a="1"/>
  <c r="C93" i="1" a="1"/>
  <c r="C196" i="1" a="1"/>
  <c r="C295" i="1" a="1"/>
  <c r="C402" i="1" a="1"/>
  <c r="C506" i="1" a="1"/>
  <c r="C582" i="1" a="1"/>
  <c r="C644" i="1" a="1"/>
  <c r="C676" i="1" a="1"/>
  <c r="C708" i="1" a="1"/>
  <c r="C740" i="1" a="1"/>
  <c r="C772" i="1" a="1"/>
  <c r="C804" i="1" a="1"/>
  <c r="C836" i="1" a="1"/>
  <c r="C83" i="1" a="1"/>
  <c r="C229" i="1" a="1"/>
  <c r="C322" i="1" a="1"/>
  <c r="C423" i="1" a="1"/>
  <c r="C532" i="1" a="1"/>
  <c r="C619" i="1" a="1"/>
  <c r="C107" i="1" a="1"/>
  <c r="C208" i="1" a="1"/>
  <c r="C342" i="1" a="1"/>
  <c r="C446" i="1" a="1"/>
  <c r="C534" i="1" a="1"/>
  <c r="C118" i="1" a="1"/>
  <c r="C265" i="1" a="1"/>
  <c r="C430" i="1" a="1"/>
  <c r="C572" i="1" a="1"/>
  <c r="C160" i="1" a="1"/>
  <c r="C358" i="1" a="1"/>
  <c r="C523" i="1" a="1"/>
  <c r="C622" i="1" a="1"/>
  <c r="C91" i="1" a="1"/>
  <c r="C336" i="1" a="1"/>
  <c r="C515" i="1" a="1"/>
  <c r="C38" i="1" a="1"/>
  <c r="C302" i="1" a="1"/>
  <c r="C503" i="1" a="1"/>
  <c r="C647" i="1" a="1"/>
  <c r="C733" i="1" a="1"/>
  <c r="C818" i="1" a="1"/>
  <c r="C872" i="1" a="1"/>
  <c r="C936" i="1" a="1"/>
  <c r="C17" i="1" a="1"/>
  <c r="C310" i="1" a="1"/>
  <c r="C615" i="1" a="1"/>
  <c r="C727" i="1" a="1"/>
  <c r="C813" i="1" a="1"/>
  <c r="C905" i="1" a="1"/>
  <c r="C969" i="1" a="1"/>
  <c r="C1016" i="1" a="1"/>
  <c r="C1048" i="1" a="1"/>
  <c r="C1080" i="1" a="1"/>
  <c r="C1112" i="1" a="1"/>
  <c r="C182" i="1" a="1"/>
  <c r="C453" i="1" a="1"/>
  <c r="C649" i="1" a="1"/>
  <c r="C734" i="1" a="1"/>
  <c r="C819" i="1" a="1"/>
  <c r="C869" i="1" a="1"/>
  <c r="C933" i="1" a="1"/>
  <c r="C51" i="1" a="1"/>
  <c r="C377" i="1" a="1"/>
  <c r="C590" i="1" a="1"/>
  <c r="C718" i="1" a="1"/>
  <c r="C803" i="1" a="1"/>
  <c r="C898" i="1" a="1"/>
  <c r="C962" i="1" a="1"/>
  <c r="C401" i="1" a="1"/>
  <c r="C403" i="1" a="1"/>
  <c r="C711" i="1" a="1"/>
  <c r="C842" i="1" a="1"/>
  <c r="C952" i="1" a="1"/>
  <c r="C1058" i="1" a="1"/>
  <c r="C1144" i="1" a="1"/>
  <c r="C1259" i="1" a="1"/>
  <c r="C1291" i="1" a="1"/>
  <c r="C1323" i="1" a="1"/>
  <c r="C1355" i="1" a="1"/>
  <c r="C1387" i="1" a="1"/>
  <c r="C1419" i="1" a="1"/>
  <c r="C1451" i="1" a="1"/>
  <c r="C1483" i="1" a="1"/>
  <c r="C1515" i="1" a="1"/>
  <c r="C1547" i="1" a="1"/>
  <c r="C1579" i="1" a="1"/>
  <c r="C1611" i="1" a="1"/>
  <c r="C1643" i="1" a="1"/>
  <c r="C1675" i="1" a="1"/>
  <c r="C1707" i="1" a="1"/>
  <c r="C1739" i="1" a="1"/>
  <c r="C1771" i="1" a="1"/>
  <c r="C513" i="1" a="1"/>
  <c r="C762" i="1" a="1"/>
  <c r="C862" i="1" a="1"/>
  <c r="C988" i="1" a="1"/>
  <c r="C1078" i="1" a="1"/>
  <c r="C1145" i="1" a="1"/>
  <c r="C1187" i="1" a="1"/>
  <c r="C1230" i="1" a="1"/>
  <c r="C315" i="1" a="1"/>
  <c r="C630" i="1" a="1"/>
  <c r="C766" i="1" a="1"/>
  <c r="C911" i="1" a="1"/>
  <c r="C1017" i="1" a="1"/>
  <c r="C1106" i="1" a="1"/>
  <c r="C1232" i="1" a="1"/>
  <c r="C1277" i="1" a="1"/>
  <c r="C1309" i="1" a="1"/>
  <c r="C1341" i="1" a="1"/>
  <c r="C1373" i="1" a="1"/>
  <c r="C1405" i="1" a="1"/>
  <c r="C1437" i="1" a="1"/>
  <c r="C1469" i="1" a="1"/>
  <c r="C1501" i="1" a="1"/>
  <c r="C1533" i="1" a="1"/>
  <c r="C1565" i="1" a="1"/>
  <c r="C1597" i="1" a="1"/>
  <c r="C1629" i="1" a="1"/>
  <c r="C1661" i="1" a="1"/>
  <c r="C1693" i="1" a="1"/>
  <c r="C1725" i="1" a="1"/>
  <c r="C1757" i="1" a="1"/>
  <c r="C1789" i="1" a="1"/>
  <c r="C670" i="1" a="1"/>
  <c r="C1018" i="1" a="1"/>
  <c r="C1138" i="1" a="1"/>
  <c r="C1223" i="1" a="1"/>
  <c r="C1372" i="1" a="1"/>
  <c r="C1500" i="1" a="1"/>
  <c r="C1628" i="1" a="1"/>
  <c r="C1756" i="1" a="1"/>
  <c r="C1833" i="1" a="1"/>
  <c r="C1897" i="1" a="1"/>
  <c r="C1961" i="1" a="1"/>
  <c r="C2025" i="1" a="1"/>
  <c r="C631" i="1" a="1"/>
  <c r="C827" i="1" a="1"/>
  <c r="C989" i="1" a="1"/>
  <c r="C1131" i="1" a="1"/>
  <c r="C1217" i="1" a="1"/>
  <c r="C1334" i="1" a="1"/>
  <c r="C1462" i="1" a="1"/>
  <c r="C1590" i="1" a="1"/>
  <c r="C1718" i="1" a="1"/>
  <c r="C1820" i="1" a="1"/>
  <c r="C1884" i="1" a="1"/>
  <c r="C1948" i="1" a="1"/>
  <c r="C2012" i="1" a="1"/>
  <c r="C183" i="1" a="1"/>
  <c r="C849" i="1" a="1"/>
  <c r="C993" i="1" a="1"/>
  <c r="C1151" i="1" a="1"/>
  <c r="C1237" i="1" a="1"/>
  <c r="C1356" i="1" a="1"/>
  <c r="C1484" i="1" a="1"/>
  <c r="C1612" i="1" a="1"/>
  <c r="C1740" i="1" a="1"/>
  <c r="C1817" i="1" a="1"/>
  <c r="C1881" i="1" a="1"/>
  <c r="C1945" i="1" a="1"/>
  <c r="C2009" i="1" a="1"/>
  <c r="C2073" i="1" a="1"/>
  <c r="C972" i="1" a="1"/>
  <c r="C1221" i="1" a="1"/>
  <c r="C1382" i="1" a="1"/>
  <c r="C1566" i="1" a="1"/>
  <c r="C1812" i="1" a="1"/>
  <c r="C1907" i="1" a="1"/>
  <c r="C2024" i="1" a="1"/>
  <c r="C2101" i="1" a="1"/>
  <c r="C2165" i="1" a="1"/>
  <c r="C2229" i="1" a="1"/>
  <c r="C2293" i="1" a="1"/>
  <c r="C860" i="1" a="1"/>
  <c r="C1027" i="1" a="1"/>
  <c r="C1180" i="1" a="1"/>
  <c r="C1342" i="1" a="1"/>
  <c r="C1578" i="1" a="1"/>
  <c r="C1752" i="1" a="1"/>
  <c r="C1864" i="1" a="1"/>
  <c r="C1959" i="1" a="1"/>
  <c r="C2061" i="1" a="1"/>
  <c r="C2120" i="1" a="1"/>
  <c r="C2184" i="1" a="1"/>
  <c r="C2248" i="1" a="1"/>
  <c r="C2312" i="1" a="1"/>
  <c r="C2344" i="1" a="1"/>
  <c r="C2376" i="1" a="1"/>
  <c r="C2408" i="1" a="1"/>
  <c r="C2440" i="1" a="1"/>
  <c r="C2472" i="1" a="1"/>
  <c r="C2504" i="1" a="1"/>
  <c r="C2536" i="1" a="1"/>
  <c r="C2568" i="1" a="1"/>
  <c r="C2600" i="1" a="1"/>
  <c r="C2632" i="1" a="1"/>
  <c r="C2664" i="1" a="1"/>
  <c r="C755" i="1" a="1"/>
  <c r="C1172" i="1" a="1"/>
  <c r="C1294" i="1" a="1"/>
  <c r="C1510" i="1" a="1"/>
  <c r="C1694" i="1" a="1"/>
  <c r="C1889" i="1" a="1"/>
  <c r="C1983" i="1" a="1"/>
  <c r="C2076" i="1" a="1"/>
  <c r="C2140" i="1" a="1"/>
  <c r="C2204" i="1" a="1"/>
  <c r="C2268" i="1" a="1"/>
  <c r="C575" i="1" a="1"/>
  <c r="C997" i="1" a="1"/>
  <c r="C1238" i="1" a="1"/>
  <c r="C1502" i="1" a="1"/>
  <c r="C1887" i="1" a="1"/>
  <c r="C2063" i="1" a="1"/>
  <c r="C2176" i="1" a="1"/>
  <c r="C2271" i="1" a="1"/>
  <c r="C2366" i="1" a="1"/>
  <c r="C2455" i="1" a="1"/>
  <c r="C2545" i="1" a="1"/>
  <c r="C2622" i="1" a="1"/>
  <c r="C2706" i="1" a="1"/>
  <c r="C2770" i="1" a="1"/>
  <c r="C2834" i="1" a="1"/>
  <c r="C474" i="1" a="1"/>
  <c r="C1258" i="1" a="1"/>
  <c r="C1636" i="1" a="1"/>
  <c r="C1831" i="1" a="1"/>
  <c r="C1960" i="1" a="1"/>
  <c r="C2096" i="1" a="1"/>
  <c r="C2191" i="1" a="1"/>
  <c r="C2301" i="1" a="1"/>
  <c r="C2386" i="1" a="1"/>
  <c r="C2475" i="1" a="1"/>
  <c r="C2565" i="1" a="1"/>
  <c r="C2642" i="1" a="1"/>
  <c r="C2712" i="1" a="1"/>
  <c r="C2776" i="1" a="1"/>
  <c r="C2840" i="1" a="1"/>
  <c r="C2904" i="1" a="1"/>
  <c r="C899" i="1" a="1"/>
  <c r="C1178" i="1" a="1"/>
  <c r="C1574" i="1" a="1"/>
  <c r="C1722" i="1" a="1"/>
  <c r="C1939" i="1" a="1"/>
  <c r="C686" i="1" a="1"/>
  <c r="C1118" i="1" a="1"/>
  <c r="C1480" i="1" a="1"/>
  <c r="C1758" i="1" a="1"/>
  <c r="C2023" i="1" a="1"/>
  <c r="C1376" i="1" a="1"/>
  <c r="C1868" i="1" a="1"/>
  <c r="C2137" i="1" a="1"/>
  <c r="C2374" i="1" a="1"/>
  <c r="C2441" i="1" a="1"/>
  <c r="C2561" i="1" a="1"/>
  <c r="C2687" i="1" a="1"/>
  <c r="C2766" i="1" a="1"/>
  <c r="C2851" i="1" a="1"/>
  <c r="C2917" i="1" a="1"/>
  <c r="C2981" i="1" a="1"/>
  <c r="C3045" i="1" a="1"/>
  <c r="C3321" i="1" a="1"/>
  <c r="C2768" i="1" a="1"/>
  <c r="C3015" i="1" a="1"/>
  <c r="C3142" i="1" a="1"/>
  <c r="C3234" i="1" a="1"/>
  <c r="C3354" i="1" a="1"/>
  <c r="C1832" i="1" a="1"/>
  <c r="C2269" i="1" a="1"/>
  <c r="C2497" i="1" a="1"/>
  <c r="C2762" i="1" a="1"/>
  <c r="C3005" i="1" a="1"/>
  <c r="C1380" i="1" a="1"/>
  <c r="C1846" i="1" a="1"/>
  <c r="C2100" i="1" a="1"/>
  <c r="C2237" i="1" a="1"/>
  <c r="C2323" i="1" a="1"/>
  <c r="C2442" i="1" a="1"/>
  <c r="C2562" i="1" a="1"/>
  <c r="C2681" i="1" a="1"/>
  <c r="C2773" i="1" a="1"/>
  <c r="C2852" i="1" a="1"/>
  <c r="C2950" i="1" a="1"/>
  <c r="C3014" i="1" a="1"/>
  <c r="C3077" i="1" a="1"/>
  <c r="C3109" i="1" a="1"/>
  <c r="C3141" i="1" a="1"/>
  <c r="C3173" i="1" a="1"/>
  <c r="C3205" i="1" a="1"/>
  <c r="C3237" i="1" a="1"/>
  <c r="C3269" i="1" a="1"/>
  <c r="C3317" i="1" a="1"/>
  <c r="C2796" i="1" a="1"/>
  <c r="C2983" i="1" a="1"/>
  <c r="C3110" i="1" a="1"/>
  <c r="C3226" i="1" a="1"/>
  <c r="C3322" i="1" a="1"/>
  <c r="C1326" i="1" a="1"/>
  <c r="C2201" i="1" a="1"/>
  <c r="C2463" i="1" a="1"/>
  <c r="C2683" i="1" a="1"/>
  <c r="C2936" i="1" a="1"/>
  <c r="C956" i="1" a="1"/>
  <c r="C1350" i="1" a="1"/>
  <c r="C1919" i="1" a="1"/>
  <c r="C2091" i="1" a="1"/>
  <c r="C2189" i="1" a="1"/>
  <c r="C2350" i="1" a="1"/>
  <c r="C2470" i="1" a="1"/>
  <c r="C2537" i="1" a="1"/>
  <c r="C2657" i="1" a="1"/>
  <c r="C2746" i="1" a="1"/>
  <c r="C2838" i="1" a="1"/>
  <c r="C2913" i="1" a="1"/>
  <c r="C2977" i="1" a="1"/>
  <c r="C3041" i="1" a="1"/>
  <c r="C2522" i="1" a="1"/>
  <c r="C2589" i="1" a="1"/>
  <c r="C2725" i="1" a="1"/>
  <c r="C2896" i="1" a="1"/>
  <c r="C3082" i="1" a="1"/>
  <c r="C3170" i="1" a="1"/>
  <c r="C3266" i="1" a="1"/>
  <c r="C3350" i="1" a="1"/>
  <c r="C1212" i="1" a="1"/>
  <c r="C1875" i="1" a="1"/>
  <c r="C2113" i="1" a="1"/>
  <c r="C2288" i="1" a="1"/>
  <c r="C2410" i="1" a="1"/>
  <c r="C2925" i="1" a="1"/>
  <c r="C421" i="1" a="1"/>
  <c r="C2107" i="1" a="1"/>
  <c r="C2387" i="1" a="1"/>
  <c r="C2720" i="1" a="1"/>
  <c r="C2905" i="1" a="1"/>
  <c r="C3119" i="1" a="1"/>
  <c r="C3207" i="1" a="1"/>
  <c r="C3271" i="1" a="1"/>
  <c r="C3335" i="1" a="1"/>
  <c r="C2490" i="1" a="1"/>
  <c r="C3144" i="1" a="1"/>
  <c r="C2026" i="1" a="1"/>
  <c r="C2863" i="1" a="1"/>
  <c r="C2105" i="1" a="1"/>
  <c r="C3001" i="1" a="1"/>
  <c r="C3276" i="1" a="1"/>
  <c r="C2233" i="1" a="1"/>
  <c r="C3017" i="1" a="1"/>
  <c r="C1728" i="1" a="1"/>
  <c r="C2244" i="1" a="1"/>
  <c r="C2593" i="1" a="1"/>
  <c r="C2778" i="1" a="1"/>
  <c r="C3022" i="1" a="1"/>
  <c r="C3163" i="1" a="1"/>
  <c r="C1098" i="1" a="1"/>
  <c r="C3167" i="1" a="1"/>
  <c r="C2098" i="1" a="1"/>
  <c r="C3083" i="1" a="1"/>
  <c r="C2903" i="1" a="1"/>
  <c r="C2429" i="1" a="1"/>
  <c r="C1814" i="1" a="1"/>
  <c r="C2273" i="1" a="1"/>
  <c r="C2525" i="1" a="1"/>
  <c r="C2799" i="1" a="1"/>
  <c r="C2980" i="1" a="1"/>
  <c r="C3111" i="1" a="1"/>
  <c r="C3216" i="1" a="1"/>
  <c r="C3304" i="1" a="1"/>
  <c r="C2465" i="1" a="1"/>
  <c r="C3135" i="1" a="1"/>
  <c r="C2310" i="1" a="1"/>
  <c r="C1143" i="1" a="1"/>
  <c r="C3196" i="1" a="1"/>
  <c r="C2362" i="1" a="1"/>
  <c r="C3116" i="1" a="1"/>
  <c r="C1953" i="1" a="1"/>
  <c r="C2395" i="1" a="1"/>
  <c r="C2763" i="1" a="1"/>
  <c r="C2942" i="1" a="1"/>
  <c r="C3091" i="1" a="1"/>
  <c r="C1498" i="1" a="1"/>
  <c r="C2645" i="1" a="1"/>
  <c r="C3275" i="1" a="1"/>
  <c r="C2729" i="1" a="1"/>
  <c r="C1909" i="1" a="1"/>
  <c r="C3127" i="1" a="1"/>
  <c r="C1146" i="1" a="1"/>
  <c r="C2963" i="1" a="1"/>
  <c r="C2954" i="1" a="1"/>
  <c r="C2805" i="1" a="1"/>
  <c r="C3179" i="1" a="1"/>
  <c r="G100" i="1" a="1"/>
  <c r="G237" i="1" a="1"/>
  <c r="G307" i="1" a="1"/>
  <c r="G507" i="1" a="1"/>
  <c r="G1120" i="1" a="1"/>
  <c r="G685" i="1" a="1"/>
  <c r="G1146" i="1" a="1"/>
  <c r="G1138" i="1" a="1"/>
  <c r="G1125" i="1" a="1"/>
  <c r="G1217" i="1" a="1"/>
  <c r="G1478" i="1" a="1"/>
  <c r="G1638" i="1" a="1"/>
  <c r="G1126" i="1" a="1"/>
  <c r="G1194" i="1" a="1"/>
  <c r="G1487" i="1" a="1"/>
  <c r="G1615" i="1" a="1"/>
  <c r="G1336" i="1" a="1"/>
  <c r="G1213" i="1" a="1"/>
  <c r="G1504" i="1" a="1"/>
  <c r="G1664" i="1" a="1"/>
  <c r="G1830" i="1" a="1"/>
  <c r="G1717" i="1" a="1"/>
  <c r="G1437" i="1" a="1"/>
  <c r="G1214" i="1" a="1"/>
  <c r="G1874" i="1" a="1"/>
  <c r="G1761" i="1" a="1"/>
  <c r="G1979" i="1" a="1"/>
  <c r="G1753" i="1" a="1"/>
  <c r="G1920" i="1" a="1"/>
  <c r="G2048" i="1" a="1"/>
  <c r="G1861" i="1" a="1"/>
  <c r="G2041" i="1" a="1"/>
  <c r="G2034" i="1" a="1"/>
  <c r="G2190" i="1" a="1"/>
  <c r="G2404" i="1" a="1"/>
  <c r="G2569" i="1" a="1"/>
  <c r="G2729" i="1" a="1"/>
  <c r="G2367" i="1" a="1"/>
  <c r="G1870" i="1" a="1"/>
  <c r="G2389" i="1" a="1"/>
  <c r="G2622" i="1" a="1"/>
  <c r="G2774" i="1" a="1"/>
  <c r="G2203" i="1" a="1"/>
  <c r="G3023" i="1" a="1"/>
  <c r="G2161" i="1" a="1"/>
  <c r="G2417" i="1" a="1"/>
  <c r="G2547" i="1" a="1"/>
  <c r="G2743" i="1" a="1"/>
  <c r="G2859" i="1" a="1"/>
  <c r="G3062" i="1" a="1"/>
  <c r="G3120" i="1" a="1"/>
  <c r="G2928" i="1" a="1"/>
  <c r="G3191" i="1" a="1"/>
  <c r="G2628" i="1" a="1"/>
  <c r="G2568" i="1" a="1"/>
  <c r="G3267" i="1" a="1"/>
  <c r="G2360" i="1" a="1"/>
  <c r="G2937" i="1" a="1"/>
  <c r="G3320" i="1" a="1"/>
  <c r="G2624" i="1" a="1"/>
  <c r="G3042" i="1" a="1"/>
  <c r="G2258" i="1" a="1"/>
  <c r="G2828" i="1" a="1"/>
  <c r="G119" i="1" a="1"/>
  <c r="G96" i="1" a="1"/>
  <c r="G17" i="1" a="1"/>
  <c r="G282" i="1" a="1"/>
  <c r="G441" i="1" a="1"/>
  <c r="G160" i="1" a="1"/>
  <c r="G198" i="1" a="1"/>
  <c r="G398" i="1" a="1"/>
  <c r="G138" i="1" a="1"/>
  <c r="G210" i="1" a="1"/>
  <c r="G85" i="1" a="1"/>
  <c r="G520" i="1" a="1"/>
  <c r="G696" i="1" a="1"/>
  <c r="G410" i="1" a="1"/>
  <c r="G286" i="1" a="1"/>
  <c r="G297" i="1" a="1"/>
  <c r="G438" i="1" a="1"/>
  <c r="G516" i="1" a="1"/>
  <c r="G470" i="1" a="1"/>
  <c r="G793" i="1" a="1"/>
  <c r="G1049" i="1" a="1"/>
  <c r="G896" i="1" a="1"/>
  <c r="G1116" i="1" a="1"/>
  <c r="G715" i="1" a="1"/>
  <c r="G974" i="1" a="1"/>
  <c r="G677" i="1" a="1"/>
  <c r="G930" i="1" a="1"/>
  <c r="G596" i="1" a="1"/>
  <c r="G1127" i="1" a="1"/>
  <c r="G1137" i="1" a="1"/>
  <c r="G823" i="1" a="1"/>
  <c r="G1113" i="1" a="1"/>
  <c r="G850" i="1" a="1"/>
  <c r="G1107" i="1" a="1"/>
  <c r="G1200" i="1" a="1"/>
  <c r="G1244" i="1" a="1"/>
  <c r="G790" i="1" a="1"/>
  <c r="G1102" i="1" a="1"/>
  <c r="G1280" i="1" a="1"/>
  <c r="G1338" i="1" a="1"/>
  <c r="G1417" i="1" a="1"/>
  <c r="G1021" i="1" a="1"/>
  <c r="G1209" i="1" a="1"/>
  <c r="G1323" i="1" a="1"/>
  <c r="G1395" i="1" a="1"/>
  <c r="G1442" i="1" a="1"/>
  <c r="G1474" i="1" a="1"/>
  <c r="G1506" i="1" a="1"/>
  <c r="G1538" i="1" a="1"/>
  <c r="G1570" i="1" a="1"/>
  <c r="G1602" i="1" a="1"/>
  <c r="G1634" i="1" a="1"/>
  <c r="G1666" i="1" a="1"/>
  <c r="G894" i="1" a="1"/>
  <c r="G1115" i="1" a="1"/>
  <c r="G1281" i="1" a="1"/>
  <c r="G1324" i="1" a="1"/>
  <c r="G1377" i="1" a="1"/>
  <c r="G818" i="1" a="1"/>
  <c r="G1074" i="1" a="1"/>
  <c r="G1186" i="1" a="1"/>
  <c r="G1258" i="1" a="1"/>
  <c r="G1355" i="1" a="1"/>
  <c r="G1419" i="1" a="1"/>
  <c r="G1451" i="1" a="1"/>
  <c r="G1483" i="1" a="1"/>
  <c r="G1515" i="1" a="1"/>
  <c r="G1547" i="1" a="1"/>
  <c r="G1579" i="1" a="1"/>
  <c r="G1611" i="1" a="1"/>
  <c r="G1643" i="1" a="1"/>
  <c r="G879" i="1" a="1"/>
  <c r="G1148" i="1" a="1"/>
  <c r="G1288" i="1" a="1"/>
  <c r="G1330" i="1" a="1"/>
  <c r="G1383" i="1" a="1"/>
  <c r="G880" i="1" a="1"/>
  <c r="G1130" i="1" a="1"/>
  <c r="G1205" i="1" a="1"/>
  <c r="G1299" i="1" a="1"/>
  <c r="G1388" i="1" a="1"/>
  <c r="G1436" i="1" a="1"/>
  <c r="G1468" i="1" a="1"/>
  <c r="G1500" i="1" a="1"/>
  <c r="G1532" i="1" a="1"/>
  <c r="G1564" i="1" a="1"/>
  <c r="G1596" i="1" a="1"/>
  <c r="G1628" i="1" a="1"/>
  <c r="G1660" i="1" a="1"/>
  <c r="G1321" i="1" a="1"/>
  <c r="G1693" i="1" a="1"/>
  <c r="G1757" i="1" a="1"/>
  <c r="G1821" i="1" a="1"/>
  <c r="G550" i="1" a="1"/>
  <c r="G1255" i="1" a="1"/>
  <c r="G804" i="1" a="1"/>
  <c r="G1384" i="1" a="1"/>
  <c r="G1708" i="1" a="1"/>
  <c r="G1772" i="1" a="1"/>
  <c r="G1836" i="1" a="1"/>
  <c r="G1010" i="1" a="1"/>
  <c r="G1421" i="1" a="1"/>
  <c r="G1497" i="1" a="1"/>
  <c r="G1561" i="1" a="1"/>
  <c r="G1625" i="1" a="1"/>
  <c r="G1699" i="1" a="1"/>
  <c r="G1763" i="1" a="1"/>
  <c r="G1182" i="1" a="1"/>
  <c r="G1673" i="1" a="1"/>
  <c r="G1737" i="1" a="1"/>
  <c r="G1801" i="1" a="1"/>
  <c r="G1865" i="1" a="1"/>
  <c r="G1573" i="1" a="1"/>
  <c r="G1742" i="1" a="1"/>
  <c r="G1849" i="1" a="1"/>
  <c r="G1357" i="1" a="1"/>
  <c r="G1752" i="1" a="1"/>
  <c r="G1857" i="1" a="1"/>
  <c r="G1911" i="1" a="1"/>
  <c r="G1943" i="1" a="1"/>
  <c r="G1975" i="1" a="1"/>
  <c r="G2007" i="1" a="1"/>
  <c r="G2039" i="1" a="1"/>
  <c r="G2071" i="1" a="1"/>
  <c r="G2103" i="1" a="1"/>
  <c r="G2135" i="1" a="1"/>
  <c r="G1493" i="1" a="1"/>
  <c r="G1744" i="1" a="1"/>
  <c r="G1873" i="1" a="1"/>
  <c r="G1517" i="1" a="1"/>
  <c r="G1773" i="1" a="1"/>
  <c r="G1866" i="1" a="1"/>
  <c r="G1916" i="1" a="1"/>
  <c r="G1948" i="1" a="1"/>
  <c r="G1980" i="1" a="1"/>
  <c r="G2012" i="1" a="1"/>
  <c r="G2044" i="1" a="1"/>
  <c r="G2076" i="1" a="1"/>
  <c r="G2108" i="1" a="1"/>
  <c r="G1337" i="1" a="1"/>
  <c r="G1729" i="1" a="1"/>
  <c r="G1846" i="1" a="1"/>
  <c r="G1909" i="1" a="1"/>
  <c r="G1941" i="1" a="1"/>
  <c r="G1973" i="1" a="1"/>
  <c r="G2005" i="1" a="1"/>
  <c r="G2037" i="1" a="1"/>
  <c r="G2069" i="1" a="1"/>
  <c r="G2101" i="1" a="1"/>
  <c r="G1393" i="1" a="1"/>
  <c r="G1730" i="1" a="1"/>
  <c r="G1477" i="1" a="1"/>
  <c r="G2002" i="1" a="1"/>
  <c r="G2179" i="1" a="1"/>
  <c r="G2307" i="1" a="1"/>
  <c r="G1352" i="1" a="1"/>
  <c r="G1884" i="1" a="1"/>
  <c r="G2142" i="1" a="1"/>
  <c r="G2185" i="1" a="1"/>
  <c r="G2228" i="1" a="1"/>
  <c r="G2270" i="1" a="1"/>
  <c r="G2313" i="1" a="1"/>
  <c r="G2356" i="1" a="1"/>
  <c r="G2398" i="1" a="1"/>
  <c r="G2437" i="1" a="1"/>
  <c r="G2469" i="1" a="1"/>
  <c r="G2501" i="1" a="1"/>
  <c r="G2533" i="1" a="1"/>
  <c r="G2565" i="1" a="1"/>
  <c r="G2597" i="1" a="1"/>
  <c r="G2629" i="1" a="1"/>
  <c r="G2661" i="1" a="1"/>
  <c r="G2693" i="1" a="1"/>
  <c r="G2725" i="1" a="1"/>
  <c r="G2757" i="1" a="1"/>
  <c r="G2789" i="1" a="1"/>
  <c r="G1869" i="1" a="1"/>
  <c r="G2122" i="1" a="1"/>
  <c r="G2223" i="1" a="1"/>
  <c r="G2351" i="1" a="1"/>
  <c r="G2754" i="1" a="1"/>
  <c r="G2818" i="1" a="1"/>
  <c r="G2878" i="1" a="1"/>
  <c r="G2938" i="1" a="1"/>
  <c r="G2998" i="1" a="1"/>
  <c r="G1811" i="1" a="1"/>
  <c r="G2070" i="1" a="1"/>
  <c r="G2170" i="1" a="1"/>
  <c r="G2213" i="1" a="1"/>
  <c r="G2256" i="1" a="1"/>
  <c r="G2298" i="1" a="1"/>
  <c r="G2341" i="1" a="1"/>
  <c r="G2384" i="1" a="1"/>
  <c r="G2426" i="1" a="1"/>
  <c r="G2458" i="1" a="1"/>
  <c r="G2490" i="1" a="1"/>
  <c r="G2522" i="1" a="1"/>
  <c r="G2554" i="1" a="1"/>
  <c r="G2586" i="1" a="1"/>
  <c r="G2618" i="1" a="1"/>
  <c r="G2650" i="1" a="1"/>
  <c r="G2686" i="1" a="1"/>
  <c r="G2718" i="1" a="1"/>
  <c r="G2766" i="1" a="1"/>
  <c r="G2834" i="1" a="1"/>
  <c r="G2898" i="1" a="1"/>
  <c r="G2966" i="1" a="1"/>
  <c r="G1190" i="1" a="1"/>
  <c r="G2018" i="1" a="1"/>
  <c r="G2187" i="1" a="1"/>
  <c r="G2315" i="1" a="1"/>
  <c r="G2811" i="1" a="1"/>
  <c r="G2887" i="1" a="1"/>
  <c r="G2951" i="1" a="1"/>
  <c r="G3015" i="1" a="1"/>
  <c r="G1750" i="1" a="1"/>
  <c r="G1998" i="1" a="1"/>
  <c r="G2156" i="1" a="1"/>
  <c r="G2198" i="1" a="1"/>
  <c r="G2241" i="1" a="1"/>
  <c r="G2284" i="1" a="1"/>
  <c r="G2326" i="1" a="1"/>
  <c r="G2369" i="1" a="1"/>
  <c r="G2412" i="1" a="1"/>
  <c r="G2447" i="1" a="1"/>
  <c r="G2479" i="1" a="1"/>
  <c r="G2511" i="1" a="1"/>
  <c r="G2543" i="1" a="1"/>
  <c r="G2575" i="1" a="1"/>
  <c r="G2607" i="1" a="1"/>
  <c r="G2639" i="1" a="1"/>
  <c r="G2671" i="1" a="1"/>
  <c r="G2703" i="1" a="1"/>
  <c r="G2739" i="1" a="1"/>
  <c r="G2771" i="1" a="1"/>
  <c r="G2803" i="1" a="1"/>
  <c r="G2851" i="1" a="1"/>
  <c r="G2915" i="1" a="1"/>
  <c r="G2979" i="1" a="1"/>
  <c r="G3039" i="1" a="1"/>
  <c r="G2311" i="1" a="1"/>
  <c r="G2608" i="1" a="1"/>
  <c r="G3050" i="1" a="1"/>
  <c r="G3174" i="1" a="1"/>
  <c r="G3302" i="1" a="1"/>
  <c r="G3290" i="1" a="1"/>
  <c r="G2797" i="1" a="1"/>
  <c r="G3093" i="1" a="1"/>
  <c r="G3317" i="1" a="1"/>
  <c r="G2141" i="1" a="1"/>
  <c r="G2312" i="1" a="1"/>
  <c r="G2524" i="1" a="1"/>
  <c r="G2780" i="1" a="1"/>
  <c r="G2856" i="1" a="1"/>
  <c r="G2920" i="1" a="1"/>
  <c r="G2984" i="1" a="1"/>
  <c r="G3057" i="1" a="1"/>
  <c r="G3100" i="1" a="1"/>
  <c r="G3143" i="1" a="1"/>
  <c r="G3185" i="1" a="1"/>
  <c r="G3228" i="1" a="1"/>
  <c r="G3271" i="1" a="1"/>
  <c r="G3313" i="1" a="1"/>
  <c r="G3356" i="1" a="1"/>
  <c r="G2648" i="1" a="1"/>
  <c r="G2349" i="1" a="1"/>
  <c r="G2989" i="1" a="1"/>
  <c r="G3248" i="1" a="1"/>
  <c r="G2074" i="1" a="1"/>
  <c r="G2536" i="1" a="1"/>
  <c r="G2792" i="1" a="1"/>
  <c r="G3138" i="1" a="1"/>
  <c r="G3266" i="1" a="1"/>
  <c r="G3181" i="1" a="1"/>
  <c r="G3256" i="1" a="1"/>
  <c r="G3336" i="1" a="1"/>
  <c r="G3306" i="1" a="1"/>
  <c r="G3184" i="1" a="1"/>
  <c r="G2168" i="1" a="1"/>
  <c r="G2338" i="1" a="1"/>
  <c r="G2548" i="1" a="1"/>
  <c r="G2801" i="1" a="1"/>
  <c r="G2865" i="1" a="1"/>
  <c r="G2929" i="1" a="1"/>
  <c r="G2993" i="1" a="1"/>
  <c r="G3059" i="1" a="1"/>
  <c r="G3101" i="1" a="1"/>
  <c r="G3144" i="1" a="1"/>
  <c r="G3208" i="1" a="1"/>
  <c r="G3309" i="1" a="1"/>
  <c r="G3214" i="1" a="1"/>
  <c r="G3083" i="1" a="1"/>
  <c r="G1756" i="1" a="1"/>
  <c r="G2343" i="1" a="1"/>
  <c r="G2592" i="1" a="1"/>
  <c r="G3086" i="1" a="1"/>
  <c r="G2616" i="1" a="1"/>
  <c r="G2178" i="1" a="1"/>
  <c r="G2885" i="1" a="1"/>
  <c r="G3173" i="1" a="1"/>
  <c r="G1549" i="1" a="1"/>
  <c r="G2237" i="1" a="1"/>
  <c r="G2408" i="1" a="1"/>
  <c r="G2636" i="1" a="1"/>
  <c r="G2820" i="1" a="1"/>
  <c r="G2884" i="1" a="1"/>
  <c r="G2948" i="1" a="1"/>
  <c r="G3012" i="1" a="1"/>
  <c r="G3071" i="1" a="1"/>
  <c r="G3113" i="1" a="1"/>
  <c r="G3156" i="1" a="1"/>
  <c r="G3199" i="1" a="1"/>
  <c r="G3241" i="1" a="1"/>
  <c r="G3284" i="1" a="1"/>
  <c r="G3327" i="1" a="1"/>
  <c r="G2010" i="1" a="1"/>
  <c r="G2584" i="1" a="1"/>
  <c r="G1882" i="1" a="1"/>
  <c r="G2861" i="1" a="1"/>
  <c r="G3168" i="1" a="1"/>
  <c r="C3238" i="1" a="1"/>
  <c r="C36" i="1" a="1"/>
  <c r="C68" i="1" a="1"/>
  <c r="C100" i="1" a="1"/>
  <c r="C152" i="1" a="1"/>
  <c r="C216" i="1" a="1"/>
  <c r="C280" i="1" a="1"/>
  <c r="C5" i="1" a="1"/>
  <c r="C47" i="1" a="1"/>
  <c r="C90" i="1" a="1"/>
  <c r="C143" i="1" a="1"/>
  <c r="C207" i="1" a="1"/>
  <c r="C271" i="1" a="1"/>
  <c r="C335" i="1" a="1"/>
  <c r="C372" i="1" a="1"/>
  <c r="C404" i="1" a="1"/>
  <c r="C436" i="1" a="1"/>
  <c r="C468" i="1" a="1"/>
  <c r="C500" i="1" a="1"/>
  <c r="C122" i="1" a="1"/>
  <c r="C186" i="1" a="1"/>
  <c r="C250" i="1" a="1"/>
  <c r="C314" i="1" a="1"/>
  <c r="C71" i="1" a="1"/>
  <c r="C172" i="1" a="1"/>
  <c r="C267" i="1" a="1"/>
  <c r="C366" i="1" a="1"/>
  <c r="C461" i="1" a="1"/>
  <c r="C533" i="1" a="1"/>
  <c r="C565" i="1" a="1"/>
  <c r="C597" i="1" a="1"/>
  <c r="C629" i="1" a="1"/>
  <c r="C102" i="1" a="1"/>
  <c r="C204" i="1" a="1"/>
  <c r="C313" i="1" a="1"/>
  <c r="C407" i="1" a="1"/>
  <c r="C517" i="1" a="1"/>
  <c r="C591" i="1" a="1"/>
  <c r="C648" i="1" a="1"/>
  <c r="C680" i="1" a="1"/>
  <c r="C712" i="1" a="1"/>
  <c r="C744" i="1" a="1"/>
  <c r="C776" i="1" a="1"/>
  <c r="C808" i="1" a="1"/>
  <c r="C840" i="1" a="1"/>
  <c r="C103" i="1" a="1"/>
  <c r="C238" i="1" a="1"/>
  <c r="C338" i="1" a="1"/>
  <c r="C434" i="1" a="1"/>
  <c r="C546" i="1" a="1"/>
  <c r="C628" i="1" a="1"/>
  <c r="C124" i="1" a="1"/>
  <c r="C217" i="1" a="1"/>
  <c r="C349" i="1" a="1"/>
  <c r="C451" i="1" a="1"/>
  <c r="C543" i="1" a="1"/>
  <c r="C132" i="1" a="1"/>
  <c r="C278" i="1" a="1"/>
  <c r="C455" i="1" a="1"/>
  <c r="C579" i="1" a="1"/>
  <c r="C214" i="1" a="1"/>
  <c r="C370" i="1" a="1"/>
  <c r="C538" i="1" a="1"/>
  <c r="C634" i="1" a="1"/>
  <c r="C109" i="1" a="1"/>
  <c r="C371" i="1" a="1"/>
  <c r="C531" i="1" a="1"/>
  <c r="C66" i="1" a="1"/>
  <c r="C327" i="1" a="1"/>
  <c r="C518" i="1" a="1"/>
  <c r="C659" i="1" a="1"/>
  <c r="C745" i="1" a="1"/>
  <c r="C823" i="1" a="1"/>
  <c r="C877" i="1" a="1"/>
  <c r="C941" i="1" a="1"/>
  <c r="C94" i="1" a="1"/>
  <c r="C385" i="1" a="1"/>
  <c r="C654" i="1" a="1"/>
  <c r="C739" i="1" a="1"/>
  <c r="C850" i="1" a="1"/>
  <c r="C914" i="1" a="1"/>
  <c r="C978" i="1" a="1"/>
  <c r="C1020" i="1" a="1"/>
  <c r="C1052" i="1" a="1"/>
  <c r="C1084" i="1" a="1"/>
  <c r="C1116" i="1" a="1"/>
  <c r="C224" i="1" a="1"/>
  <c r="C494" i="1" a="1"/>
  <c r="C655" i="1" a="1"/>
  <c r="C741" i="1" a="1"/>
  <c r="C825" i="1" a="1"/>
  <c r="C878" i="1" a="1"/>
  <c r="C942" i="1" a="1"/>
  <c r="C81" i="1" a="1"/>
  <c r="C393" i="1" a="1"/>
  <c r="C620" i="1" a="1"/>
  <c r="C725" i="1" a="1"/>
  <c r="C810" i="1" a="1"/>
  <c r="C907" i="1" a="1"/>
  <c r="C971" i="1" a="1"/>
  <c r="C427" i="1" a="1"/>
  <c r="C458" i="1" a="1"/>
  <c r="C723" i="1" a="1"/>
  <c r="C861" i="1" a="1"/>
  <c r="C986" i="1" a="1"/>
  <c r="C1065" i="1" a="1"/>
  <c r="C1160" i="1" a="1"/>
  <c r="C1263" i="1" a="1"/>
  <c r="C1295" i="1" a="1"/>
  <c r="C1327" i="1" a="1"/>
  <c r="C1359" i="1" a="1"/>
  <c r="C1391" i="1" a="1"/>
  <c r="C1423" i="1" a="1"/>
  <c r="C1455" i="1" a="1"/>
  <c r="C1487" i="1" a="1"/>
  <c r="C1519" i="1" a="1"/>
  <c r="C1551" i="1" a="1"/>
  <c r="C1583" i="1" a="1"/>
  <c r="C1615" i="1" a="1"/>
  <c r="C1647" i="1" a="1"/>
  <c r="C1679" i="1" a="1"/>
  <c r="C1711" i="1" a="1"/>
  <c r="C1743" i="1" a="1"/>
  <c r="C1775" i="1" a="1"/>
  <c r="C583" i="1" a="1"/>
  <c r="C774" i="1" a="1"/>
  <c r="C871" i="1" a="1"/>
  <c r="C1007" i="1" a="1"/>
  <c r="C1085" i="1" a="1"/>
  <c r="C1150" i="1" a="1"/>
  <c r="C1193" i="1" a="1"/>
  <c r="C1235" i="1" a="1"/>
  <c r="C355" i="1" a="1"/>
  <c r="C643" i="1" a="1"/>
  <c r="C815" i="1" a="1"/>
  <c r="C920" i="1" a="1"/>
  <c r="C1035" i="1" a="1"/>
  <c r="C1113" i="1" a="1"/>
  <c r="C1248" i="1" a="1"/>
  <c r="C1281" i="1" a="1"/>
  <c r="C1313" i="1" a="1"/>
  <c r="C1345" i="1" a="1"/>
  <c r="C1377" i="1" a="1"/>
  <c r="C1409" i="1" a="1"/>
  <c r="C1441" i="1" a="1"/>
  <c r="C1473" i="1" a="1"/>
  <c r="C1505" i="1" a="1"/>
  <c r="C1537" i="1" a="1"/>
  <c r="C1569" i="1" a="1"/>
  <c r="C1601" i="1" a="1"/>
  <c r="C1633" i="1" a="1"/>
  <c r="C1665" i="1" a="1"/>
  <c r="C1697" i="1" a="1"/>
  <c r="C1729" i="1" a="1"/>
  <c r="C1761" i="1" a="1"/>
  <c r="C1793" i="1" a="1"/>
  <c r="C707" i="1" a="1"/>
  <c r="C1029" i="1" a="1"/>
  <c r="C1147" i="1" a="1"/>
  <c r="C1233" i="1" a="1"/>
  <c r="C1378" i="1" a="1"/>
  <c r="C1506" i="1" a="1"/>
  <c r="C1634" i="1" a="1"/>
  <c r="C1762" i="1" a="1"/>
  <c r="C1842" i="1" a="1"/>
  <c r="C1906" i="1" a="1"/>
  <c r="C1970" i="1" a="1"/>
  <c r="C2034" i="1" a="1"/>
  <c r="C653" i="1" a="1"/>
  <c r="C858" i="1" a="1"/>
  <c r="C1030" i="1" a="1"/>
  <c r="C1140" i="1" a="1"/>
  <c r="C1242" i="1" a="1"/>
  <c r="C1360" i="1" a="1"/>
  <c r="C1488" i="1" a="1"/>
  <c r="C1616" i="1" a="1"/>
  <c r="C1744" i="1" a="1"/>
  <c r="C1829" i="1" a="1"/>
  <c r="C1893" i="1" a="1"/>
  <c r="C1957" i="1" a="1"/>
  <c r="C2021" i="1" a="1"/>
  <c r="C521" i="1" a="1"/>
  <c r="C865" i="1" a="1"/>
  <c r="C1013" i="1" a="1"/>
  <c r="C1159" i="1" a="1"/>
  <c r="C1245" i="1" a="1"/>
  <c r="C1362" i="1" a="1"/>
  <c r="C1490" i="1" a="1"/>
  <c r="C1618" i="1" a="1"/>
  <c r="C1746" i="1" a="1"/>
  <c r="C1826" i="1" a="1"/>
  <c r="C1890" i="1" a="1"/>
  <c r="C1954" i="1" a="1"/>
  <c r="C2018" i="1" a="1"/>
  <c r="C343" i="1" a="1"/>
  <c r="C1075" i="1" a="1"/>
  <c r="C1234" i="1" a="1"/>
  <c r="C1402" i="1" a="1"/>
  <c r="C1576" i="1" a="1"/>
  <c r="C1834" i="1" a="1"/>
  <c r="C1914" i="1" a="1"/>
  <c r="C2031" i="1" a="1"/>
  <c r="C2110" i="1" a="1"/>
  <c r="C2174" i="1" a="1"/>
  <c r="C2238" i="1" a="1"/>
  <c r="C2302" i="1" a="1"/>
  <c r="C883" i="1" a="1"/>
  <c r="C1045" i="1" a="1"/>
  <c r="C1195" i="1" a="1"/>
  <c r="C1352" i="1" a="1"/>
  <c r="C1588" i="1" a="1"/>
  <c r="C1782" i="1" a="1"/>
  <c r="C1871" i="1" a="1"/>
  <c r="C1981" i="1" a="1"/>
  <c r="C2068" i="1" a="1"/>
  <c r="C2129" i="1" a="1"/>
  <c r="C2193" i="1" a="1"/>
  <c r="C2257" i="1" a="1"/>
  <c r="C2316" i="1" a="1"/>
  <c r="C2348" i="1" a="1"/>
  <c r="C2380" i="1" a="1"/>
  <c r="C2412" i="1" a="1"/>
  <c r="C2444" i="1" a="1"/>
  <c r="C2476" i="1" a="1"/>
  <c r="C2508" i="1" a="1"/>
  <c r="C2540" i="1" a="1"/>
  <c r="C2572" i="1" a="1"/>
  <c r="C2604" i="1" a="1"/>
  <c r="C2636" i="1" a="1"/>
  <c r="C2668" i="1" a="1"/>
  <c r="C867" i="1" a="1"/>
  <c r="C1186" i="1" a="1"/>
  <c r="C1316" i="1" a="1"/>
  <c r="C1530" i="1" a="1"/>
  <c r="C1704" i="1" a="1"/>
  <c r="C1896" i="1" a="1"/>
  <c r="C1991" i="1" a="1"/>
  <c r="C2085" i="1" a="1"/>
  <c r="C2149" i="1" a="1"/>
  <c r="C2213" i="1" a="1"/>
  <c r="C2277" i="1" a="1"/>
  <c r="C658" i="1" a="1"/>
  <c r="C1022" i="1" a="1"/>
  <c r="C1256" i="1" a="1"/>
  <c r="C1518" i="1" a="1"/>
  <c r="C1912" i="1" a="1"/>
  <c r="C2081" i="1" a="1"/>
  <c r="C2198" i="1" a="1"/>
  <c r="C2278" i="1" a="1"/>
  <c r="C2385" i="1" a="1"/>
  <c r="C2462" i="1" a="1"/>
  <c r="C2551" i="1" a="1"/>
  <c r="C2641" i="1" a="1"/>
  <c r="C2711" i="1" a="1"/>
  <c r="C2775" i="1" a="1"/>
  <c r="C2839" i="1" a="1"/>
  <c r="C665" i="1" a="1"/>
  <c r="C1374" i="1" a="1"/>
  <c r="C1652" i="1" a="1"/>
  <c r="C1843" i="1" a="1"/>
  <c r="C1971" i="1" a="1"/>
  <c r="C2104" i="1" a="1"/>
  <c r="C2221" i="1" a="1"/>
  <c r="C2315" i="1" a="1"/>
  <c r="C2405" i="1" a="1"/>
  <c r="C2482" i="1" a="1"/>
  <c r="C2571" i="1" a="1"/>
  <c r="C2661" i="1" a="1"/>
  <c r="C2717" i="1" a="1"/>
  <c r="C2781" i="1" a="1"/>
  <c r="C2845" i="1" a="1"/>
  <c r="C2909" i="1" a="1"/>
  <c r="C940" i="1" a="1"/>
  <c r="C1244" i="1" a="1"/>
  <c r="C1606" i="1" a="1"/>
  <c r="C1738" i="1" a="1"/>
  <c r="C1950" i="1" a="1"/>
  <c r="C735" i="1" a="1"/>
  <c r="C1142" i="1" a="1"/>
  <c r="C1512" i="1" a="1"/>
  <c r="C1774" i="1" a="1"/>
  <c r="C2036" i="1" a="1"/>
  <c r="C1508" i="1" a="1"/>
  <c r="C1985" i="1" a="1"/>
  <c r="C2196" i="1" a="1"/>
  <c r="C2382" i="1" a="1"/>
  <c r="C2502" i="1" a="1"/>
  <c r="C2569" i="1" a="1"/>
  <c r="C2694" i="1" a="1"/>
  <c r="C2779" i="1" a="1"/>
  <c r="C2858" i="1" a="1"/>
  <c r="C2928" i="1" a="1"/>
  <c r="C2992" i="1" a="1"/>
  <c r="C3056" i="1" a="1"/>
  <c r="C3329" i="1" a="1"/>
  <c r="C2804" i="1" a="1"/>
  <c r="C3031" i="1" a="1"/>
  <c r="C3154" i="1" a="1"/>
  <c r="C3246" i="1" a="1"/>
  <c r="C3366" i="1" a="1"/>
  <c r="C1926" i="1" a="1"/>
  <c r="C2326" i="1" a="1"/>
  <c r="C2574" i="1" a="1"/>
  <c r="C2798" i="1" a="1"/>
  <c r="C3037" i="1" a="1"/>
  <c r="C1412" i="1" a="1"/>
  <c r="C1869" i="1" a="1"/>
  <c r="C2109" i="1" a="1"/>
  <c r="C2246" i="1" a="1"/>
  <c r="C2331" i="1" a="1"/>
  <c r="C2451" i="1" a="1"/>
  <c r="C2570" i="1" a="1"/>
  <c r="C2688" i="1" a="1"/>
  <c r="C2780" i="1" a="1"/>
  <c r="C2865" i="1" a="1"/>
  <c r="C2955" i="1" a="1"/>
  <c r="C3019" i="1" a="1"/>
  <c r="C3081" i="1" a="1"/>
  <c r="C3113" i="1" a="1"/>
  <c r="C3145" i="1" a="1"/>
  <c r="C3177" i="1" a="1"/>
  <c r="C3209" i="1" a="1"/>
  <c r="C3241" i="1" a="1"/>
  <c r="C3273" i="1" a="1"/>
  <c r="C3325" i="1" a="1"/>
  <c r="C2825" i="1" a="1"/>
  <c r="C2999" i="1" a="1"/>
  <c r="C3122" i="1" a="1"/>
  <c r="C3250" i="1" a="1"/>
  <c r="C3334" i="1" a="1"/>
  <c r="C1390" i="1" a="1"/>
  <c r="C2240" i="1" a="1"/>
  <c r="C2489" i="1" a="1"/>
  <c r="C2698" i="1" a="1"/>
  <c r="C2957" i="1" a="1"/>
  <c r="C1015" i="1" a="1"/>
  <c r="C1384" i="1" a="1"/>
  <c r="C1942" i="1" a="1"/>
  <c r="C2112" i="1" a="1"/>
  <c r="C2200" i="1" a="1"/>
  <c r="C2358" i="1" a="1"/>
  <c r="C2478" i="1" a="1"/>
  <c r="C2598" i="1" a="1"/>
  <c r="C2665" i="1" a="1"/>
  <c r="C2767" i="1" a="1"/>
  <c r="C2846" i="1" a="1"/>
  <c r="C2924" i="1" a="1"/>
  <c r="C2988" i="1" a="1"/>
  <c r="C3052" i="1" a="1"/>
  <c r="C2530" i="1" a="1"/>
  <c r="C2650" i="1" a="1"/>
  <c r="C2732" i="1" a="1"/>
  <c r="C2914" i="1" a="1"/>
  <c r="C3094" i="1" a="1"/>
  <c r="C3182" i="1" a="1"/>
  <c r="C3278" i="1" a="1"/>
  <c r="C3358" i="1" a="1"/>
  <c r="C1354" i="1" a="1"/>
  <c r="C1898" i="1" a="1"/>
  <c r="C2122" i="1" a="1"/>
  <c r="C2297" i="1" a="1"/>
  <c r="C2419" i="1" a="1"/>
  <c r="C2952" i="1" a="1"/>
  <c r="C848" i="1" a="1"/>
  <c r="C2136" i="1" a="1"/>
  <c r="C2431" i="1" a="1"/>
  <c r="C2736" i="1" a="1"/>
  <c r="C2921" i="1" a="1"/>
  <c r="C3128" i="1" a="1"/>
  <c r="C3215" i="1" a="1"/>
  <c r="C3279" i="1" a="1"/>
  <c r="C3343" i="1" a="1"/>
  <c r="C2626" i="1" a="1"/>
  <c r="C3203" i="1" a="1"/>
  <c r="C2153" i="1" a="1"/>
  <c r="C2931" i="1" a="1"/>
  <c r="C2491" i="1" a="1"/>
  <c r="C3059" i="1" a="1"/>
  <c r="C3308" i="1" a="1"/>
  <c r="C2381" i="1" a="1"/>
  <c r="C3084" i="1" a="1"/>
  <c r="C1811" i="1" a="1"/>
  <c r="C2292" i="1" a="1"/>
  <c r="C2618" i="1" a="1"/>
  <c r="C2835" i="1" a="1"/>
  <c r="C3034" i="1" a="1"/>
  <c r="C3183" i="1" a="1"/>
  <c r="C2303" i="1" a="1"/>
  <c r="C3211" i="1" a="1"/>
  <c r="C2203" i="1" a="1"/>
  <c r="C3176" i="1" a="1"/>
  <c r="C3071" i="1" a="1"/>
  <c r="C2634" i="1" a="1"/>
  <c r="C1882" i="1" a="1"/>
  <c r="C2299" i="1" a="1"/>
  <c r="C2550" i="1" a="1"/>
  <c r="C2820" i="1" a="1"/>
  <c r="C2995" i="1" a="1"/>
  <c r="C3120" i="1" a="1"/>
  <c r="C3224" i="1" a="1"/>
  <c r="C3320" i="1" a="1"/>
  <c r="C2601" i="1" a="1"/>
  <c r="C3187" i="1" a="1"/>
  <c r="C2378" i="1" a="1"/>
  <c r="C1839" i="1" a="1"/>
  <c r="C3228" i="1" a="1"/>
  <c r="C2517" i="1" a="1"/>
  <c r="C3148" i="1" a="1"/>
  <c r="C2004" i="1" a="1"/>
  <c r="C2439" i="1" a="1"/>
  <c r="C2784" i="1" a="1"/>
  <c r="C1760" i="1" a="1"/>
  <c r="C2884" i="1" a="1"/>
  <c r="C2185" i="1" a="1"/>
  <c r="G165" i="1" a="1"/>
  <c r="G1574" i="1" a="1"/>
  <c r="G1472" i="1" a="1"/>
  <c r="G1768" i="1" a="1"/>
  <c r="G2139" i="1" a="1"/>
  <c r="G2112" i="1" a="1"/>
  <c r="G2105" i="1" a="1"/>
  <c r="G2148" i="1" a="1"/>
  <c r="G2505" i="1" a="1"/>
  <c r="G2761" i="1" a="1"/>
  <c r="G2886" i="1" a="1"/>
  <c r="G2261" i="1" a="1"/>
  <c r="G2558" i="1" a="1"/>
  <c r="G2842" i="1" a="1"/>
  <c r="G2831" i="1" a="1"/>
  <c r="G2246" i="1" a="1"/>
  <c r="G2579" i="1" a="1"/>
  <c r="G3047" i="1" a="1"/>
  <c r="G3339" i="1" a="1"/>
  <c r="G3105" i="1" a="1"/>
  <c r="G3107" i="1" a="1"/>
  <c r="G345" i="1" a="1"/>
  <c r="G584" i="1" a="1"/>
  <c r="G857" i="1" a="1"/>
  <c r="G758" i="1" a="1"/>
  <c r="G1256" i="1" a="1"/>
  <c r="G1349" i="1" a="1"/>
  <c r="G1642" i="1" a="1"/>
  <c r="G1136" i="1" a="1"/>
  <c r="G1555" i="1" a="1"/>
  <c r="G1401" i="1" a="1"/>
  <c r="G1508" i="1" a="1"/>
  <c r="G1775" i="1" a="1"/>
  <c r="G1854" i="1" a="1"/>
  <c r="G1242" i="1" a="1"/>
  <c r="G1533" i="1" a="1"/>
  <c r="G2079" i="1" a="1"/>
  <c r="G1887" i="1" a="1"/>
  <c r="G1501" i="1" a="1"/>
  <c r="G2077" i="1" a="1"/>
  <c r="G1655" i="1" a="1"/>
  <c r="G2409" i="1" a="1"/>
  <c r="G2669" i="1" a="1"/>
  <c r="G2383" i="1" a="1"/>
  <c r="G2181" i="1" a="1"/>
  <c r="G2498" i="1" a="1"/>
  <c r="G2782" i="1" a="1"/>
  <c r="G2839" i="1" a="1"/>
  <c r="G2252" i="1" a="1"/>
  <c r="G2551" i="1" a="1"/>
  <c r="G2815" i="1" a="1"/>
  <c r="G3206" i="1" a="1"/>
  <c r="G2588" i="1" a="1"/>
  <c r="G3196" i="1" a="1"/>
  <c r="G3307" i="1" a="1"/>
  <c r="G3352" i="1" a="1"/>
  <c r="G2945" i="1" a="1"/>
  <c r="G3157" i="1" a="1"/>
  <c r="G3232" i="1" a="1"/>
  <c r="G2956" i="1" a="1"/>
  <c r="G3167" i="1" a="1"/>
  <c r="G3337" i="1" a="1"/>
  <c r="G2949" i="1" a="1"/>
  <c r="C76" i="1" a="1"/>
  <c r="C298" i="1" a="1"/>
  <c r="C157" i="1" a="1"/>
  <c r="C380" i="1" a="1"/>
  <c r="C508" i="1" a="1"/>
  <c r="C328" i="1" a="1"/>
  <c r="C397" i="1" a="1"/>
  <c r="C605" i="1" a="1"/>
  <c r="C345" i="1" a="1"/>
  <c r="C656" i="1" a="1"/>
  <c r="C784" i="1" a="1"/>
  <c r="C263" i="1" a="1"/>
  <c r="C39" i="1" a="1"/>
  <c r="C462" i="1" a="1"/>
  <c r="C489" i="1" a="1"/>
  <c r="C567" i="1" a="1"/>
  <c r="C580" i="1" a="1"/>
  <c r="C678" i="1" a="1"/>
  <c r="C959" i="1" a="1"/>
  <c r="C758" i="1" a="1"/>
  <c r="C1028" i="1" a="1"/>
  <c r="C290" i="1" a="1"/>
  <c r="C835" i="1" a="1"/>
  <c r="C471" i="1" a="1"/>
  <c r="C921" i="1" a="1"/>
  <c r="C785" i="1" a="1"/>
  <c r="C1192" i="1" a="1"/>
  <c r="C1367" i="1" a="1"/>
  <c r="C1495" i="1" a="1"/>
  <c r="C1623" i="1" a="1"/>
  <c r="C1751" i="1" a="1"/>
  <c r="C917" i="1" a="1"/>
  <c r="C1203" i="1" a="1"/>
  <c r="C837" i="1" a="1"/>
  <c r="C1257" i="1" a="1"/>
  <c r="C1385" i="1" a="1"/>
  <c r="C1513" i="1" a="1"/>
  <c r="C1641" i="1" a="1"/>
  <c r="C1769" i="1" a="1"/>
  <c r="C1164" i="1" a="1"/>
  <c r="C1666" i="1" a="1"/>
  <c r="C1984" i="1" a="1"/>
  <c r="C1050" i="1" a="1"/>
  <c r="C1520" i="1" a="1"/>
  <c r="C1911" i="1" a="1"/>
  <c r="C908" i="1" a="1"/>
  <c r="C1394" i="1" a="1"/>
  <c r="C1840" i="1" a="1"/>
  <c r="C594" i="1" a="1"/>
  <c r="C1658" i="1" a="1"/>
  <c r="C2124" i="1" a="1"/>
  <c r="C929" i="1" a="1"/>
  <c r="C1608" i="1" a="1"/>
  <c r="C2083" i="1" a="1"/>
  <c r="C2324" i="1" a="1"/>
  <c r="C2452" i="1" a="1"/>
  <c r="C2580" i="1" a="1"/>
  <c r="C913" i="1" a="1"/>
  <c r="C1816" i="1" a="1"/>
  <c r="C2167" i="1" a="1"/>
  <c r="C1102" i="1" a="1"/>
  <c r="C2125" i="1" a="1"/>
  <c r="C2487" i="1" a="1"/>
  <c r="C2791" i="1" a="1"/>
  <c r="C1702" i="1" a="1"/>
  <c r="C2235" i="1" a="1"/>
  <c r="C2597" i="1" a="1"/>
  <c r="C2861" i="1" a="1"/>
  <c r="C1640" i="1" a="1"/>
  <c r="C1185" i="1" a="1"/>
  <c r="C1736" i="1" a="1"/>
  <c r="C2518" i="1" a="1"/>
  <c r="C2886" i="1" a="1"/>
  <c r="C3341" i="1" a="1"/>
  <c r="C3270" i="1" a="1"/>
  <c r="C2607" i="1" a="1"/>
  <c r="C1917" i="1" a="1"/>
  <c r="C2467" i="1" a="1"/>
  <c r="C2880" i="1" a="1"/>
  <c r="C3121" i="1" a="1"/>
  <c r="C3249" i="1" a="1"/>
  <c r="C3042" i="1" a="1"/>
  <c r="C1880" i="1" a="1"/>
  <c r="C3000" i="1" a="1"/>
  <c r="C2130" i="1" a="1"/>
  <c r="C2614" i="1" a="1"/>
  <c r="C2940" i="1" a="1"/>
  <c r="C2666" i="1" a="1"/>
  <c r="C3206" i="1" a="1"/>
  <c r="C1992" i="1" a="1"/>
  <c r="C2989" i="1" a="1"/>
  <c r="C2793" i="1" a="1"/>
  <c r="C3295" i="1" a="1"/>
  <c r="C2330" i="1" a="1"/>
  <c r="C3364" i="1" a="1"/>
  <c r="C2363" i="1" a="1"/>
  <c r="C3280" i="1" a="1"/>
  <c r="C2077" i="1" a="1"/>
  <c r="C2370" i="1" a="1"/>
  <c r="C3152" i="1" a="1"/>
  <c r="C2772" i="1" a="1"/>
  <c r="C3027" i="1" a="1"/>
  <c r="C101" i="1" a="1"/>
  <c r="C1161" i="1" a="1"/>
  <c r="C2676" i="1" a="1"/>
  <c r="C3231" i="1" a="1"/>
  <c r="G473" i="1" a="1"/>
  <c r="G728" i="1" a="1"/>
  <c r="G471" i="1" a="1"/>
  <c r="G784" i="1" a="1"/>
  <c r="G841" i="1" a="1"/>
  <c r="G1413" i="1" a="1"/>
  <c r="G662" i="1" a="1"/>
  <c r="G1202" i="1" a="1"/>
  <c r="G1587" i="1" a="1"/>
  <c r="G931" i="1" a="1"/>
  <c r="G1540" i="1" a="1"/>
  <c r="G1839" i="1" a="1"/>
  <c r="G1174" i="1" a="1"/>
  <c r="G1691" i="1" a="1"/>
  <c r="G1770" i="1" a="1"/>
  <c r="G2111" i="1" a="1"/>
  <c r="G1924" i="1" a="1"/>
  <c r="G1747" i="1" a="1"/>
  <c r="G2109" i="1" a="1"/>
  <c r="G1950" i="1" a="1"/>
  <c r="G2445" i="1" a="1"/>
  <c r="G2701" i="1" a="1"/>
  <c r="G2770" i="1" a="1"/>
  <c r="G2224" i="1" a="1"/>
  <c r="G2530" i="1" a="1"/>
  <c r="G2850" i="1" a="1"/>
  <c r="G2903" i="1" a="1"/>
  <c r="G2294" i="1" a="1"/>
  <c r="G2583" i="1" a="1"/>
  <c r="G2867" i="1" a="1"/>
  <c r="G3334" i="1" a="1"/>
  <c r="G2808" i="1" a="1"/>
  <c r="G3239" i="1" a="1"/>
  <c r="G2231" i="1" a="1"/>
  <c r="G2853" i="1" a="1"/>
  <c r="G3009" i="1" a="1"/>
  <c r="G1914" i="1" a="1"/>
  <c r="G1958" i="1" a="1"/>
  <c r="G2964" i="1" a="1"/>
  <c r="G3204" i="1" a="1"/>
  <c r="G2199" i="1" a="1"/>
  <c r="G3205" i="1" a="1"/>
  <c r="C104" i="1" a="1"/>
  <c r="C10" i="1" a="1"/>
  <c r="C212" i="1" a="1"/>
  <c r="C408" i="1" a="1"/>
  <c r="C131" i="1" a="1"/>
  <c r="C97" i="1" a="1"/>
  <c r="C470" i="1" a="1"/>
  <c r="C3" i="1" a="1"/>
  <c r="C433" i="1" a="1"/>
  <c r="C684" i="1" a="1"/>
  <c r="C812" i="1" a="1"/>
  <c r="C346" i="1" a="1"/>
  <c r="C141" i="1" a="1"/>
  <c r="C552" i="1" a="1"/>
  <c r="C603" i="1" a="1"/>
  <c r="C639" i="1" a="1"/>
  <c r="C86" i="1" a="1"/>
  <c r="C751" i="1" a="1"/>
  <c r="C139" i="1" a="1"/>
  <c r="C859" i="1" a="1"/>
  <c r="C1056" i="1" a="1"/>
  <c r="C556" i="1" a="1"/>
  <c r="C887" i="1" a="1"/>
  <c r="C651" i="1" a="1"/>
  <c r="C70" i="1" a="1"/>
  <c r="C870" i="1" a="1"/>
  <c r="C1267" i="1" a="1"/>
  <c r="C1395" i="1" a="1"/>
  <c r="C1523" i="1" a="1"/>
  <c r="C1651" i="1" a="1"/>
  <c r="C33" i="1" a="1"/>
  <c r="C1014" i="1" a="1"/>
  <c r="C1241" i="1" a="1"/>
  <c r="C957" i="1" a="1"/>
  <c r="C1285" i="1" a="1"/>
  <c r="C1413" i="1" a="1"/>
  <c r="C1541" i="1" a="1"/>
  <c r="C1669" i="1" a="1"/>
  <c r="C50" i="1" a="1"/>
  <c r="C1276" i="1" a="1"/>
  <c r="C1786" i="1" a="1"/>
  <c r="C2043" i="1" a="1"/>
  <c r="C1148" i="1" a="1"/>
  <c r="C1622" i="1" a="1"/>
  <c r="C1966" i="1" a="1"/>
  <c r="C1023" i="1" a="1"/>
  <c r="C1516" i="1" a="1"/>
  <c r="C1899" i="1" a="1"/>
  <c r="C1093" i="1" a="1"/>
  <c r="C1841" i="1" a="1"/>
  <c r="C2183" i="1" a="1"/>
  <c r="C1062" i="1" a="1"/>
  <c r="C1790" i="1" a="1"/>
  <c r="C2138" i="1" a="1"/>
  <c r="C2352" i="1" a="1"/>
  <c r="C2480" i="1" a="1"/>
  <c r="C2608" i="1" a="1"/>
  <c r="C1201" i="1" a="1"/>
  <c r="C1903" i="1" a="1"/>
  <c r="C2222" i="1" a="1"/>
  <c r="C1288" i="1" a="1"/>
  <c r="C2205" i="1" a="1"/>
  <c r="C2558" i="1" a="1"/>
  <c r="C2850" i="1" a="1"/>
  <c r="C1854" i="1" a="1"/>
  <c r="C2322" i="1" a="1"/>
  <c r="C2667" i="1" a="1"/>
  <c r="C110" i="1" a="1"/>
  <c r="C1754" i="1" a="1"/>
  <c r="C1544" i="1" a="1"/>
  <c r="C2008" i="1" a="1"/>
  <c r="C2630" i="1" a="1"/>
  <c r="C2933" i="1" a="1"/>
  <c r="C2853" i="1" a="1"/>
  <c r="C799" i="1" a="1"/>
  <c r="C2819" i="1" a="1"/>
  <c r="C2168" i="1" a="1"/>
  <c r="C2579" i="1" a="1"/>
  <c r="C2966" i="1" a="1"/>
  <c r="C3149" i="1" a="1"/>
  <c r="C3277" i="1" a="1"/>
  <c r="C3150" i="1" a="1"/>
  <c r="C2260" i="1" a="1"/>
  <c r="C1069" i="1" a="1"/>
  <c r="C2209" i="1" a="1"/>
  <c r="C2682" i="1" a="1"/>
  <c r="C2993" i="1" a="1"/>
  <c r="C2740" i="1" a="1"/>
  <c r="C3290" i="1" a="1"/>
  <c r="C2131" i="1" a="1"/>
  <c r="C1183" i="1" a="1"/>
  <c r="C2964" i="1" a="1"/>
  <c r="C3351" i="1" a="1"/>
  <c r="C3043" i="1" a="1"/>
  <c r="C2473" i="1" a="1"/>
  <c r="C2637" i="1" a="1"/>
  <c r="C2421" i="1" a="1"/>
  <c r="C3136" i="1" a="1"/>
  <c r="C2594" i="1" a="1"/>
  <c r="C3232" i="1" a="1"/>
  <c r="C2515" i="1" a="1"/>
  <c r="C695" i="1" a="1"/>
  <c r="C2969" i="1" a="1"/>
  <c r="C3339" i="1" a="1"/>
  <c r="C2290" i="1" a="1"/>
  <c r="C3240" i="1" a="1"/>
  <c r="C1095" i="1" a="1"/>
  <c r="C1137" i="1" a="1"/>
  <c r="C2337" i="1" a="1"/>
  <c r="C2943" i="1" a="1"/>
  <c r="G1578" i="1" a="1"/>
  <c r="G1788" i="1" a="1"/>
  <c r="G2605" i="1" a="1"/>
  <c r="G2487" i="1" a="1"/>
  <c r="G3203" i="1" a="1"/>
  <c r="G3295" i="1" a="1"/>
  <c r="C476" i="1" a="1"/>
  <c r="C752" i="1" a="1"/>
  <c r="C390" i="1" a="1"/>
  <c r="C765" i="1" a="1"/>
  <c r="C1463" i="1" a="1"/>
  <c r="C1481" i="1" a="1"/>
  <c r="C1392" i="1" a="1"/>
  <c r="C1444" i="1" a="1"/>
  <c r="C2420" i="1" a="1"/>
  <c r="C2398" i="1" a="1"/>
  <c r="C2797" i="1" a="1"/>
  <c r="C3072" i="1" a="1"/>
  <c r="C3089" i="1" a="1"/>
  <c r="C2495" i="1" a="1"/>
  <c r="C2523" i="1" a="1"/>
  <c r="C2001" i="1" a="1"/>
  <c r="C2677" i="1" a="1"/>
  <c r="G224" i="1" a="1"/>
  <c r="G487" i="1" a="1"/>
  <c r="G960" i="1" a="1"/>
  <c r="G1179" i="1" a="1"/>
  <c r="G1134" i="1" a="1"/>
  <c r="G1450" i="1" a="1"/>
  <c r="G945" i="1" a="1"/>
  <c r="G1271" i="1" a="1"/>
  <c r="G1619" i="1" a="1"/>
  <c r="G1157" i="1" a="1"/>
  <c r="G1572" i="1" a="1"/>
  <c r="G882" i="1" a="1"/>
  <c r="G1449" i="1" a="1"/>
  <c r="G1755" i="1" a="1"/>
  <c r="G1879" i="1" a="1"/>
  <c r="G753" i="1" a="1"/>
  <c r="G1956" i="1" a="1"/>
  <c r="G1875" i="1" a="1"/>
  <c r="G1525" i="1" a="1"/>
  <c r="G2153" i="1" a="1"/>
  <c r="G2477" i="1" a="1"/>
  <c r="G2733" i="1" a="1"/>
  <c r="G2830" i="1" a="1"/>
  <c r="G2266" i="1" a="1"/>
  <c r="G2562" i="1" a="1"/>
  <c r="G2914" i="1" a="1"/>
  <c r="G2967" i="1" a="1"/>
  <c r="G2337" i="1" a="1"/>
  <c r="G2615" i="1" a="1"/>
  <c r="G2931" i="1" a="1"/>
  <c r="G2054" i="1" a="1"/>
  <c r="G2872" i="1" a="1"/>
  <c r="G3281" i="1" a="1"/>
  <c r="G2600" i="1" a="1"/>
  <c r="G3275" i="1" a="1"/>
  <c r="G3069" i="1" a="1"/>
  <c r="G2419" i="1" a="1"/>
  <c r="G2280" i="1" a="1"/>
  <c r="G3028" i="1" a="1"/>
  <c r="G3209" i="1" a="1"/>
  <c r="G2263" i="1" a="1"/>
  <c r="G3237" i="1" a="1"/>
  <c r="C108" i="1" a="1"/>
  <c r="C15" i="1" a="1"/>
  <c r="C221" i="1" a="1"/>
  <c r="C412" i="1" a="1"/>
  <c r="C136" i="1" a="1"/>
  <c r="C105" i="1" a="1"/>
  <c r="C479" i="1" a="1"/>
  <c r="C23" i="1" a="1"/>
  <c r="C449" i="1" a="1"/>
  <c r="C688" i="1" a="1"/>
  <c r="C816" i="1" a="1"/>
  <c r="C354" i="1" a="1"/>
  <c r="C149" i="1" a="1"/>
  <c r="C566" i="1" a="1"/>
  <c r="C627" i="1" a="1"/>
  <c r="C645" i="1" a="1"/>
  <c r="C114" i="1" a="1"/>
  <c r="C763" i="1" a="1"/>
  <c r="C156" i="1" a="1"/>
  <c r="C868" i="1" a="1"/>
  <c r="C1060" i="1" a="1"/>
  <c r="C588" i="1" a="1"/>
  <c r="C896" i="1" a="1"/>
  <c r="C663" i="1" a="1"/>
  <c r="C123" i="1" a="1"/>
  <c r="C879" i="1" a="1"/>
  <c r="C1271" i="1" a="1"/>
  <c r="C1399" i="1" a="1"/>
  <c r="C1527" i="1" a="1"/>
  <c r="C1655" i="1" a="1"/>
  <c r="C82" i="1" a="1"/>
  <c r="C1021" i="1" a="1"/>
  <c r="C1246" i="1" a="1"/>
  <c r="C966" i="1" a="1"/>
  <c r="C1289" i="1" a="1"/>
  <c r="C1417" i="1" a="1"/>
  <c r="C1545" i="1" a="1"/>
  <c r="C1673" i="1" a="1"/>
  <c r="C231" i="1" a="1"/>
  <c r="C1282" i="1" a="1"/>
  <c r="C1791" i="1" a="1"/>
  <c r="C2048" i="1" a="1"/>
  <c r="C1157" i="1" a="1"/>
  <c r="C1648" i="1" a="1"/>
  <c r="C1975" i="1" a="1"/>
  <c r="C1034" i="1" a="1"/>
  <c r="C1522" i="1" a="1"/>
  <c r="C1904" i="1" a="1"/>
  <c r="C1107" i="1" a="1"/>
  <c r="C1855" i="1" a="1"/>
  <c r="C2188" i="1" a="1"/>
  <c r="C1077" i="1" a="1"/>
  <c r="C1798" i="1" a="1"/>
  <c r="C2147" i="1" a="1"/>
  <c r="C2356" i="1" a="1"/>
  <c r="C2484" i="1" a="1"/>
  <c r="C2612" i="1" a="1"/>
  <c r="C1213" i="1" a="1"/>
  <c r="C1910" i="1" a="1"/>
  <c r="C2231" i="1" a="1"/>
  <c r="C1306" i="1" a="1"/>
  <c r="C2219" i="1" a="1"/>
  <c r="C2577" i="1" a="1"/>
  <c r="C2855" i="1" a="1"/>
  <c r="C1866" i="1" a="1"/>
  <c r="C2341" i="1" a="1"/>
  <c r="C2674" i="1" a="1"/>
  <c r="C487" i="1" a="1"/>
  <c r="C1770" i="1" a="1"/>
  <c r="C1562" i="1" a="1"/>
  <c r="C2069" i="1" a="1"/>
  <c r="C2638" i="1" a="1"/>
  <c r="C2944" i="1" a="1"/>
  <c r="C2881" i="1" a="1"/>
  <c r="C897" i="1" a="1"/>
  <c r="C2854" i="1" a="1"/>
  <c r="C2178" i="1" a="1"/>
  <c r="C2587" i="1" a="1"/>
  <c r="C2971" i="1" a="1"/>
  <c r="C3153" i="1" a="1"/>
  <c r="C3281" i="1" a="1"/>
  <c r="C3162" i="1" a="1"/>
  <c r="C2318" i="1" a="1"/>
  <c r="C1119" i="1" a="1"/>
  <c r="C2218" i="1" a="1"/>
  <c r="C2703" i="1" a="1"/>
  <c r="C3004" i="1" a="1"/>
  <c r="C2753" i="1" a="1"/>
  <c r="C3298" i="1" a="1"/>
  <c r="C2160" i="1" a="1"/>
  <c r="C1272" i="1" a="1"/>
  <c r="C3006" i="1" a="1"/>
  <c r="C3359" i="1" a="1"/>
  <c r="C3124" i="1" a="1"/>
  <c r="C2542" i="1" a="1"/>
  <c r="C2662" i="1" a="1"/>
  <c r="C2557" i="1" a="1"/>
  <c r="C3220" i="1" a="1"/>
  <c r="C2643" i="1" a="1"/>
  <c r="C2806" i="1" a="1"/>
  <c r="C2996" i="1" a="1"/>
  <c r="C3075" i="1" a="1"/>
  <c r="G408" i="1" a="1"/>
  <c r="G1160" i="1" a="1"/>
  <c r="G1298" i="1" a="1"/>
  <c r="G1713" i="1" a="1"/>
  <c r="G2013" i="1" a="1"/>
  <c r="G2434" i="1" a="1"/>
  <c r="G2672" i="1" a="1"/>
  <c r="G3331" i="1" a="1"/>
  <c r="C44" i="1" a="1"/>
  <c r="C573" i="1" a="1"/>
  <c r="C319" i="1" a="1"/>
  <c r="C1124" i="1" a="1"/>
  <c r="C1335" i="1" a="1"/>
  <c r="C1152" i="1" a="1"/>
  <c r="C1920" i="1" a="1"/>
  <c r="C2032" i="1" a="1"/>
  <c r="C2275" i="1" a="1"/>
  <c r="C1946" i="1" a="1"/>
  <c r="C1278" i="1" a="1"/>
  <c r="C3178" i="1" a="1"/>
  <c r="C3217" i="1" a="1"/>
  <c r="C2867" i="1" a="1"/>
  <c r="C3259" i="1" a="1"/>
  <c r="C3038" i="1" a="1"/>
  <c r="G262" i="1" a="1"/>
  <c r="G380" i="1" a="1"/>
  <c r="G399" i="1" a="1"/>
  <c r="G926" i="1" a="1"/>
  <c r="G1296" i="1" a="1"/>
  <c r="G1482" i="1" a="1"/>
  <c r="G1135" i="1" a="1"/>
  <c r="G1373" i="1" a="1"/>
  <c r="G622" i="1" a="1"/>
  <c r="G1221" i="1" a="1"/>
  <c r="G1604" i="1" a="1"/>
  <c r="G1343" i="1" a="1"/>
  <c r="G1513" i="1" a="1"/>
  <c r="G1819" i="1" a="1"/>
  <c r="G1919" i="1" a="1"/>
  <c r="G1621" i="1" a="1"/>
  <c r="G1988" i="1" a="1"/>
  <c r="G1917" i="1" a="1"/>
  <c r="G1776" i="1" a="1"/>
  <c r="G2196" i="1" a="1"/>
  <c r="G2509" i="1" a="1"/>
  <c r="G2765" i="1" a="1"/>
  <c r="G2894" i="1" a="1"/>
  <c r="G2309" i="1" a="1"/>
  <c r="G2594" i="1" a="1"/>
  <c r="G2982" i="1" a="1"/>
  <c r="G3031" i="1" a="1"/>
  <c r="G2380" i="1" a="1"/>
  <c r="G2647" i="1" a="1"/>
  <c r="G2995" i="1" a="1"/>
  <c r="G2869" i="1" a="1"/>
  <c r="G2936" i="1" a="1"/>
  <c r="G3324" i="1" a="1"/>
  <c r="G3052" i="1" a="1"/>
  <c r="G2210" i="1" a="1"/>
  <c r="G3112" i="1" a="1"/>
  <c r="G2656" i="1" a="1"/>
  <c r="G2444" i="1" a="1"/>
  <c r="G3076" i="1" a="1"/>
  <c r="G3247" i="1" a="1"/>
  <c r="G2680" i="1" a="1"/>
  <c r="C4" i="1" a="1"/>
  <c r="C161" i="1" a="1"/>
  <c r="C53" i="1" a="1"/>
  <c r="C276" i="1" a="1"/>
  <c r="C440" i="1" a="1"/>
  <c r="C195" i="1" a="1"/>
  <c r="C194" i="1" a="1"/>
  <c r="C537" i="1" a="1"/>
  <c r="C112" i="1" a="1"/>
  <c r="C522" i="1" a="1"/>
  <c r="C716" i="1" a="1"/>
  <c r="C844" i="1" a="1"/>
  <c r="C439" i="1" a="1"/>
  <c r="C233" i="1" a="1"/>
  <c r="C159" i="1" a="1"/>
  <c r="C268" i="1" a="1"/>
  <c r="C176" i="1" a="1"/>
  <c r="C350" i="1" a="1"/>
  <c r="C829" i="1" a="1"/>
  <c r="C411" i="1" a="1"/>
  <c r="C923" i="1" a="1"/>
  <c r="C1088" i="1" a="1"/>
  <c r="C667" i="1" a="1"/>
  <c r="C951" i="1" a="1"/>
  <c r="C737" i="1" a="1"/>
  <c r="C483" i="1" a="1"/>
  <c r="C994" i="1" a="1"/>
  <c r="C1299" i="1" a="1"/>
  <c r="C1427" i="1" a="1"/>
  <c r="C1555" i="1" a="1"/>
  <c r="C1683" i="1" a="1"/>
  <c r="C602" i="1" a="1"/>
  <c r="C1103" i="1" a="1"/>
  <c r="C417" i="1" a="1"/>
  <c r="C1042" i="1" a="1"/>
  <c r="C1317" i="1" a="1"/>
  <c r="C1445" i="1" a="1"/>
  <c r="C1573" i="1" a="1"/>
  <c r="C1701" i="1" a="1"/>
  <c r="C729" i="1" a="1"/>
  <c r="C1404" i="1" a="1"/>
  <c r="C1851" i="1" a="1"/>
  <c r="C671" i="1" a="1"/>
  <c r="C1250" i="1" a="1"/>
  <c r="C1750" i="1" a="1"/>
  <c r="C2030" i="1" a="1"/>
  <c r="C1169" i="1" a="1"/>
  <c r="C1644" i="1" a="1"/>
  <c r="C1963" i="1" a="1"/>
  <c r="C1247" i="1" a="1"/>
  <c r="C1944" i="1" a="1"/>
  <c r="C2247" i="1" a="1"/>
  <c r="C1222" i="1" a="1"/>
  <c r="C1878" i="1" a="1"/>
  <c r="C2202" i="1" a="1"/>
  <c r="C2384" i="1" a="1"/>
  <c r="C2512" i="1" a="1"/>
  <c r="C2640" i="1" a="1"/>
  <c r="C1336" i="1" a="1"/>
  <c r="C2013" i="1" a="1"/>
  <c r="C2286" i="1" a="1"/>
  <c r="C1534" i="1" a="1"/>
  <c r="C2308" i="1" a="1"/>
  <c r="C2647" i="1" a="1"/>
  <c r="C717" i="1" a="1"/>
  <c r="C1994" i="1" a="1"/>
  <c r="C2411" i="1" a="1"/>
  <c r="C2728" i="1" a="1"/>
  <c r="C979" i="1" a="1"/>
  <c r="C1974" i="1" a="1"/>
  <c r="C1788" i="1" a="1"/>
  <c r="C2207" i="1" a="1"/>
  <c r="C2702" i="1" a="1"/>
  <c r="C2997" i="1" a="1"/>
  <c r="C3078" i="1" a="1"/>
  <c r="C1972" i="1" a="1"/>
  <c r="C3053" i="1" a="1"/>
  <c r="C2255" i="1" a="1"/>
  <c r="C2709" i="1" a="1"/>
  <c r="C3030" i="1" a="1"/>
  <c r="C3181" i="1" a="1"/>
  <c r="C3333" i="1" a="1"/>
  <c r="C3262" i="1" a="1"/>
  <c r="C2505" i="1" a="1"/>
  <c r="C1416" i="1" a="1"/>
  <c r="C2367" i="1" a="1"/>
  <c r="C2774" i="1" a="1"/>
  <c r="C3057" i="1" a="1"/>
  <c r="C2930" i="1" a="1"/>
  <c r="C419" i="1" a="1"/>
  <c r="C2306" i="1" a="1"/>
  <c r="C2164" i="1" a="1"/>
  <c r="C3151" i="1" a="1"/>
  <c r="C2692" i="1" a="1"/>
  <c r="C2541" i="1" a="1"/>
  <c r="C3107" i="1" a="1"/>
  <c r="C2891" i="1" a="1"/>
  <c r="C3243" i="1" a="1"/>
  <c r="C2735" i="1" a="1"/>
  <c r="C2836" i="1" a="1"/>
  <c r="C3336" i="1" a="1"/>
  <c r="C2155" i="1" a="1"/>
  <c r="C2145" i="1" a="1"/>
  <c r="C3123" i="1" a="1"/>
  <c r="G1144" i="1" a="1"/>
  <c r="G1726" i="1" a="1"/>
  <c r="G2211" i="1" a="1"/>
  <c r="G2694" i="1" a="1"/>
  <c r="G2184" i="1" a="1"/>
  <c r="G2306" i="1" a="1"/>
  <c r="C234" i="1" a="1"/>
  <c r="C237" i="1" a="1"/>
  <c r="C378" i="1" a="1"/>
  <c r="C895" i="1" a="1"/>
  <c r="C857" i="1" a="1"/>
  <c r="C1719" i="1" a="1"/>
  <c r="C1353" i="1" a="1"/>
  <c r="C1059" i="1" a="1"/>
  <c r="C719" i="1" a="1"/>
  <c r="C2046" i="1" a="1"/>
  <c r="C2548" i="1" a="1"/>
  <c r="C2727" i="1" a="1"/>
  <c r="C2507" i="1" a="1"/>
  <c r="C2399" i="1" a="1"/>
  <c r="C2349" i="1" a="1"/>
  <c r="C2755" i="1" a="1"/>
  <c r="C1582" i="1" a="1"/>
  <c r="C3076" i="1" a="1"/>
  <c r="C2531" i="1" a="1"/>
  <c r="G23" i="1" a="1"/>
  <c r="G177" i="1" a="1"/>
  <c r="G456" i="1" a="1"/>
  <c r="G782" i="1" a="1"/>
  <c r="G407" i="1" a="1"/>
  <c r="G1353" i="1" a="1"/>
  <c r="G1514" i="1" a="1"/>
  <c r="G1292" i="1" a="1"/>
  <c r="G1427" i="1" a="1"/>
  <c r="G956" i="1" a="1"/>
  <c r="G1331" i="1" a="1"/>
  <c r="G1636" i="1" a="1"/>
  <c r="G1140" i="1" a="1"/>
  <c r="G1577" i="1" a="1"/>
  <c r="G1883" i="1" a="1"/>
  <c r="G1951" i="1" a="1"/>
  <c r="G1762" i="1" a="1"/>
  <c r="G2020" i="1" a="1"/>
  <c r="G1949" i="1" a="1"/>
  <c r="G1692" i="1" a="1"/>
  <c r="G2238" i="1" a="1"/>
  <c r="G2541" i="1" a="1"/>
  <c r="G1110" i="1" a="1"/>
  <c r="G2954" i="1" a="1"/>
  <c r="G2352" i="1" a="1"/>
  <c r="G2626" i="1" a="1"/>
  <c r="G1710" i="1" a="1"/>
  <c r="G1838" i="1" a="1"/>
  <c r="G2422" i="1" a="1"/>
  <c r="G2679" i="1" a="1"/>
  <c r="G3055" i="1" a="1"/>
  <c r="G3152" i="1" a="1"/>
  <c r="G3000" i="1" a="1"/>
  <c r="G3367" i="1" a="1"/>
  <c r="G3170" i="1" a="1"/>
  <c r="G2381" i="1" a="1"/>
  <c r="G3160" i="1" a="1"/>
  <c r="G3118" i="1" a="1"/>
  <c r="G2700" i="1" a="1"/>
  <c r="G3081" i="1" a="1"/>
  <c r="G3252" i="1" a="1"/>
  <c r="G2776" i="1" a="1"/>
  <c r="C8" i="1" a="1"/>
  <c r="C170" i="1" a="1"/>
  <c r="C58" i="1" a="1"/>
  <c r="C285" i="1" a="1"/>
  <c r="C444" i="1" a="1"/>
  <c r="C200" i="1" a="1"/>
  <c r="C201" i="1" a="1"/>
  <c r="C541" i="1" a="1"/>
  <c r="C119" i="1" a="1"/>
  <c r="C527" i="1" a="1"/>
  <c r="C720" i="1" a="1"/>
  <c r="C6" i="1" a="1"/>
  <c r="C465" i="1" a="1"/>
  <c r="C258" i="1" a="1"/>
  <c r="C173" i="1" a="1"/>
  <c r="C281" i="1" a="1"/>
  <c r="C228" i="1" a="1"/>
  <c r="C365" i="1" a="1"/>
  <c r="C834" i="1" a="1"/>
  <c r="C426" i="1" a="1"/>
  <c r="C932" i="1" a="1"/>
  <c r="C1092" i="1" a="1"/>
  <c r="C679" i="1" a="1"/>
  <c r="C960" i="1" a="1"/>
  <c r="C749" i="1" a="1"/>
  <c r="C599" i="1" a="1"/>
  <c r="C1001" i="1" a="1"/>
  <c r="C1303" i="1" a="1"/>
  <c r="C1431" i="1" a="1"/>
  <c r="C1559" i="1" a="1"/>
  <c r="C1687" i="1" a="1"/>
  <c r="C638" i="1" a="1"/>
  <c r="C1110" i="1" a="1"/>
  <c r="C443" i="1" a="1"/>
  <c r="C1049" i="1" a="1"/>
  <c r="C1321" i="1" a="1"/>
  <c r="C1449" i="1" a="1"/>
  <c r="C1577" i="1" a="1"/>
  <c r="C1705" i="1" a="1"/>
  <c r="C747" i="1" a="1"/>
  <c r="C1410" i="1" a="1"/>
  <c r="C1856" i="1" a="1"/>
  <c r="C693" i="1" a="1"/>
  <c r="C1264" i="1" a="1"/>
  <c r="C1776" i="1" a="1"/>
  <c r="C2039" i="1" a="1"/>
  <c r="C1194" i="1" a="1"/>
  <c r="C1650" i="1" a="1"/>
  <c r="C1968" i="1" a="1"/>
  <c r="C1280" i="1" a="1"/>
  <c r="C1958" i="1" a="1"/>
  <c r="C2252" i="1" a="1"/>
  <c r="C1236" i="1" a="1"/>
  <c r="C1886" i="1" a="1"/>
  <c r="C2211" i="1" a="1"/>
  <c r="C2388" i="1" a="1"/>
  <c r="C2516" i="1" a="1"/>
  <c r="C2644" i="1" a="1"/>
  <c r="C1408" i="1" a="1"/>
  <c r="C2020" i="1" a="1"/>
  <c r="C2295" i="1" a="1"/>
  <c r="C1716" i="1" a="1"/>
  <c r="C2321" i="1" a="1"/>
  <c r="C2654" i="1" a="1"/>
  <c r="C814" i="1" a="1"/>
  <c r="C2006" i="1" a="1"/>
  <c r="C2418" i="1" a="1"/>
  <c r="C2733" i="1" a="1"/>
  <c r="C1031" i="1" a="1"/>
  <c r="C1997" i="1" a="1"/>
  <c r="C1802" i="1" a="1"/>
  <c r="C2265" i="1" a="1"/>
  <c r="C2715" i="1" a="1"/>
  <c r="C3008" i="1" a="1"/>
  <c r="C3090" i="1" a="1"/>
  <c r="C2019" i="1" a="1"/>
  <c r="C236" i="1" a="1"/>
  <c r="C2276" i="1" a="1"/>
  <c r="C2716" i="1" a="1"/>
  <c r="C3035" i="1" a="1"/>
  <c r="C3185" i="1" a="1"/>
  <c r="C3345" i="1" a="1"/>
  <c r="C3274" i="1" a="1"/>
  <c r="C2566" i="1" a="1"/>
  <c r="C1450" i="1" a="1"/>
  <c r="C2375" i="1" a="1"/>
  <c r="C2782" i="1" a="1"/>
  <c r="C3068" i="1" a="1"/>
  <c r="C2978" i="1" a="1"/>
  <c r="C793" i="1" a="1"/>
  <c r="C2317" i="1" a="1"/>
  <c r="C2186" i="1" a="1"/>
  <c r="C3160" i="1" a="1"/>
  <c r="C2748" i="1" a="1"/>
  <c r="C2627" i="1" a="1"/>
  <c r="C3139" i="1" a="1"/>
  <c r="C2910" i="1" a="1"/>
  <c r="C3283" i="1" a="1"/>
  <c r="C2812" i="1" a="1"/>
  <c r="C2876" i="1" a="1"/>
  <c r="C3360" i="1" a="1"/>
  <c r="C2403" i="1" a="1"/>
  <c r="C2173" i="1" a="1"/>
  <c r="C3132" i="1" a="1"/>
  <c r="C3028" i="1" a="1"/>
  <c r="C2" i="1" a="1"/>
  <c r="C2708" i="1" a="1"/>
  <c r="C3260" i="1" a="1"/>
  <c r="C1955" i="1" a="1"/>
  <c r="C2355" i="1" a="1"/>
  <c r="G1391" i="1" a="1"/>
  <c r="G2015" i="1" a="1"/>
  <c r="G2324" i="1" a="1"/>
  <c r="G2219" i="1" a="1"/>
  <c r="G2692" i="1" a="1"/>
  <c r="G3124" i="1" a="1"/>
  <c r="C304" i="1" a="1"/>
  <c r="C146" i="1" a="1"/>
  <c r="C554" i="1" a="1"/>
  <c r="C192" i="1" a="1"/>
  <c r="C1591" i="1" a="1"/>
  <c r="C1609" i="1" a="1"/>
  <c r="C1847" i="1" a="1"/>
  <c r="C450" i="1" a="1"/>
  <c r="C1572" i="1" a="1"/>
  <c r="C1440" i="1" a="1"/>
  <c r="C1055" i="1" a="1"/>
  <c r="C1478" i="1" a="1"/>
  <c r="C3362" i="1" a="1"/>
  <c r="C2547" i="1" a="1"/>
  <c r="C3168" i="1" a="1"/>
  <c r="C2821" i="1" a="1"/>
  <c r="G151" i="1" a="1"/>
  <c r="G323" i="1" a="1"/>
  <c r="G623" i="1" a="1"/>
  <c r="G1038" i="1" a="1"/>
  <c r="G952" i="1" a="1"/>
  <c r="G765" i="1" a="1"/>
  <c r="G1546" i="1" a="1"/>
  <c r="G1334" i="1" a="1"/>
  <c r="G1459" i="1" a="1"/>
  <c r="G1246" i="1" a="1"/>
  <c r="G1406" i="1" a="1"/>
  <c r="G881" i="1" a="1"/>
  <c r="G1647" i="1" a="1"/>
  <c r="G1641" i="1" a="1"/>
  <c r="G1657" i="1" a="1"/>
  <c r="G1983" i="1" a="1"/>
  <c r="G1891" i="1" a="1"/>
  <c r="G2052" i="1" a="1"/>
  <c r="G1981" i="1" a="1"/>
  <c r="G2066" i="1" a="1"/>
  <c r="G2281" i="1" a="1"/>
  <c r="G2573" i="1" a="1"/>
  <c r="G1930" i="1" a="1"/>
  <c r="G3014" i="1" a="1"/>
  <c r="G2394" i="1" a="1"/>
  <c r="G2658" i="1" a="1"/>
  <c r="G2082" i="1" a="1"/>
  <c r="G2062" i="1" a="1"/>
  <c r="G2455" i="1" a="1"/>
  <c r="G2711" i="1" a="1"/>
  <c r="G2413" i="1" a="1"/>
  <c r="G3365" i="1" a="1"/>
  <c r="G3068" i="1" a="1"/>
  <c r="G3036" i="1" a="1"/>
  <c r="G3298" i="1" a="1"/>
  <c r="G2612" i="1" a="1"/>
  <c r="G3235" i="1" a="1"/>
  <c r="G3114" i="1" a="1"/>
  <c r="G2836" i="1" a="1"/>
  <c r="G3119" i="1" a="1"/>
  <c r="G3289" i="1" a="1"/>
  <c r="G2200" i="1" a="1"/>
  <c r="C40" i="1" a="1"/>
  <c r="C225" i="1" a="1"/>
  <c r="C95" i="1" a="1"/>
  <c r="C344" i="1" a="1"/>
  <c r="C472" i="1" a="1"/>
  <c r="C259" i="1" a="1"/>
  <c r="C274" i="1" a="1"/>
  <c r="C569" i="1" a="1"/>
  <c r="C220" i="1" a="1"/>
  <c r="C600" i="1" a="1"/>
  <c r="C748" i="1" a="1"/>
  <c r="C130" i="1" a="1"/>
  <c r="C555" i="1" a="1"/>
  <c r="C363" i="1" a="1"/>
  <c r="C306" i="1" a="1"/>
  <c r="C398" i="1" a="1"/>
  <c r="C382" i="1" a="1"/>
  <c r="C542" i="1" a="1"/>
  <c r="C886" i="1" a="1"/>
  <c r="C661" i="1" a="1"/>
  <c r="C987" i="1" a="1"/>
  <c r="C1120" i="1" a="1"/>
  <c r="C753" i="1" a="1"/>
  <c r="C126" i="1" a="1"/>
  <c r="C852" i="1" a="1"/>
  <c r="C510" i="1" a="1"/>
  <c r="C1083" i="1" a="1"/>
  <c r="C1331" i="1" a="1"/>
  <c r="C1459" i="1" a="1"/>
  <c r="C1587" i="1" a="1"/>
  <c r="C1715" i="1" a="1"/>
  <c r="C786" i="1" a="1"/>
  <c r="C1155" i="1" a="1"/>
  <c r="C657" i="1" a="1"/>
  <c r="C1136" i="1" a="1"/>
  <c r="C1349" i="1" a="1"/>
  <c r="C1477" i="1" a="1"/>
  <c r="C1605" i="1" a="1"/>
  <c r="C1733" i="1" a="1"/>
  <c r="C1038" i="1" a="1"/>
  <c r="C1532" i="1" a="1"/>
  <c r="C1915" i="1" a="1"/>
  <c r="C874" i="1" a="1"/>
  <c r="C1366" i="1" a="1"/>
  <c r="C1838" i="1" a="1"/>
  <c r="C570" i="1" a="1"/>
  <c r="C1260" i="1" a="1"/>
  <c r="C1772" i="1" a="1"/>
  <c r="C2027" i="1" a="1"/>
  <c r="C1422" i="1" a="1"/>
  <c r="C2038" i="1" a="1"/>
  <c r="C2311" i="1" a="1"/>
  <c r="C1414" i="1" a="1"/>
  <c r="C1988" i="1" a="1"/>
  <c r="C2266" i="1" a="1"/>
  <c r="C2416" i="1" a="1"/>
  <c r="C2544" i="1" a="1"/>
  <c r="C2672" i="1" a="1"/>
  <c r="C1550" i="1" a="1"/>
  <c r="C2094" i="1" a="1"/>
  <c r="C705" i="1" a="1"/>
  <c r="C1923" i="1" a="1"/>
  <c r="C2391" i="1" a="1"/>
  <c r="C2722" i="1" a="1"/>
  <c r="C1406" i="1" a="1"/>
  <c r="C2111" i="1" a="1"/>
  <c r="C2501" i="1" a="1"/>
  <c r="C2792" i="1" a="1"/>
  <c r="C1262" i="1" a="1"/>
  <c r="C838" i="1" a="1"/>
  <c r="C1005" i="1" a="1"/>
  <c r="C2390" i="1" a="1"/>
  <c r="C2787" i="1" a="1"/>
  <c r="C3061" i="1" a="1"/>
  <c r="C3166" i="1" a="1"/>
  <c r="C2343" i="1" a="1"/>
  <c r="C1446" i="1" a="1"/>
  <c r="C2339" i="1" a="1"/>
  <c r="C2788" i="1" a="1"/>
  <c r="C3085" i="1" a="1"/>
  <c r="C3213" i="1" a="1"/>
  <c r="C2860" i="1" a="1"/>
  <c r="C3346" i="1" a="1"/>
  <c r="C2734" i="1" a="1"/>
  <c r="C1967" i="1" a="1"/>
  <c r="C2486" i="1" a="1"/>
  <c r="C2859" i="1" a="1"/>
  <c r="C2538" i="1" a="1"/>
  <c r="C3106" i="1" a="1"/>
  <c r="C1386" i="1" a="1"/>
  <c r="C2479" i="1" a="1"/>
  <c r="C2474" i="1" a="1"/>
  <c r="C3223" i="1" a="1"/>
  <c r="C3227" i="1" a="1"/>
  <c r="C3104" i="1" a="1"/>
  <c r="C1862" i="1" a="1"/>
  <c r="C3049" i="1" a="1"/>
  <c r="C2466" i="1" a="1"/>
  <c r="C1933" i="1" a="1"/>
  <c r="C3007" i="1" a="1"/>
  <c r="C2483" i="1" a="1"/>
  <c r="G6" i="1" a="1"/>
  <c r="G741" i="1" a="1"/>
  <c r="G1491" i="1" a="1"/>
  <c r="G1361" i="1" a="1"/>
  <c r="G2084" i="1" a="1"/>
  <c r="G1889" i="1" a="1"/>
  <c r="G2747" i="1" a="1"/>
  <c r="G2817" i="1" a="1"/>
  <c r="G2328" i="1" a="1"/>
  <c r="C264" i="1" a="1"/>
  <c r="C564" i="1" a="1"/>
  <c r="C673" i="1" a="1"/>
  <c r="C1090" i="1" a="1"/>
  <c r="C669" i="1" a="1"/>
  <c r="C1538" i="1" a="1"/>
  <c r="C1778" i="1" a="1"/>
  <c r="C1996" i="1" a="1"/>
  <c r="C759" i="1" a="1"/>
  <c r="C912" i="1" a="1"/>
  <c r="C2361" i="1" a="1"/>
  <c r="C2889" i="1" a="1"/>
  <c r="C3118" i="1" a="1"/>
  <c r="C1932" i="1" a="1"/>
  <c r="C3292" i="1" a="1"/>
  <c r="G81" i="1" a="1"/>
  <c r="G295" i="1" a="1"/>
  <c r="G600" i="1" a="1"/>
  <c r="G994" i="1" a="1"/>
  <c r="G1212" i="1" a="1"/>
  <c r="G1225" i="1" a="1"/>
  <c r="G1610" i="1" a="1"/>
  <c r="G869" i="1" a="1"/>
  <c r="G1523" i="1" a="1"/>
  <c r="G1341" i="1" a="1"/>
  <c r="G1476" i="1" a="1"/>
  <c r="G1711" i="1" a="1"/>
  <c r="G1790" i="1" a="1"/>
  <c r="G1777" i="1" a="1"/>
  <c r="G1878" i="1" a="1"/>
  <c r="G2047" i="1" a="1"/>
  <c r="G1791" i="1" a="1"/>
  <c r="G2116" i="1" a="1"/>
  <c r="G2045" i="1" a="1"/>
  <c r="G2339" i="1" a="1"/>
  <c r="G2366" i="1" a="1"/>
  <c r="G2637" i="1" a="1"/>
  <c r="G2255" i="1" a="1"/>
  <c r="G2132" i="1" a="1"/>
  <c r="G2466" i="1" a="1"/>
  <c r="G2726" i="1" a="1"/>
  <c r="G2347" i="1" a="1"/>
  <c r="G2209" i="1" a="1"/>
  <c r="G2519" i="1" a="1"/>
  <c r="G2779" i="1" a="1"/>
  <c r="G3078" i="1" a="1"/>
  <c r="G2354" i="1" a="1"/>
  <c r="G3153" i="1" a="1"/>
  <c r="G3072" i="1" a="1"/>
  <c r="G3277" i="1" a="1"/>
  <c r="G2881" i="1" a="1"/>
  <c r="G2712" i="1" a="1"/>
  <c r="G2965" i="1" a="1"/>
  <c r="G2900" i="1" a="1"/>
  <c r="G3161" i="1" a="1"/>
  <c r="G3332" i="1" a="1"/>
  <c r="G2901" i="1" a="1"/>
  <c r="C72" i="1" a="1"/>
  <c r="C289" i="1" a="1"/>
  <c r="C148" i="1" a="1"/>
  <c r="C376" i="1" a="1"/>
  <c r="C504" i="1" a="1"/>
  <c r="C323" i="1" a="1"/>
  <c r="C383" i="1" a="1"/>
  <c r="C601" i="1" a="1"/>
  <c r="C329" i="1" a="1"/>
  <c r="C652" i="1" a="1"/>
  <c r="C780" i="1" a="1"/>
  <c r="C255" i="1" a="1"/>
  <c r="C9" i="1" a="1"/>
  <c r="C457" i="1" a="1"/>
  <c r="C463" i="1" a="1"/>
  <c r="C560" i="1" a="1"/>
  <c r="C539" i="1" a="1"/>
  <c r="C666" i="1" a="1"/>
  <c r="C950" i="1" a="1"/>
  <c r="C746" i="1" a="1"/>
  <c r="C1024" i="1" a="1"/>
  <c r="C247" i="1" a="1"/>
  <c r="C830" i="1" a="1"/>
  <c r="C445" i="1" a="1"/>
  <c r="C916" i="1" a="1"/>
  <c r="C773" i="1" a="1"/>
  <c r="C1176" i="1" a="1"/>
  <c r="C1363" i="1" a="1"/>
  <c r="C1491" i="1" a="1"/>
  <c r="C1619" i="1" a="1"/>
  <c r="C1747" i="1" a="1"/>
  <c r="C880" i="1" a="1"/>
  <c r="C1198" i="1" a="1"/>
  <c r="C826" i="1" a="1"/>
  <c r="C1253" i="1" a="1"/>
  <c r="C1381" i="1" a="1"/>
  <c r="C1509" i="1" a="1"/>
  <c r="C1637" i="1" a="1"/>
  <c r="C1765" i="1" a="1"/>
  <c r="C1156" i="1" a="1"/>
  <c r="C1660" i="1" a="1"/>
  <c r="C1979" i="1" a="1"/>
  <c r="C1041" i="1" a="1"/>
  <c r="C1494" i="1" a="1"/>
  <c r="C1902" i="1" a="1"/>
  <c r="C894" i="1" a="1"/>
  <c r="C1388" i="1" a="1"/>
  <c r="C1835" i="1" a="1"/>
  <c r="C435" i="1" a="1"/>
  <c r="C1638" i="1" a="1"/>
  <c r="C2119" i="1" a="1"/>
  <c r="C906" i="1" a="1"/>
  <c r="C1598" i="1" a="1"/>
  <c r="C2074" i="1" a="1"/>
  <c r="C2320" i="1" a="1"/>
  <c r="C2448" i="1" a="1"/>
  <c r="C2576" i="1" a="1"/>
  <c r="C892" i="1" a="1"/>
  <c r="C1766" i="1" a="1"/>
  <c r="C2158" i="1" a="1"/>
  <c r="C1047" i="1" a="1"/>
  <c r="C2095" i="1" a="1"/>
  <c r="C2481" i="1" a="1"/>
  <c r="C2786" i="1" a="1"/>
  <c r="C1668" i="1" a="1"/>
  <c r="C2228" i="1" a="1"/>
  <c r="C2578" i="1" a="1"/>
  <c r="C2856" i="1" a="1"/>
  <c r="C1624" i="1" a="1"/>
  <c r="C1162" i="1" a="1"/>
  <c r="C1540" i="1" a="1"/>
  <c r="C2510" i="1" a="1"/>
  <c r="C2879" i="1" a="1"/>
  <c r="C3337" i="1" a="1"/>
  <c r="C3258" i="1" a="1"/>
  <c r="C2591" i="1" a="1"/>
  <c r="C1894" i="1" a="1"/>
  <c r="C2459" i="1" a="1"/>
  <c r="C2873" i="1" a="1"/>
  <c r="C3117" i="1" a="1"/>
  <c r="C3245" i="1" a="1"/>
  <c r="C3026" i="1" a="1"/>
  <c r="C1784" i="1" a="1"/>
  <c r="C2984" i="1" a="1"/>
  <c r="C2121" i="1" a="1"/>
  <c r="C2606" i="1" a="1"/>
  <c r="C2929" i="1" a="1"/>
  <c r="C2658" i="1" a="1"/>
  <c r="C3194" i="1" a="1"/>
  <c r="C1921" i="1" a="1"/>
  <c r="C2968" i="1" a="1"/>
  <c r="C2777" i="1" a="1"/>
  <c r="C3287" i="1" a="1"/>
  <c r="C2232" i="1" a="1"/>
  <c r="C3340" i="1" a="1"/>
  <c r="C2319" i="1" a="1"/>
  <c r="C3264" i="1" a="1"/>
  <c r="C1600" i="1" a="1"/>
  <c r="C2345" i="1" a="1"/>
  <c r="C3143" i="1" a="1"/>
  <c r="C3235" i="1" a="1"/>
  <c r="C2586" i="1" a="1"/>
  <c r="C2800" i="1" a="1"/>
  <c r="C2970" i="1" a="1"/>
  <c r="C3212" i="1" a="1"/>
  <c r="C3267" i="1" a="1"/>
  <c r="C2841" i="1" a="1"/>
  <c r="C3244" i="1" a="1"/>
  <c r="G625" i="1" a="1"/>
  <c r="G1444" i="1" a="1"/>
  <c r="G1645" i="1" a="1"/>
  <c r="G2137" i="1" a="1"/>
  <c r="G2166" i="1" a="1"/>
  <c r="G3111" i="1" a="1"/>
  <c r="G2892" i="1" a="1"/>
  <c r="C348" i="1" a="1"/>
  <c r="C614" i="1" a="1"/>
  <c r="C414" i="1" a="1"/>
  <c r="C996" i="1" a="1"/>
  <c r="C535" i="1" a="1"/>
  <c r="C798" i="1" a="1"/>
  <c r="C1737" i="1" a="1"/>
  <c r="C903" i="1" a="1"/>
  <c r="C1266" i="1" a="1"/>
  <c r="C1434" i="1" a="1"/>
  <c r="C2103" i="1" a="1"/>
  <c r="C2118" i="1" a="1"/>
  <c r="C2794" i="1" a="1"/>
  <c r="C2801" i="1" a="1"/>
  <c r="C1990" i="1" a="1"/>
  <c r="C2726" i="1" a="1"/>
  <c r="C2651" i="1" a="1"/>
  <c r="C2066" i="1" a="1"/>
  <c r="K3358" i="1" l="1"/>
  <c r="K3319" i="1"/>
  <c r="K3281" i="1"/>
  <c r="K3249" i="1"/>
  <c r="K3217" i="1"/>
  <c r="K3198" i="1"/>
  <c r="K3191" i="1"/>
  <c r="K3166" i="1"/>
  <c r="K3159" i="1"/>
  <c r="K3140" i="1"/>
  <c r="K3108" i="1"/>
  <c r="K3095" i="1"/>
  <c r="K3080" i="1"/>
  <c r="K3064" i="1"/>
  <c r="K3048" i="1"/>
  <c r="K3032" i="1"/>
  <c r="K3024" i="1"/>
  <c r="K3008" i="1"/>
  <c r="K2992" i="1"/>
  <c r="K2976" i="1"/>
  <c r="K2968" i="1"/>
  <c r="K2952" i="1"/>
  <c r="K2936" i="1"/>
  <c r="K2920" i="1"/>
  <c r="K2896" i="1"/>
  <c r="K2880" i="1"/>
  <c r="K2864" i="1"/>
  <c r="K2832" i="1"/>
  <c r="K2800" i="1"/>
  <c r="K2514" i="1"/>
  <c r="K2463" i="1"/>
  <c r="K2386" i="1"/>
  <c r="K2335" i="1"/>
  <c r="K2284" i="1"/>
  <c r="K2228" i="1"/>
  <c r="K2164" i="1"/>
  <c r="K2100" i="1"/>
  <c r="K2004" i="1"/>
  <c r="K1908" i="1"/>
  <c r="K1418" i="1"/>
  <c r="K3363" i="1"/>
  <c r="K3338" i="1"/>
  <c r="K3325" i="1"/>
  <c r="K3299" i="1"/>
  <c r="K3280" i="1"/>
  <c r="K3267" i="1"/>
  <c r="K3248" i="1"/>
  <c r="K3235" i="1"/>
  <c r="K3216" i="1"/>
  <c r="K3203" i="1"/>
  <c r="K3184" i="1"/>
  <c r="K3178" i="1"/>
  <c r="K3171" i="1"/>
  <c r="K3165" i="1"/>
  <c r="K3152" i="1"/>
  <c r="K3139" i="1"/>
  <c r="K3133" i="1"/>
  <c r="K3120" i="1"/>
  <c r="K3114" i="1"/>
  <c r="K3107" i="1"/>
  <c r="K3101" i="1"/>
  <c r="K3087" i="1"/>
  <c r="K3079" i="1"/>
  <c r="K3071" i="1"/>
  <c r="K3063" i="1"/>
  <c r="K3055" i="1"/>
  <c r="K3047" i="1"/>
  <c r="K3039" i="1"/>
  <c r="K3031" i="1"/>
  <c r="K3023" i="1"/>
  <c r="K3015" i="1"/>
  <c r="K3007" i="1"/>
  <c r="K2999" i="1"/>
  <c r="K2991" i="1"/>
  <c r="K2983" i="1"/>
  <c r="K2975" i="1"/>
  <c r="K2967" i="1"/>
  <c r="K2959" i="1"/>
  <c r="K2951" i="1"/>
  <c r="K2943" i="1"/>
  <c r="K2935" i="1"/>
  <c r="K2927" i="1"/>
  <c r="K2919" i="1"/>
  <c r="K2911" i="1"/>
  <c r="K2903" i="1"/>
  <c r="K2895" i="1"/>
  <c r="K2887" i="1"/>
  <c r="K2879" i="1"/>
  <c r="K2871" i="1"/>
  <c r="K2852" i="1"/>
  <c r="K2841" i="1"/>
  <c r="K2820" i="1"/>
  <c r="K2809" i="1"/>
  <c r="K2785" i="1"/>
  <c r="K2769" i="1"/>
  <c r="K2753" i="1"/>
  <c r="K2737" i="1"/>
  <c r="K2721" i="1"/>
  <c r="K2705" i="1"/>
  <c r="K2689" i="1"/>
  <c r="K2673" i="1"/>
  <c r="K2657" i="1"/>
  <c r="K2641" i="1"/>
  <c r="K2625" i="1"/>
  <c r="K2609" i="1"/>
  <c r="K2593" i="1"/>
  <c r="K2577" i="1"/>
  <c r="K2561" i="1"/>
  <c r="K2545" i="1"/>
  <c r="K2529" i="1"/>
  <c r="K2512" i="1"/>
  <c r="K2486" i="1"/>
  <c r="K2461" i="1"/>
  <c r="K2435" i="1"/>
  <c r="K2384" i="1"/>
  <c r="K2358" i="1"/>
  <c r="K2333" i="1"/>
  <c r="K2307" i="1"/>
  <c r="K2256" i="1"/>
  <c r="K1824" i="1"/>
  <c r="K1760" i="1"/>
  <c r="K1696" i="1"/>
  <c r="K1618" i="1"/>
  <c r="K1516" i="1"/>
  <c r="K1403" i="1"/>
  <c r="K1163" i="1"/>
  <c r="K3364" i="1"/>
  <c r="K3326" i="1"/>
  <c r="K3300" i="1"/>
  <c r="K3255" i="1"/>
  <c r="K3223" i="1"/>
  <c r="K3204" i="1"/>
  <c r="K3185" i="1"/>
  <c r="K3172" i="1"/>
  <c r="K3153" i="1"/>
  <c r="K3121" i="1"/>
  <c r="K3102" i="1"/>
  <c r="K3088" i="1"/>
  <c r="K3072" i="1"/>
  <c r="K3056" i="1"/>
  <c r="K3040" i="1"/>
  <c r="K3016" i="1"/>
  <c r="K3000" i="1"/>
  <c r="K2984" i="1"/>
  <c r="K2960" i="1"/>
  <c r="K2944" i="1"/>
  <c r="K2928" i="1"/>
  <c r="K2912" i="1"/>
  <c r="K2904" i="1"/>
  <c r="K2888" i="1"/>
  <c r="K2872" i="1"/>
  <c r="K2853" i="1"/>
  <c r="K2821" i="1"/>
  <c r="K2489" i="1"/>
  <c r="K2412" i="1"/>
  <c r="K2361" i="1"/>
  <c r="K2258" i="1"/>
  <c r="K2196" i="1"/>
  <c r="K2132" i="1"/>
  <c r="K2068" i="1"/>
  <c r="K2036" i="1"/>
  <c r="K1972" i="1"/>
  <c r="K1940" i="1"/>
  <c r="K1876" i="1"/>
  <c r="K1627" i="1"/>
  <c r="K3357" i="1"/>
  <c r="K3344" i="1"/>
  <c r="K3331" i="1"/>
  <c r="K3312" i="1"/>
  <c r="K3306" i="1"/>
  <c r="K3293" i="1"/>
  <c r="K3274" i="1"/>
  <c r="K3261" i="1"/>
  <c r="K3242" i="1"/>
  <c r="K3229" i="1"/>
  <c r="K3210" i="1"/>
  <c r="K3197" i="1"/>
  <c r="K3146" i="1"/>
  <c r="K3356" i="1"/>
  <c r="K3350" i="1"/>
  <c r="K3343" i="1"/>
  <c r="K3337" i="1"/>
  <c r="K3324" i="1"/>
  <c r="K3318" i="1"/>
  <c r="K3311" i="1"/>
  <c r="K3305" i="1"/>
  <c r="K3292" i="1"/>
  <c r="K3286" i="1"/>
  <c r="K3279" i="1"/>
  <c r="K3273" i="1"/>
  <c r="K3260" i="1"/>
  <c r="K3254" i="1"/>
  <c r="K3247" i="1"/>
  <c r="K3241" i="1"/>
  <c r="K3228" i="1"/>
  <c r="K3222" i="1"/>
  <c r="K3215" i="1"/>
  <c r="K3209" i="1"/>
  <c r="K3196" i="1"/>
  <c r="K3190" i="1"/>
  <c r="K3183" i="1"/>
  <c r="K3177" i="1"/>
  <c r="K3164" i="1"/>
  <c r="K3158" i="1"/>
  <c r="K3151" i="1"/>
  <c r="K3145" i="1"/>
  <c r="K3132" i="1"/>
  <c r="K3126" i="1"/>
  <c r="K3119" i="1"/>
  <c r="K3113" i="1"/>
  <c r="K3100" i="1"/>
  <c r="K3093" i="1"/>
  <c r="K2861" i="1"/>
  <c r="K2840" i="1"/>
  <c r="K2829" i="1"/>
  <c r="K2808" i="1"/>
  <c r="K2797" i="1"/>
  <c r="K2508" i="1"/>
  <c r="K2482" i="1"/>
  <c r="K2457" i="1"/>
  <c r="K2431" i="1"/>
  <c r="K2380" i="1"/>
  <c r="K2354" i="1"/>
  <c r="K2329" i="1"/>
  <c r="K2303" i="1"/>
  <c r="K2252" i="1"/>
  <c r="K2220" i="1"/>
  <c r="K2188" i="1"/>
  <c r="K2156" i="1"/>
  <c r="K2124" i="1"/>
  <c r="K2092" i="1"/>
  <c r="K2060" i="1"/>
  <c r="K2028" i="1"/>
  <c r="K1996" i="1"/>
  <c r="K1964" i="1"/>
  <c r="K1932" i="1"/>
  <c r="K1900" i="1"/>
  <c r="K1868" i="1"/>
  <c r="K1601" i="1"/>
  <c r="K1499" i="1"/>
  <c r="K1375" i="1"/>
  <c r="K3345" i="1"/>
  <c r="K3287" i="1"/>
  <c r="K3127" i="1"/>
  <c r="K3349" i="1"/>
  <c r="K3323" i="1"/>
  <c r="K3298" i="1"/>
  <c r="K3259" i="1"/>
  <c r="K3234" i="1"/>
  <c r="K3189" i="1"/>
  <c r="K3170" i="1"/>
  <c r="K3125" i="1"/>
  <c r="K3099" i="1"/>
  <c r="K3069" i="1"/>
  <c r="K3037" i="1"/>
  <c r="K3005" i="1"/>
  <c r="K2965" i="1"/>
  <c r="K2941" i="1"/>
  <c r="K2909" i="1"/>
  <c r="K2885" i="1"/>
  <c r="K2869" i="1"/>
  <c r="K2828" i="1"/>
  <c r="K2796" i="1"/>
  <c r="K2749" i="1"/>
  <c r="K2701" i="1"/>
  <c r="K2653" i="1"/>
  <c r="K2605" i="1"/>
  <c r="K2541" i="1"/>
  <c r="K2480" i="1"/>
  <c r="K2352" i="1"/>
  <c r="K2326" i="1"/>
  <c r="K1744" i="1"/>
  <c r="K1066" i="1"/>
  <c r="K3367" i="1"/>
  <c r="K3361" i="1"/>
  <c r="K3348" i="1"/>
  <c r="K3342" i="1"/>
  <c r="K3335" i="1"/>
  <c r="K3329" i="1"/>
  <c r="K3316" i="1"/>
  <c r="K3310" i="1"/>
  <c r="K3303" i="1"/>
  <c r="K3297" i="1"/>
  <c r="K3284" i="1"/>
  <c r="K3278" i="1"/>
  <c r="K3271" i="1"/>
  <c r="K3265" i="1"/>
  <c r="K3252" i="1"/>
  <c r="K3246" i="1"/>
  <c r="K3239" i="1"/>
  <c r="K3233" i="1"/>
  <c r="K3220" i="1"/>
  <c r="K3214" i="1"/>
  <c r="K3207" i="1"/>
  <c r="K3201" i="1"/>
  <c r="K3188" i="1"/>
  <c r="K3182" i="1"/>
  <c r="K3175" i="1"/>
  <c r="K3169" i="1"/>
  <c r="K3156" i="1"/>
  <c r="K3150" i="1"/>
  <c r="K3143" i="1"/>
  <c r="K3137" i="1"/>
  <c r="K3124" i="1"/>
  <c r="K3118" i="1"/>
  <c r="K3111" i="1"/>
  <c r="K3105" i="1"/>
  <c r="K3091" i="1"/>
  <c r="K3084" i="1"/>
  <c r="K3076" i="1"/>
  <c r="K3068" i="1"/>
  <c r="K3060" i="1"/>
  <c r="K3052" i="1"/>
  <c r="K3044" i="1"/>
  <c r="K3036" i="1"/>
  <c r="K3028" i="1"/>
  <c r="K3020" i="1"/>
  <c r="K3012" i="1"/>
  <c r="K3004" i="1"/>
  <c r="K2996" i="1"/>
  <c r="K2988" i="1"/>
  <c r="K2980" i="1"/>
  <c r="K2972" i="1"/>
  <c r="K2964" i="1"/>
  <c r="K2956" i="1"/>
  <c r="K2948" i="1"/>
  <c r="K2940" i="1"/>
  <c r="K2932" i="1"/>
  <c r="K2924" i="1"/>
  <c r="K2916" i="1"/>
  <c r="K2908" i="1"/>
  <c r="K2900" i="1"/>
  <c r="K2892" i="1"/>
  <c r="K2884" i="1"/>
  <c r="K2876" i="1"/>
  <c r="K2868" i="1"/>
  <c r="K2848" i="1"/>
  <c r="K2837" i="1"/>
  <c r="K2816" i="1"/>
  <c r="K2805" i="1"/>
  <c r="K2476" i="1"/>
  <c r="K2450" i="1"/>
  <c r="K2425" i="1"/>
  <c r="K2399" i="1"/>
  <c r="K2348" i="1"/>
  <c r="K2322" i="1"/>
  <c r="K2297" i="1"/>
  <c r="K2271" i="1"/>
  <c r="K2244" i="1"/>
  <c r="K2212" i="1"/>
  <c r="K2180" i="1"/>
  <c r="K2148" i="1"/>
  <c r="K2116" i="1"/>
  <c r="K2084" i="1"/>
  <c r="K2052" i="1"/>
  <c r="K2020" i="1"/>
  <c r="K1988" i="1"/>
  <c r="K1956" i="1"/>
  <c r="K1924" i="1"/>
  <c r="K1892" i="1"/>
  <c r="K1859" i="1"/>
  <c r="K1576" i="1"/>
  <c r="K1473" i="1"/>
  <c r="K998" i="1"/>
  <c r="K3332" i="1"/>
  <c r="K3262" i="1"/>
  <c r="K3134" i="1"/>
  <c r="K3336" i="1"/>
  <c r="K3304" i="1"/>
  <c r="K3272" i="1"/>
  <c r="K3208" i="1"/>
  <c r="K3144" i="1"/>
  <c r="K3112" i="1"/>
  <c r="K3085" i="1"/>
  <c r="K3053" i="1"/>
  <c r="K3021" i="1"/>
  <c r="K2981" i="1"/>
  <c r="K2933" i="1"/>
  <c r="K2877" i="1"/>
  <c r="K2573" i="1"/>
  <c r="K3360" i="1"/>
  <c r="K3341" i="1"/>
  <c r="K3322" i="1"/>
  <c r="K3296" i="1"/>
  <c r="K3283" i="1"/>
  <c r="K3264" i="1"/>
  <c r="K3251" i="1"/>
  <c r="K3219" i="1"/>
  <c r="K3200" i="1"/>
  <c r="K3181" i="1"/>
  <c r="K3168" i="1"/>
  <c r="K3162" i="1"/>
  <c r="K3155" i="1"/>
  <c r="K3149" i="1"/>
  <c r="K3136" i="1"/>
  <c r="K3123" i="1"/>
  <c r="K3117" i="1"/>
  <c r="K3104" i="1"/>
  <c r="K3098" i="1"/>
  <c r="K3083" i="1"/>
  <c r="K3075" i="1"/>
  <c r="K3067" i="1"/>
  <c r="K3059" i="1"/>
  <c r="K3051" i="1"/>
  <c r="K3043" i="1"/>
  <c r="K3035" i="1"/>
  <c r="K3027" i="1"/>
  <c r="K3019" i="1"/>
  <c r="K3011" i="1"/>
  <c r="K3003" i="1"/>
  <c r="K2995" i="1"/>
  <c r="K2987" i="1"/>
  <c r="K2979" i="1"/>
  <c r="K2971" i="1"/>
  <c r="K2963" i="1"/>
  <c r="K2955" i="1"/>
  <c r="K2947" i="1"/>
  <c r="K2939" i="1"/>
  <c r="K2931" i="1"/>
  <c r="K2923" i="1"/>
  <c r="K2915" i="1"/>
  <c r="K2907" i="1"/>
  <c r="K2899" i="1"/>
  <c r="K2891" i="1"/>
  <c r="K2883" i="1"/>
  <c r="K2875" i="1"/>
  <c r="K2867" i="1"/>
  <c r="K2857" i="1"/>
  <c r="K2836" i="1"/>
  <c r="K2825" i="1"/>
  <c r="K2804" i="1"/>
  <c r="K2793" i="1"/>
  <c r="K2777" i="1"/>
  <c r="K2761" i="1"/>
  <c r="K2745" i="1"/>
  <c r="K2729" i="1"/>
  <c r="K2713" i="1"/>
  <c r="K2697" i="1"/>
  <c r="K2681" i="1"/>
  <c r="K2665" i="1"/>
  <c r="K2649" i="1"/>
  <c r="K2633" i="1"/>
  <c r="K2617" i="1"/>
  <c r="K2601" i="1"/>
  <c r="K2585" i="1"/>
  <c r="K2569" i="1"/>
  <c r="K2553" i="1"/>
  <c r="K2537" i="1"/>
  <c r="K2521" i="1"/>
  <c r="K2499" i="1"/>
  <c r="K2448" i="1"/>
  <c r="K2422" i="1"/>
  <c r="K2397" i="1"/>
  <c r="K2371" i="1"/>
  <c r="K2320" i="1"/>
  <c r="K2294" i="1"/>
  <c r="K2269" i="1"/>
  <c r="K1855" i="1"/>
  <c r="K1792" i="1"/>
  <c r="K1728" i="1"/>
  <c r="K1664" i="1"/>
  <c r="K1567" i="1"/>
  <c r="K1291" i="1"/>
  <c r="K952" i="1"/>
  <c r="K3351" i="1"/>
  <c r="K3313" i="1"/>
  <c r="K3294" i="1"/>
  <c r="K3268" i="1"/>
  <c r="K3236" i="1"/>
  <c r="K3362" i="1"/>
  <c r="K3317" i="1"/>
  <c r="K3285" i="1"/>
  <c r="K3253" i="1"/>
  <c r="K3227" i="1"/>
  <c r="K3195" i="1"/>
  <c r="K3163" i="1"/>
  <c r="K3138" i="1"/>
  <c r="K3092" i="1"/>
  <c r="K3061" i="1"/>
  <c r="K3029" i="1"/>
  <c r="K2989" i="1"/>
  <c r="K2957" i="1"/>
  <c r="K2925" i="1"/>
  <c r="K2901" i="1"/>
  <c r="K2860" i="1"/>
  <c r="K2765" i="1"/>
  <c r="K2717" i="1"/>
  <c r="K2669" i="1"/>
  <c r="K2621" i="1"/>
  <c r="K2557" i="1"/>
  <c r="K2403" i="1"/>
  <c r="K2275" i="1"/>
  <c r="K1355" i="1"/>
  <c r="K3347" i="1"/>
  <c r="K3328" i="1"/>
  <c r="K3315" i="1"/>
  <c r="K3309" i="1"/>
  <c r="K3290" i="1"/>
  <c r="K3277" i="1"/>
  <c r="K3258" i="1"/>
  <c r="K3245" i="1"/>
  <c r="K3232" i="1"/>
  <c r="K3226" i="1"/>
  <c r="K3213" i="1"/>
  <c r="K3194" i="1"/>
  <c r="K3187" i="1"/>
  <c r="K3130" i="1"/>
  <c r="K3366" i="1"/>
  <c r="K3359" i="1"/>
  <c r="K3353" i="1"/>
  <c r="K3340" i="1"/>
  <c r="K3334" i="1"/>
  <c r="K3327" i="1"/>
  <c r="K3321" i="1"/>
  <c r="K3308" i="1"/>
  <c r="K3302" i="1"/>
  <c r="K3295" i="1"/>
  <c r="K3289" i="1"/>
  <c r="K3276" i="1"/>
  <c r="K3270" i="1"/>
  <c r="K3263" i="1"/>
  <c r="K3257" i="1"/>
  <c r="K3244" i="1"/>
  <c r="K3238" i="1"/>
  <c r="K3231" i="1"/>
  <c r="K3225" i="1"/>
  <c r="K3212" i="1"/>
  <c r="K3206" i="1"/>
  <c r="K3199" i="1"/>
  <c r="K3193" i="1"/>
  <c r="K3180" i="1"/>
  <c r="K3174" i="1"/>
  <c r="K3167" i="1"/>
  <c r="K3161" i="1"/>
  <c r="K3148" i="1"/>
  <c r="K3142" i="1"/>
  <c r="K3135" i="1"/>
  <c r="K3129" i="1"/>
  <c r="K3116" i="1"/>
  <c r="K3110" i="1"/>
  <c r="K3103" i="1"/>
  <c r="K3097" i="1"/>
  <c r="K3090" i="1"/>
  <c r="K2856" i="1"/>
  <c r="K2845" i="1"/>
  <c r="K2824" i="1"/>
  <c r="K2813" i="1"/>
  <c r="K2495" i="1"/>
  <c r="K2444" i="1"/>
  <c r="K2418" i="1"/>
  <c r="K2393" i="1"/>
  <c r="K2367" i="1"/>
  <c r="K2316" i="1"/>
  <c r="K2290" i="1"/>
  <c r="K2265" i="1"/>
  <c r="K2236" i="1"/>
  <c r="K2204" i="1"/>
  <c r="K2172" i="1"/>
  <c r="K2140" i="1"/>
  <c r="K2108" i="1"/>
  <c r="K2076" i="1"/>
  <c r="K2044" i="1"/>
  <c r="K2012" i="1"/>
  <c r="K1980" i="1"/>
  <c r="K1948" i="1"/>
  <c r="K1916" i="1"/>
  <c r="K1884" i="1"/>
  <c r="K1550" i="1"/>
  <c r="K1448" i="1"/>
  <c r="K3230" i="1"/>
  <c r="K3355" i="1"/>
  <c r="K3330" i="1"/>
  <c r="K3291" i="1"/>
  <c r="K3266" i="1"/>
  <c r="K3240" i="1"/>
  <c r="K3221" i="1"/>
  <c r="K3202" i="1"/>
  <c r="K3176" i="1"/>
  <c r="K3157" i="1"/>
  <c r="K3131" i="1"/>
  <c r="K3106" i="1"/>
  <c r="K3077" i="1"/>
  <c r="K3045" i="1"/>
  <c r="K3013" i="1"/>
  <c r="K2997" i="1"/>
  <c r="K2973" i="1"/>
  <c r="K2949" i="1"/>
  <c r="K2917" i="1"/>
  <c r="K2893" i="1"/>
  <c r="K2849" i="1"/>
  <c r="K2817" i="1"/>
  <c r="K2781" i="1"/>
  <c r="K2733" i="1"/>
  <c r="K2685" i="1"/>
  <c r="K2637" i="1"/>
  <c r="K2589" i="1"/>
  <c r="K2525" i="1"/>
  <c r="K2454" i="1"/>
  <c r="K2429" i="1"/>
  <c r="K2301" i="1"/>
  <c r="K1808" i="1"/>
  <c r="K1680" i="1"/>
  <c r="K1490" i="1"/>
  <c r="K3354" i="1"/>
  <c r="K3365" i="1"/>
  <c r="K3352" i="1"/>
  <c r="K3346" i="1"/>
  <c r="K3339" i="1"/>
  <c r="K3333" i="1"/>
  <c r="K3320" i="1"/>
  <c r="K3314" i="1"/>
  <c r="K3307" i="1"/>
  <c r="K3301" i="1"/>
  <c r="K3288" i="1"/>
  <c r="K3282" i="1"/>
  <c r="K3275" i="1"/>
  <c r="K3269" i="1"/>
  <c r="K3256" i="1"/>
  <c r="K3250" i="1"/>
  <c r="K3243" i="1"/>
  <c r="K3237" i="1"/>
  <c r="K3224" i="1"/>
  <c r="K3218" i="1"/>
  <c r="K3211" i="1"/>
  <c r="K3205" i="1"/>
  <c r="K3192" i="1"/>
  <c r="K3186" i="1"/>
  <c r="K3179" i="1"/>
  <c r="K3173" i="1"/>
  <c r="K3160" i="1"/>
  <c r="K3154" i="1"/>
  <c r="K3147" i="1"/>
  <c r="K3141" i="1"/>
  <c r="K3128" i="1"/>
  <c r="K3122" i="1"/>
  <c r="K3115" i="1"/>
  <c r="K3109" i="1"/>
  <c r="K3096" i="1"/>
  <c r="K3089" i="1"/>
  <c r="K3081" i="1"/>
  <c r="K3073" i="1"/>
  <c r="K3065" i="1"/>
  <c r="K3057" i="1"/>
  <c r="K3049" i="1"/>
  <c r="K3041" i="1"/>
  <c r="K3033" i="1"/>
  <c r="K3025" i="1"/>
  <c r="K3017" i="1"/>
  <c r="K3009" i="1"/>
  <c r="K3001" i="1"/>
  <c r="K2993" i="1"/>
  <c r="K2985" i="1"/>
  <c r="K2977" i="1"/>
  <c r="K2969" i="1"/>
  <c r="K2961" i="1"/>
  <c r="K2953" i="1"/>
  <c r="K2945" i="1"/>
  <c r="K2937" i="1"/>
  <c r="K2929" i="1"/>
  <c r="K2921" i="1"/>
  <c r="K2913" i="1"/>
  <c r="K2905" i="1"/>
  <c r="K2897" i="1"/>
  <c r="K2889" i="1"/>
  <c r="K2881" i="1"/>
  <c r="K2873" i="1"/>
  <c r="K2865" i="1"/>
  <c r="K2844" i="1"/>
  <c r="K2833" i="1"/>
  <c r="K2812" i="1"/>
  <c r="K2801" i="1"/>
  <c r="K2789" i="1"/>
  <c r="K2773" i="1"/>
  <c r="K2757" i="1"/>
  <c r="K2741" i="1"/>
  <c r="K2725" i="1"/>
  <c r="K2709" i="1"/>
  <c r="K2693" i="1"/>
  <c r="K2677" i="1"/>
  <c r="K2661" i="1"/>
  <c r="K2645" i="1"/>
  <c r="K2629" i="1"/>
  <c r="K2613" i="1"/>
  <c r="K2597" i="1"/>
  <c r="K2581" i="1"/>
  <c r="K2565" i="1"/>
  <c r="K2549" i="1"/>
  <c r="K2533" i="1"/>
  <c r="K2517" i="1"/>
  <c r="K2493" i="1"/>
  <c r="K2467" i="1"/>
  <c r="K2416" i="1"/>
  <c r="K2390" i="1"/>
  <c r="K2365" i="1"/>
  <c r="K2339" i="1"/>
  <c r="K2288" i="1"/>
  <c r="K2262" i="1"/>
  <c r="K1840" i="1"/>
  <c r="K1776" i="1"/>
  <c r="K1712" i="1"/>
  <c r="K1644" i="1"/>
  <c r="K1541" i="1"/>
  <c r="K1439" i="1"/>
  <c r="K1227" i="1"/>
  <c r="K3082" i="1"/>
  <c r="K3074" i="1"/>
  <c r="K3066" i="1"/>
  <c r="K3058" i="1"/>
  <c r="K3050" i="1"/>
  <c r="K3042" i="1"/>
  <c r="K3034" i="1"/>
  <c r="K3026" i="1"/>
  <c r="K3018" i="1"/>
  <c r="K3010" i="1"/>
  <c r="K3002" i="1"/>
  <c r="K2994" i="1"/>
  <c r="K2990" i="1"/>
  <c r="K2982" i="1"/>
  <c r="K2978" i="1"/>
  <c r="K2974" i="1"/>
  <c r="K2970" i="1"/>
  <c r="K2966" i="1"/>
  <c r="K2962" i="1"/>
  <c r="K2954" i="1"/>
  <c r="K2950" i="1"/>
  <c r="K2946" i="1"/>
  <c r="K2942" i="1"/>
  <c r="K2938" i="1"/>
  <c r="K2934" i="1"/>
  <c r="K2930" i="1"/>
  <c r="K2926" i="1"/>
  <c r="K2922" i="1"/>
  <c r="K2918" i="1"/>
  <c r="K2914" i="1"/>
  <c r="K2910" i="1"/>
  <c r="K2906" i="1"/>
  <c r="K2902" i="1"/>
  <c r="K2898" i="1"/>
  <c r="K2894" i="1"/>
  <c r="K2890" i="1"/>
  <c r="K2886" i="1"/>
  <c r="K2882" i="1"/>
  <c r="K2878" i="1"/>
  <c r="K2874" i="1"/>
  <c r="K2870" i="1"/>
  <c r="K2866" i="1"/>
  <c r="K2862" i="1"/>
  <c r="K2858" i="1"/>
  <c r="K2854" i="1"/>
  <c r="K2850" i="1"/>
  <c r="K2846" i="1"/>
  <c r="K2842" i="1"/>
  <c r="K2838" i="1"/>
  <c r="K2834" i="1"/>
  <c r="K2830" i="1"/>
  <c r="K2826" i="1"/>
  <c r="K2822" i="1"/>
  <c r="K2818" i="1"/>
  <c r="K2814" i="1"/>
  <c r="K2810" i="1"/>
  <c r="K2806" i="1"/>
  <c r="K2802" i="1"/>
  <c r="K2798" i="1"/>
  <c r="K2794" i="1"/>
  <c r="K2790" i="1"/>
  <c r="K2786" i="1"/>
  <c r="K2782" i="1"/>
  <c r="K2778" i="1"/>
  <c r="K2774" i="1"/>
  <c r="K2770" i="1"/>
  <c r="K2766" i="1"/>
  <c r="K2762" i="1"/>
  <c r="K2758" i="1"/>
  <c r="K2754" i="1"/>
  <c r="K2750" i="1"/>
  <c r="K2746" i="1"/>
  <c r="K2742" i="1"/>
  <c r="K2738" i="1"/>
  <c r="K2734" i="1"/>
  <c r="K2730" i="1"/>
  <c r="K2726" i="1"/>
  <c r="K2722" i="1"/>
  <c r="K2718" i="1"/>
  <c r="K2714" i="1"/>
  <c r="K2710" i="1"/>
  <c r="K2706" i="1"/>
  <c r="K2702" i="1"/>
  <c r="K2698" i="1"/>
  <c r="K2694" i="1"/>
  <c r="K2690" i="1"/>
  <c r="K2686" i="1"/>
  <c r="K2682" i="1"/>
  <c r="K2678" i="1"/>
  <c r="K2674" i="1"/>
  <c r="K2670" i="1"/>
  <c r="K2666" i="1"/>
  <c r="K2662" i="1"/>
  <c r="K2658" i="1"/>
  <c r="K2654" i="1"/>
  <c r="K2650" i="1"/>
  <c r="K2646" i="1"/>
  <c r="K2642" i="1"/>
  <c r="K2638" i="1"/>
  <c r="K2634" i="1"/>
  <c r="K2630" i="1"/>
  <c r="K2626" i="1"/>
  <c r="K2622" i="1"/>
  <c r="K2618" i="1"/>
  <c r="K2614" i="1"/>
  <c r="K2610" i="1"/>
  <c r="K2606" i="1"/>
  <c r="K2602" i="1"/>
  <c r="K2598" i="1"/>
  <c r="K2594" i="1"/>
  <c r="K2590" i="1"/>
  <c r="K2586" i="1"/>
  <c r="K2582" i="1"/>
  <c r="K2578" i="1"/>
  <c r="K2574" i="1"/>
  <c r="K2570" i="1"/>
  <c r="K2566" i="1"/>
  <c r="K2562" i="1"/>
  <c r="K2558" i="1"/>
  <c r="K2554" i="1"/>
  <c r="K2550" i="1"/>
  <c r="K2546" i="1"/>
  <c r="K2542" i="1"/>
  <c r="K2538" i="1"/>
  <c r="K2534" i="1"/>
  <c r="K2530" i="1"/>
  <c r="K2526" i="1"/>
  <c r="K2522" i="1"/>
  <c r="K2518" i="1"/>
  <c r="K2507" i="1"/>
  <c r="K2501" i="1"/>
  <c r="K2494" i="1"/>
  <c r="K2488" i="1"/>
  <c r="K2475" i="1"/>
  <c r="K2469" i="1"/>
  <c r="K2462" i="1"/>
  <c r="K2456" i="1"/>
  <c r="K2443" i="1"/>
  <c r="K2437" i="1"/>
  <c r="K2430" i="1"/>
  <c r="K2424" i="1"/>
  <c r="K2411" i="1"/>
  <c r="K2405" i="1"/>
  <c r="K2398" i="1"/>
  <c r="K2392" i="1"/>
  <c r="K2379" i="1"/>
  <c r="K2373" i="1"/>
  <c r="K2366" i="1"/>
  <c r="K2360" i="1"/>
  <c r="K2347" i="1"/>
  <c r="K2341" i="1"/>
  <c r="K2334" i="1"/>
  <c r="K2328" i="1"/>
  <c r="K2315" i="1"/>
  <c r="K2309" i="1"/>
  <c r="K2302" i="1"/>
  <c r="K2296" i="1"/>
  <c r="K2283" i="1"/>
  <c r="K2277" i="1"/>
  <c r="K2270" i="1"/>
  <c r="K2264" i="1"/>
  <c r="K2251" i="1"/>
  <c r="K2243" i="1"/>
  <c r="K2235" i="1"/>
  <c r="K2227" i="1"/>
  <c r="K2219" i="1"/>
  <c r="K2211" i="1"/>
  <c r="K2203" i="1"/>
  <c r="K2195" i="1"/>
  <c r="K2187" i="1"/>
  <c r="K2179" i="1"/>
  <c r="K2171" i="1"/>
  <c r="K2163" i="1"/>
  <c r="K2155" i="1"/>
  <c r="K2147" i="1"/>
  <c r="K2139" i="1"/>
  <c r="K2131" i="1"/>
  <c r="K2123" i="1"/>
  <c r="K2115" i="1"/>
  <c r="K2107" i="1"/>
  <c r="K2099" i="1"/>
  <c r="K2091" i="1"/>
  <c r="K2083" i="1"/>
  <c r="K2075" i="1"/>
  <c r="K2067" i="1"/>
  <c r="K2059" i="1"/>
  <c r="K2051" i="1"/>
  <c r="K2043" i="1"/>
  <c r="K2035" i="1"/>
  <c r="K2027" i="1"/>
  <c r="K2019" i="1"/>
  <c r="K2011" i="1"/>
  <c r="K2003" i="1"/>
  <c r="K1995" i="1"/>
  <c r="K1987" i="1"/>
  <c r="K1979" i="1"/>
  <c r="K1971" i="1"/>
  <c r="K1963" i="1"/>
  <c r="K1955" i="1"/>
  <c r="K1947" i="1"/>
  <c r="K1939" i="1"/>
  <c r="K1931" i="1"/>
  <c r="K1923" i="1"/>
  <c r="K1915" i="1"/>
  <c r="K1907" i="1"/>
  <c r="K1899" i="1"/>
  <c r="K1891" i="1"/>
  <c r="K1883" i="1"/>
  <c r="K1875" i="1"/>
  <c r="K1867" i="1"/>
  <c r="K1844" i="1"/>
  <c r="K1828" i="1"/>
  <c r="K1812" i="1"/>
  <c r="K1796" i="1"/>
  <c r="K1780" i="1"/>
  <c r="K1764" i="1"/>
  <c r="K1748" i="1"/>
  <c r="K1732" i="1"/>
  <c r="K1716" i="1"/>
  <c r="K1700" i="1"/>
  <c r="K1684" i="1"/>
  <c r="K1668" i="1"/>
  <c r="K1650" i="1"/>
  <c r="K1599" i="1"/>
  <c r="K1573" i="1"/>
  <c r="K1548" i="1"/>
  <c r="K1522" i="1"/>
  <c r="K1471" i="1"/>
  <c r="K1445" i="1"/>
  <c r="K1414" i="1"/>
  <c r="K1371" i="1"/>
  <c r="K1307" i="1"/>
  <c r="K1243" i="1"/>
  <c r="K1179" i="1"/>
  <c r="K1092" i="1"/>
  <c r="K989" i="1"/>
  <c r="K767" i="1"/>
  <c r="K3094" i="1"/>
  <c r="K3086" i="1"/>
  <c r="K3078" i="1"/>
  <c r="K3070" i="1"/>
  <c r="K3062" i="1"/>
  <c r="K3054" i="1"/>
  <c r="K3046" i="1"/>
  <c r="K3038" i="1"/>
  <c r="K3030" i="1"/>
  <c r="K3022" i="1"/>
  <c r="K3014" i="1"/>
  <c r="K3006" i="1"/>
  <c r="K2998" i="1"/>
  <c r="K2986" i="1"/>
  <c r="K2958" i="1"/>
  <c r="K2513" i="1"/>
  <c r="K2506" i="1"/>
  <c r="K2500" i="1"/>
  <c r="K2487" i="1"/>
  <c r="K2481" i="1"/>
  <c r="K2474" i="1"/>
  <c r="K2468" i="1"/>
  <c r="K2455" i="1"/>
  <c r="K2449" i="1"/>
  <c r="K2442" i="1"/>
  <c r="K2436" i="1"/>
  <c r="K2423" i="1"/>
  <c r="K2417" i="1"/>
  <c r="K2410" i="1"/>
  <c r="K2404" i="1"/>
  <c r="K2391" i="1"/>
  <c r="K2385" i="1"/>
  <c r="K2378" i="1"/>
  <c r="K2372" i="1"/>
  <c r="K2359" i="1"/>
  <c r="K2353" i="1"/>
  <c r="K2346" i="1"/>
  <c r="K2340" i="1"/>
  <c r="K2327" i="1"/>
  <c r="K2321" i="1"/>
  <c r="K2314" i="1"/>
  <c r="K2308" i="1"/>
  <c r="K2295" i="1"/>
  <c r="K2289" i="1"/>
  <c r="K2282" i="1"/>
  <c r="K2276" i="1"/>
  <c r="K2263" i="1"/>
  <c r="K2257" i="1"/>
  <c r="K2250" i="1"/>
  <c r="K2242" i="1"/>
  <c r="K2234" i="1"/>
  <c r="K2226" i="1"/>
  <c r="K2218" i="1"/>
  <c r="K2210" i="1"/>
  <c r="K2202" i="1"/>
  <c r="K2194" i="1"/>
  <c r="K2186" i="1"/>
  <c r="K2178" i="1"/>
  <c r="K2170" i="1"/>
  <c r="K2162" i="1"/>
  <c r="K2154" i="1"/>
  <c r="K2146" i="1"/>
  <c r="K2138" i="1"/>
  <c r="K2130" i="1"/>
  <c r="K2122" i="1"/>
  <c r="K2114" i="1"/>
  <c r="K2106" i="1"/>
  <c r="K2098" i="1"/>
  <c r="K2090" i="1"/>
  <c r="K2082" i="1"/>
  <c r="K2074" i="1"/>
  <c r="K2066" i="1"/>
  <c r="K2058" i="1"/>
  <c r="K2050" i="1"/>
  <c r="K2042" i="1"/>
  <c r="K2034" i="1"/>
  <c r="K2026" i="1"/>
  <c r="K2018" i="1"/>
  <c r="K2010" i="1"/>
  <c r="K2002" i="1"/>
  <c r="K1994" i="1"/>
  <c r="K1986" i="1"/>
  <c r="K1978" i="1"/>
  <c r="K1970" i="1"/>
  <c r="K1962" i="1"/>
  <c r="K1954" i="1"/>
  <c r="K1946" i="1"/>
  <c r="K1938" i="1"/>
  <c r="K1930" i="1"/>
  <c r="K1922" i="1"/>
  <c r="K1914" i="1"/>
  <c r="K1906" i="1"/>
  <c r="K1898" i="1"/>
  <c r="K1890" i="1"/>
  <c r="K1882" i="1"/>
  <c r="K1874" i="1"/>
  <c r="K1866" i="1"/>
  <c r="K1856" i="1"/>
  <c r="K1646" i="1"/>
  <c r="K1595" i="1"/>
  <c r="K1569" i="1"/>
  <c r="K1544" i="1"/>
  <c r="K1518" i="1"/>
  <c r="K1467" i="1"/>
  <c r="K1441" i="1"/>
  <c r="K1407" i="1"/>
  <c r="K1075" i="1"/>
  <c r="K967" i="1"/>
  <c r="K720" i="1"/>
  <c r="K2511" i="1"/>
  <c r="K2505" i="1"/>
  <c r="K2498" i="1"/>
  <c r="K2492" i="1"/>
  <c r="K2479" i="1"/>
  <c r="K2473" i="1"/>
  <c r="K2466" i="1"/>
  <c r="K2460" i="1"/>
  <c r="K2447" i="1"/>
  <c r="K2441" i="1"/>
  <c r="K2434" i="1"/>
  <c r="K2428" i="1"/>
  <c r="K2415" i="1"/>
  <c r="K2409" i="1"/>
  <c r="K2402" i="1"/>
  <c r="K2396" i="1"/>
  <c r="K2383" i="1"/>
  <c r="K2377" i="1"/>
  <c r="K2370" i="1"/>
  <c r="K2364" i="1"/>
  <c r="K2351" i="1"/>
  <c r="K2345" i="1"/>
  <c r="K2338" i="1"/>
  <c r="K2332" i="1"/>
  <c r="K2319" i="1"/>
  <c r="K2313" i="1"/>
  <c r="K2306" i="1"/>
  <c r="K2300" i="1"/>
  <c r="K2287" i="1"/>
  <c r="K2281" i="1"/>
  <c r="K2274" i="1"/>
  <c r="K2268" i="1"/>
  <c r="K2255" i="1"/>
  <c r="K2248" i="1"/>
  <c r="K2240" i="1"/>
  <c r="K2232" i="1"/>
  <c r="K2224" i="1"/>
  <c r="K2216" i="1"/>
  <c r="K2208" i="1"/>
  <c r="K2200" i="1"/>
  <c r="K2192" i="1"/>
  <c r="K2184" i="1"/>
  <c r="K2176" i="1"/>
  <c r="K2168" i="1"/>
  <c r="K2160" i="1"/>
  <c r="K2152" i="1"/>
  <c r="K2144" i="1"/>
  <c r="K2136" i="1"/>
  <c r="K2128" i="1"/>
  <c r="K2120" i="1"/>
  <c r="K2112" i="1"/>
  <c r="K2104" i="1"/>
  <c r="K2096" i="1"/>
  <c r="K2088" i="1"/>
  <c r="K2080" i="1"/>
  <c r="K2072" i="1"/>
  <c r="K2064" i="1"/>
  <c r="K2056" i="1"/>
  <c r="K2048" i="1"/>
  <c r="K2040" i="1"/>
  <c r="K2032" i="1"/>
  <c r="K2024" i="1"/>
  <c r="K2016" i="1"/>
  <c r="K2008" i="1"/>
  <c r="K2000" i="1"/>
  <c r="K1992" i="1"/>
  <c r="K1984" i="1"/>
  <c r="K1976" i="1"/>
  <c r="K1968" i="1"/>
  <c r="K1960" i="1"/>
  <c r="K1952" i="1"/>
  <c r="K1944" i="1"/>
  <c r="K1936" i="1"/>
  <c r="K1928" i="1"/>
  <c r="K1920" i="1"/>
  <c r="K1912" i="1"/>
  <c r="K1904" i="1"/>
  <c r="K1896" i="1"/>
  <c r="K1888" i="1"/>
  <c r="K1880" i="1"/>
  <c r="K1872" i="1"/>
  <c r="K1864" i="1"/>
  <c r="K1640" i="1"/>
  <c r="K1614" i="1"/>
  <c r="K1563" i="1"/>
  <c r="K1537" i="1"/>
  <c r="K1512" i="1"/>
  <c r="K1486" i="1"/>
  <c r="K1434" i="1"/>
  <c r="K1152" i="1"/>
  <c r="K1049" i="1"/>
  <c r="K629" i="1"/>
  <c r="K2792" i="1"/>
  <c r="K2780" i="1"/>
  <c r="K2772" i="1"/>
  <c r="K2768" i="1"/>
  <c r="K2760" i="1"/>
  <c r="K2756" i="1"/>
  <c r="K2748" i="1"/>
  <c r="K2744" i="1"/>
  <c r="K2740" i="1"/>
  <c r="K2736" i="1"/>
  <c r="K2732" i="1"/>
  <c r="K2728" i="1"/>
  <c r="K2724" i="1"/>
  <c r="K2720" i="1"/>
  <c r="K2716" i="1"/>
  <c r="K2712" i="1"/>
  <c r="K2708" i="1"/>
  <c r="K2704" i="1"/>
  <c r="K2700" i="1"/>
  <c r="K2696" i="1"/>
  <c r="K2692" i="1"/>
  <c r="K2688" i="1"/>
  <c r="K2684" i="1"/>
  <c r="K2680" i="1"/>
  <c r="K2676" i="1"/>
  <c r="K2672" i="1"/>
  <c r="K2668" i="1"/>
  <c r="K2660" i="1"/>
  <c r="K2656" i="1"/>
  <c r="K2652" i="1"/>
  <c r="K2648" i="1"/>
  <c r="K2644" i="1"/>
  <c r="K2640" i="1"/>
  <c r="K2636" i="1"/>
  <c r="K2632" i="1"/>
  <c r="K2628" i="1"/>
  <c r="K2624" i="1"/>
  <c r="K2620" i="1"/>
  <c r="K2616" i="1"/>
  <c r="K2612" i="1"/>
  <c r="K2608" i="1"/>
  <c r="K2604" i="1"/>
  <c r="K2600" i="1"/>
  <c r="K2596" i="1"/>
  <c r="K2592" i="1"/>
  <c r="K2588" i="1"/>
  <c r="K2584" i="1"/>
  <c r="K2580" i="1"/>
  <c r="K2576" i="1"/>
  <c r="K2572" i="1"/>
  <c r="K2568" i="1"/>
  <c r="K2564" i="1"/>
  <c r="K2560" i="1"/>
  <c r="K2556" i="1"/>
  <c r="K2552" i="1"/>
  <c r="K2548" i="1"/>
  <c r="K2544" i="1"/>
  <c r="K2540" i="1"/>
  <c r="K2536" i="1"/>
  <c r="K2532" i="1"/>
  <c r="K2528" i="1"/>
  <c r="K2524" i="1"/>
  <c r="K2520" i="1"/>
  <c r="K2516" i="1"/>
  <c r="K2510" i="1"/>
  <c r="K2504" i="1"/>
  <c r="K2491" i="1"/>
  <c r="K2485" i="1"/>
  <c r="K2478" i="1"/>
  <c r="K2472" i="1"/>
  <c r="K2459" i="1"/>
  <c r="K2453" i="1"/>
  <c r="K2446" i="1"/>
  <c r="K2440" i="1"/>
  <c r="K2427" i="1"/>
  <c r="K2421" i="1"/>
  <c r="K2414" i="1"/>
  <c r="K2408" i="1"/>
  <c r="K2395" i="1"/>
  <c r="K2389" i="1"/>
  <c r="K2382" i="1"/>
  <c r="K2376" i="1"/>
  <c r="K2363" i="1"/>
  <c r="K2357" i="1"/>
  <c r="K2350" i="1"/>
  <c r="K2344" i="1"/>
  <c r="K2331" i="1"/>
  <c r="K2325" i="1"/>
  <c r="K2318" i="1"/>
  <c r="K2312" i="1"/>
  <c r="K2299" i="1"/>
  <c r="K2293" i="1"/>
  <c r="K2286" i="1"/>
  <c r="K2280" i="1"/>
  <c r="K2267" i="1"/>
  <c r="K2261" i="1"/>
  <c r="K2254" i="1"/>
  <c r="K2247" i="1"/>
  <c r="K2239" i="1"/>
  <c r="K2231" i="1"/>
  <c r="K2223" i="1"/>
  <c r="K2215" i="1"/>
  <c r="K2207" i="1"/>
  <c r="K2199" i="1"/>
  <c r="K2191" i="1"/>
  <c r="K2183" i="1"/>
  <c r="K2175" i="1"/>
  <c r="K2167" i="1"/>
  <c r="K2159" i="1"/>
  <c r="K2151" i="1"/>
  <c r="K2143" i="1"/>
  <c r="K2135" i="1"/>
  <c r="K2127" i="1"/>
  <c r="K2119" i="1"/>
  <c r="K2111" i="1"/>
  <c r="K2103" i="1"/>
  <c r="K2095" i="1"/>
  <c r="K2087" i="1"/>
  <c r="K2079" i="1"/>
  <c r="K2071" i="1"/>
  <c r="K2063" i="1"/>
  <c r="K2055" i="1"/>
  <c r="K2047" i="1"/>
  <c r="K2039" i="1"/>
  <c r="K2031" i="1"/>
  <c r="K2023" i="1"/>
  <c r="K2015" i="1"/>
  <c r="K2007" i="1"/>
  <c r="K1999" i="1"/>
  <c r="K1991" i="1"/>
  <c r="K1983" i="1"/>
  <c r="K1975" i="1"/>
  <c r="K1967" i="1"/>
  <c r="K1959" i="1"/>
  <c r="K1951" i="1"/>
  <c r="K1943" i="1"/>
  <c r="K1935" i="1"/>
  <c r="K1927" i="1"/>
  <c r="K1919" i="1"/>
  <c r="K1911" i="1"/>
  <c r="K1903" i="1"/>
  <c r="K1895" i="1"/>
  <c r="K1887" i="1"/>
  <c r="K1879" i="1"/>
  <c r="K1871" i="1"/>
  <c r="K1863" i="1"/>
  <c r="K1852" i="1"/>
  <c r="K1836" i="1"/>
  <c r="K1820" i="1"/>
  <c r="K1804" i="1"/>
  <c r="K1788" i="1"/>
  <c r="K1772" i="1"/>
  <c r="K1756" i="1"/>
  <c r="K1740" i="1"/>
  <c r="K1724" i="1"/>
  <c r="K1708" i="1"/>
  <c r="K1692" i="1"/>
  <c r="K1676" i="1"/>
  <c r="K1660" i="1"/>
  <c r="K1637" i="1"/>
  <c r="K1612" i="1"/>
  <c r="K1586" i="1"/>
  <c r="K1535" i="1"/>
  <c r="K1509" i="1"/>
  <c r="K1484" i="1"/>
  <c r="K1458" i="1"/>
  <c r="K1431" i="1"/>
  <c r="K1339" i="1"/>
  <c r="K1275" i="1"/>
  <c r="K1211" i="1"/>
  <c r="K1143" i="1"/>
  <c r="K895" i="1"/>
  <c r="K2788" i="1"/>
  <c r="K2784" i="1"/>
  <c r="K2776" i="1"/>
  <c r="K2764" i="1"/>
  <c r="K2752" i="1"/>
  <c r="K2664" i="1"/>
  <c r="K2503" i="1"/>
  <c r="K2497" i="1"/>
  <c r="K2490" i="1"/>
  <c r="K2484" i="1"/>
  <c r="K2471" i="1"/>
  <c r="K2465" i="1"/>
  <c r="K2458" i="1"/>
  <c r="K2452" i="1"/>
  <c r="K2439" i="1"/>
  <c r="K2433" i="1"/>
  <c r="K2426" i="1"/>
  <c r="K2420" i="1"/>
  <c r="K2407" i="1"/>
  <c r="K2401" i="1"/>
  <c r="K2394" i="1"/>
  <c r="K2388" i="1"/>
  <c r="K2375" i="1"/>
  <c r="K2369" i="1"/>
  <c r="K2362" i="1"/>
  <c r="K2356" i="1"/>
  <c r="K2343" i="1"/>
  <c r="K2337" i="1"/>
  <c r="K2330" i="1"/>
  <c r="K2324" i="1"/>
  <c r="K2311" i="1"/>
  <c r="K2305" i="1"/>
  <c r="K2298" i="1"/>
  <c r="K2292" i="1"/>
  <c r="K2279" i="1"/>
  <c r="K2273" i="1"/>
  <c r="K2266" i="1"/>
  <c r="K2260" i="1"/>
  <c r="K2246" i="1"/>
  <c r="K2238" i="1"/>
  <c r="K2230" i="1"/>
  <c r="K2222" i="1"/>
  <c r="K2214" i="1"/>
  <c r="K2206" i="1"/>
  <c r="K2198" i="1"/>
  <c r="K2190" i="1"/>
  <c r="K2182" i="1"/>
  <c r="K2174" i="1"/>
  <c r="K2166" i="1"/>
  <c r="K2158" i="1"/>
  <c r="K2150" i="1"/>
  <c r="K2142" i="1"/>
  <c r="K2134" i="1"/>
  <c r="K2126" i="1"/>
  <c r="K2118" i="1"/>
  <c r="K2110" i="1"/>
  <c r="K2102" i="1"/>
  <c r="K2094" i="1"/>
  <c r="K2086" i="1"/>
  <c r="K2078" i="1"/>
  <c r="K2070" i="1"/>
  <c r="K2062" i="1"/>
  <c r="K2054" i="1"/>
  <c r="K2046" i="1"/>
  <c r="K2038" i="1"/>
  <c r="K2030" i="1"/>
  <c r="K2022" i="1"/>
  <c r="K2014" i="1"/>
  <c r="K2006" i="1"/>
  <c r="K1998" i="1"/>
  <c r="K1990" i="1"/>
  <c r="K1982" i="1"/>
  <c r="K1974" i="1"/>
  <c r="K1966" i="1"/>
  <c r="K1958" i="1"/>
  <c r="K1950" i="1"/>
  <c r="K1942" i="1"/>
  <c r="K1934" i="1"/>
  <c r="K1926" i="1"/>
  <c r="K1918" i="1"/>
  <c r="K1910" i="1"/>
  <c r="K1902" i="1"/>
  <c r="K1894" i="1"/>
  <c r="K1886" i="1"/>
  <c r="K1878" i="1"/>
  <c r="K1870" i="1"/>
  <c r="K1633" i="1"/>
  <c r="K1608" i="1"/>
  <c r="K1582" i="1"/>
  <c r="K1531" i="1"/>
  <c r="K1505" i="1"/>
  <c r="K1480" i="1"/>
  <c r="K1454" i="1"/>
  <c r="K1426" i="1"/>
  <c r="K1386" i="1"/>
  <c r="K1126" i="1"/>
  <c r="K1024" i="1"/>
  <c r="K484" i="1"/>
  <c r="K2863" i="1"/>
  <c r="K2859" i="1"/>
  <c r="K2855" i="1"/>
  <c r="K2851" i="1"/>
  <c r="K2847" i="1"/>
  <c r="K2843" i="1"/>
  <c r="K2839" i="1"/>
  <c r="K2835" i="1"/>
  <c r="K2831" i="1"/>
  <c r="K2827" i="1"/>
  <c r="K2823" i="1"/>
  <c r="K2819" i="1"/>
  <c r="K2815" i="1"/>
  <c r="K2811" i="1"/>
  <c r="K2807" i="1"/>
  <c r="K2803" i="1"/>
  <c r="K2799" i="1"/>
  <c r="K2795" i="1"/>
  <c r="K2791" i="1"/>
  <c r="K2787" i="1"/>
  <c r="K2783" i="1"/>
  <c r="K2779" i="1"/>
  <c r="K2775" i="1"/>
  <c r="K2771" i="1"/>
  <c r="K2767" i="1"/>
  <c r="K2763" i="1"/>
  <c r="K2759" i="1"/>
  <c r="K2755" i="1"/>
  <c r="K2751" i="1"/>
  <c r="K2747" i="1"/>
  <c r="K2743" i="1"/>
  <c r="K2739" i="1"/>
  <c r="K2735" i="1"/>
  <c r="K2731" i="1"/>
  <c r="K2727" i="1"/>
  <c r="K2723" i="1"/>
  <c r="K2719" i="1"/>
  <c r="K2715" i="1"/>
  <c r="K2711" i="1"/>
  <c r="K2707" i="1"/>
  <c r="K2703" i="1"/>
  <c r="K2699" i="1"/>
  <c r="K2695" i="1"/>
  <c r="K2691" i="1"/>
  <c r="K2687" i="1"/>
  <c r="K2683" i="1"/>
  <c r="K2679" i="1"/>
  <c r="K2675" i="1"/>
  <c r="K2671" i="1"/>
  <c r="K2667" i="1"/>
  <c r="K2663" i="1"/>
  <c r="K2659" i="1"/>
  <c r="K2655" i="1"/>
  <c r="K2651" i="1"/>
  <c r="K2647" i="1"/>
  <c r="K2643" i="1"/>
  <c r="K2639" i="1"/>
  <c r="K2635" i="1"/>
  <c r="K2631" i="1"/>
  <c r="K2627" i="1"/>
  <c r="K2623" i="1"/>
  <c r="K2619" i="1"/>
  <c r="K2615" i="1"/>
  <c r="K2611" i="1"/>
  <c r="K2607" i="1"/>
  <c r="K2603" i="1"/>
  <c r="K2599" i="1"/>
  <c r="K2595" i="1"/>
  <c r="K2591" i="1"/>
  <c r="K2587" i="1"/>
  <c r="K2583" i="1"/>
  <c r="K2579" i="1"/>
  <c r="K2575" i="1"/>
  <c r="K2571" i="1"/>
  <c r="K2567" i="1"/>
  <c r="K2563" i="1"/>
  <c r="K2559" i="1"/>
  <c r="K2555" i="1"/>
  <c r="K2551" i="1"/>
  <c r="K2547" i="1"/>
  <c r="K2543" i="1"/>
  <c r="K2539" i="1"/>
  <c r="K2535" i="1"/>
  <c r="K2531" i="1"/>
  <c r="K2527" i="1"/>
  <c r="K2523" i="1"/>
  <c r="K2519" i="1"/>
  <c r="K2515" i="1"/>
  <c r="K2509" i="1"/>
  <c r="K2502" i="1"/>
  <c r="K2496" i="1"/>
  <c r="K2483" i="1"/>
  <c r="K2477" i="1"/>
  <c r="K2470" i="1"/>
  <c r="K2464" i="1"/>
  <c r="K2451" i="1"/>
  <c r="K2445" i="1"/>
  <c r="K2438" i="1"/>
  <c r="K2432" i="1"/>
  <c r="K2419" i="1"/>
  <c r="K2413" i="1"/>
  <c r="K2406" i="1"/>
  <c r="K2400" i="1"/>
  <c r="K2387" i="1"/>
  <c r="K2381" i="1"/>
  <c r="K2374" i="1"/>
  <c r="K2368" i="1"/>
  <c r="K2355" i="1"/>
  <c r="K2349" i="1"/>
  <c r="K2342" i="1"/>
  <c r="K2336" i="1"/>
  <c r="K2323" i="1"/>
  <c r="K2317" i="1"/>
  <c r="K2310" i="1"/>
  <c r="K2304" i="1"/>
  <c r="K2291" i="1"/>
  <c r="K2285" i="1"/>
  <c r="K2278" i="1"/>
  <c r="K2272" i="1"/>
  <c r="K2259" i="1"/>
  <c r="K2253" i="1"/>
  <c r="K1860" i="1"/>
  <c r="K1848" i="1"/>
  <c r="K1832" i="1"/>
  <c r="K1816" i="1"/>
  <c r="K1800" i="1"/>
  <c r="K1784" i="1"/>
  <c r="K1768" i="1"/>
  <c r="K1752" i="1"/>
  <c r="K1736" i="1"/>
  <c r="K1720" i="1"/>
  <c r="K1704" i="1"/>
  <c r="K1688" i="1"/>
  <c r="K1672" i="1"/>
  <c r="K1656" i="1"/>
  <c r="K1631" i="1"/>
  <c r="K1605" i="1"/>
  <c r="K1580" i="1"/>
  <c r="K1554" i="1"/>
  <c r="K1503" i="1"/>
  <c r="K1477" i="1"/>
  <c r="K1452" i="1"/>
  <c r="K1423" i="1"/>
  <c r="K1382" i="1"/>
  <c r="K1323" i="1"/>
  <c r="K1259" i="1"/>
  <c r="K1195" i="1"/>
  <c r="K1117" i="1"/>
  <c r="K1015" i="1"/>
  <c r="K831" i="1"/>
  <c r="K2249" i="1"/>
  <c r="K2245" i="1"/>
  <c r="K2241" i="1"/>
  <c r="K2237" i="1"/>
  <c r="K2233" i="1"/>
  <c r="K2229" i="1"/>
  <c r="K2225" i="1"/>
  <c r="K2221" i="1"/>
  <c r="K2217" i="1"/>
  <c r="K2213" i="1"/>
  <c r="K2209" i="1"/>
  <c r="K2205" i="1"/>
  <c r="K2201" i="1"/>
  <c r="K2197" i="1"/>
  <c r="K2193" i="1"/>
  <c r="K2189" i="1"/>
  <c r="K2185" i="1"/>
  <c r="K2181" i="1"/>
  <c r="K2177" i="1"/>
  <c r="K2173" i="1"/>
  <c r="K2169" i="1"/>
  <c r="K2165" i="1"/>
  <c r="K2161" i="1"/>
  <c r="K2157" i="1"/>
  <c r="K2153" i="1"/>
  <c r="K2149" i="1"/>
  <c r="K2145" i="1"/>
  <c r="K2141" i="1"/>
  <c r="K2137" i="1"/>
  <c r="K2133" i="1"/>
  <c r="K2129" i="1"/>
  <c r="K2125" i="1"/>
  <c r="K2121" i="1"/>
  <c r="K2117" i="1"/>
  <c r="K2113" i="1"/>
  <c r="K2109" i="1"/>
  <c r="K2105" i="1"/>
  <c r="K2101" i="1"/>
  <c r="K2097" i="1"/>
  <c r="K2093" i="1"/>
  <c r="K2089" i="1"/>
  <c r="K2085" i="1"/>
  <c r="K2081" i="1"/>
  <c r="K2077" i="1"/>
  <c r="K2073" i="1"/>
  <c r="K2069" i="1"/>
  <c r="K2065" i="1"/>
  <c r="K2061" i="1"/>
  <c r="K2057" i="1"/>
  <c r="K2053" i="1"/>
  <c r="K2049" i="1"/>
  <c r="K2045" i="1"/>
  <c r="K2041" i="1"/>
  <c r="K2037" i="1"/>
  <c r="K2033" i="1"/>
  <c r="K2029" i="1"/>
  <c r="K2025" i="1"/>
  <c r="K2021" i="1"/>
  <c r="K2017" i="1"/>
  <c r="K2013" i="1"/>
  <c r="K2009" i="1"/>
  <c r="K2005" i="1"/>
  <c r="K2001" i="1"/>
  <c r="K1997" i="1"/>
  <c r="K1993" i="1"/>
  <c r="K1989" i="1"/>
  <c r="K1985" i="1"/>
  <c r="K1981" i="1"/>
  <c r="K1977" i="1"/>
  <c r="K1973" i="1"/>
  <c r="K1969" i="1"/>
  <c r="K1965" i="1"/>
  <c r="K1961" i="1"/>
  <c r="K1957" i="1"/>
  <c r="K1953" i="1"/>
  <c r="K1949" i="1"/>
  <c r="K1945" i="1"/>
  <c r="K1941" i="1"/>
  <c r="K1937" i="1"/>
  <c r="K1933" i="1"/>
  <c r="K1929" i="1"/>
  <c r="K1925" i="1"/>
  <c r="K1921" i="1"/>
  <c r="K1917" i="1"/>
  <c r="K1913" i="1"/>
  <c r="K1909" i="1"/>
  <c r="K1905" i="1"/>
  <c r="K1901" i="1"/>
  <c r="K1897" i="1"/>
  <c r="K1893" i="1"/>
  <c r="K1889" i="1"/>
  <c r="K1885" i="1"/>
  <c r="K1881" i="1"/>
  <c r="K1877" i="1"/>
  <c r="K1873" i="1"/>
  <c r="K1869" i="1"/>
  <c r="K1865" i="1"/>
  <c r="K1861" i="1"/>
  <c r="K1857" i="1"/>
  <c r="K1853" i="1"/>
  <c r="K1849" i="1"/>
  <c r="K1845" i="1"/>
  <c r="K1841" i="1"/>
  <c r="K1837" i="1"/>
  <c r="K1833" i="1"/>
  <c r="K1829" i="1"/>
  <c r="K1825" i="1"/>
  <c r="K1821" i="1"/>
  <c r="K1817" i="1"/>
  <c r="K1813" i="1"/>
  <c r="K1809" i="1"/>
  <c r="K1805" i="1"/>
  <c r="K1801" i="1"/>
  <c r="K1797" i="1"/>
  <c r="K1793" i="1"/>
  <c r="K1789" i="1"/>
  <c r="K1785" i="1"/>
  <c r="K1781" i="1"/>
  <c r="K1777" i="1"/>
  <c r="K1773" i="1"/>
  <c r="K1769" i="1"/>
  <c r="K1765" i="1"/>
  <c r="K1761" i="1"/>
  <c r="K1757" i="1"/>
  <c r="K1753" i="1"/>
  <c r="K1749" i="1"/>
  <c r="K1745" i="1"/>
  <c r="K1741" i="1"/>
  <c r="K1737" i="1"/>
  <c r="K1733" i="1"/>
  <c r="K1729" i="1"/>
  <c r="K1725" i="1"/>
  <c r="K1721" i="1"/>
  <c r="K1717" i="1"/>
  <c r="K1713" i="1"/>
  <c r="K1709" i="1"/>
  <c r="K1705" i="1"/>
  <c r="K1701" i="1"/>
  <c r="K1697" i="1"/>
  <c r="K1693" i="1"/>
  <c r="K1689" i="1"/>
  <c r="K1685" i="1"/>
  <c r="K1681" i="1"/>
  <c r="K1677" i="1"/>
  <c r="K1673" i="1"/>
  <c r="K1669" i="1"/>
  <c r="K1665" i="1"/>
  <c r="K1661" i="1"/>
  <c r="K1657" i="1"/>
  <c r="K1652" i="1"/>
  <c r="K1645" i="1"/>
  <c r="K1639" i="1"/>
  <c r="K1626" i="1"/>
  <c r="K1620" i="1"/>
  <c r="K1613" i="1"/>
  <c r="K1607" i="1"/>
  <c r="K1594" i="1"/>
  <c r="K1588" i="1"/>
  <c r="K1581" i="1"/>
  <c r="K1575" i="1"/>
  <c r="K1562" i="1"/>
  <c r="K1556" i="1"/>
  <c r="K1549" i="1"/>
  <c r="K1543" i="1"/>
  <c r="K1530" i="1"/>
  <c r="K1524" i="1"/>
  <c r="K1517" i="1"/>
  <c r="K1511" i="1"/>
  <c r="K1498" i="1"/>
  <c r="K1492" i="1"/>
  <c r="K1485" i="1"/>
  <c r="K1479" i="1"/>
  <c r="K1466" i="1"/>
  <c r="K1460" i="1"/>
  <c r="K1453" i="1"/>
  <c r="K1447" i="1"/>
  <c r="K1406" i="1"/>
  <c r="K1395" i="1"/>
  <c r="K1374" i="1"/>
  <c r="K1359" i="1"/>
  <c r="K1343" i="1"/>
  <c r="K1327" i="1"/>
  <c r="K1311" i="1"/>
  <c r="K1295" i="1"/>
  <c r="K1279" i="1"/>
  <c r="K1263" i="1"/>
  <c r="K1247" i="1"/>
  <c r="K1231" i="1"/>
  <c r="K1215" i="1"/>
  <c r="K1199" i="1"/>
  <c r="K1183" i="1"/>
  <c r="K1167" i="1"/>
  <c r="K1149" i="1"/>
  <c r="K1124" i="1"/>
  <c r="K1098" i="1"/>
  <c r="K1047" i="1"/>
  <c r="K1021" i="1"/>
  <c r="K996" i="1"/>
  <c r="K963" i="1"/>
  <c r="K911" i="1"/>
  <c r="K847" i="1"/>
  <c r="K783" i="1"/>
  <c r="K714" i="1"/>
  <c r="K466" i="1"/>
  <c r="K1651" i="1"/>
  <c r="K1638" i="1"/>
  <c r="K1632" i="1"/>
  <c r="K1625" i="1"/>
  <c r="K1619" i="1"/>
  <c r="K1606" i="1"/>
  <c r="K1600" i="1"/>
  <c r="K1593" i="1"/>
  <c r="K1587" i="1"/>
  <c r="K1574" i="1"/>
  <c r="K1568" i="1"/>
  <c r="K1561" i="1"/>
  <c r="K1555" i="1"/>
  <c r="K1542" i="1"/>
  <c r="K1536" i="1"/>
  <c r="K1529" i="1"/>
  <c r="K1523" i="1"/>
  <c r="K1510" i="1"/>
  <c r="K1504" i="1"/>
  <c r="K1497" i="1"/>
  <c r="K1491" i="1"/>
  <c r="K1478" i="1"/>
  <c r="K1472" i="1"/>
  <c r="K1465" i="1"/>
  <c r="K1459" i="1"/>
  <c r="K1446" i="1"/>
  <c r="K1440" i="1"/>
  <c r="K1432" i="1"/>
  <c r="K1424" i="1"/>
  <c r="K1415" i="1"/>
  <c r="K1394" i="1"/>
  <c r="K1383" i="1"/>
  <c r="K1145" i="1"/>
  <c r="K1120" i="1"/>
  <c r="K1094" i="1"/>
  <c r="K1043" i="1"/>
  <c r="K1017" i="1"/>
  <c r="K992" i="1"/>
  <c r="K956" i="1"/>
  <c r="K702" i="1"/>
  <c r="K597" i="1"/>
  <c r="K433" i="1"/>
  <c r="K1655" i="1"/>
  <c r="K1649" i="1"/>
  <c r="K1643" i="1"/>
  <c r="K1630" i="1"/>
  <c r="K1624" i="1"/>
  <c r="K1617" i="1"/>
  <c r="K1611" i="1"/>
  <c r="K1598" i="1"/>
  <c r="K1592" i="1"/>
  <c r="K1585" i="1"/>
  <c r="K1579" i="1"/>
  <c r="K1566" i="1"/>
  <c r="K1560" i="1"/>
  <c r="K1553" i="1"/>
  <c r="K1547" i="1"/>
  <c r="K1534" i="1"/>
  <c r="K1528" i="1"/>
  <c r="K1521" i="1"/>
  <c r="K1515" i="1"/>
  <c r="K1502" i="1"/>
  <c r="K1496" i="1"/>
  <c r="K1489" i="1"/>
  <c r="K1483" i="1"/>
  <c r="K1470" i="1"/>
  <c r="K1464" i="1"/>
  <c r="K1457" i="1"/>
  <c r="K1451" i="1"/>
  <c r="K1438" i="1"/>
  <c r="K1430" i="1"/>
  <c r="K1422" i="1"/>
  <c r="K1402" i="1"/>
  <c r="K1391" i="1"/>
  <c r="K1139" i="1"/>
  <c r="K1113" i="1"/>
  <c r="K1088" i="1"/>
  <c r="K1062" i="1"/>
  <c r="K1011" i="1"/>
  <c r="K565" i="1"/>
  <c r="K380" i="1"/>
  <c r="K1851" i="1"/>
  <c r="K1847" i="1"/>
  <c r="K1843" i="1"/>
  <c r="K1839" i="1"/>
  <c r="K1835" i="1"/>
  <c r="K1831" i="1"/>
  <c r="K1827" i="1"/>
  <c r="K1823" i="1"/>
  <c r="K1819" i="1"/>
  <c r="K1815" i="1"/>
  <c r="K1811" i="1"/>
  <c r="K1807" i="1"/>
  <c r="K1803" i="1"/>
  <c r="K1799" i="1"/>
  <c r="K1795" i="1"/>
  <c r="K1791" i="1"/>
  <c r="K1787" i="1"/>
  <c r="K1783" i="1"/>
  <c r="K1779" i="1"/>
  <c r="K1775" i="1"/>
  <c r="K1771" i="1"/>
  <c r="K1767" i="1"/>
  <c r="K1763" i="1"/>
  <c r="K1759" i="1"/>
  <c r="K1755" i="1"/>
  <c r="K1751" i="1"/>
  <c r="K1747" i="1"/>
  <c r="K1743" i="1"/>
  <c r="K1739" i="1"/>
  <c r="K1735" i="1"/>
  <c r="K1731" i="1"/>
  <c r="K1727" i="1"/>
  <c r="K1723" i="1"/>
  <c r="K1719" i="1"/>
  <c r="K1715" i="1"/>
  <c r="K1711" i="1"/>
  <c r="K1707" i="1"/>
  <c r="K1703" i="1"/>
  <c r="K1699" i="1"/>
  <c r="K1695" i="1"/>
  <c r="K1691" i="1"/>
  <c r="K1687" i="1"/>
  <c r="K1683" i="1"/>
  <c r="K1679" i="1"/>
  <c r="K1675" i="1"/>
  <c r="K1671" i="1"/>
  <c r="K1667" i="1"/>
  <c r="K1663" i="1"/>
  <c r="K1659" i="1"/>
  <c r="K1642" i="1"/>
  <c r="K1636" i="1"/>
  <c r="K1629" i="1"/>
  <c r="K1623" i="1"/>
  <c r="K1610" i="1"/>
  <c r="K1604" i="1"/>
  <c r="K1597" i="1"/>
  <c r="K1591" i="1"/>
  <c r="K1578" i="1"/>
  <c r="K1572" i="1"/>
  <c r="K1565" i="1"/>
  <c r="K1559" i="1"/>
  <c r="K1546" i="1"/>
  <c r="K1540" i="1"/>
  <c r="K1533" i="1"/>
  <c r="K1527" i="1"/>
  <c r="K1514" i="1"/>
  <c r="K1508" i="1"/>
  <c r="K1501" i="1"/>
  <c r="K1495" i="1"/>
  <c r="K1482" i="1"/>
  <c r="K1476" i="1"/>
  <c r="K1469" i="1"/>
  <c r="K1463" i="1"/>
  <c r="K1450" i="1"/>
  <c r="K1444" i="1"/>
  <c r="K1411" i="1"/>
  <c r="K1390" i="1"/>
  <c r="K1379" i="1"/>
  <c r="K1367" i="1"/>
  <c r="K1351" i="1"/>
  <c r="K1335" i="1"/>
  <c r="K1319" i="1"/>
  <c r="K1303" i="1"/>
  <c r="K1287" i="1"/>
  <c r="K1271" i="1"/>
  <c r="K1255" i="1"/>
  <c r="K1239" i="1"/>
  <c r="K1223" i="1"/>
  <c r="K1207" i="1"/>
  <c r="K1191" i="1"/>
  <c r="K1175" i="1"/>
  <c r="K1159" i="1"/>
  <c r="K1111" i="1"/>
  <c r="K1085" i="1"/>
  <c r="K1060" i="1"/>
  <c r="K1034" i="1"/>
  <c r="K982" i="1"/>
  <c r="K879" i="1"/>
  <c r="K815" i="1"/>
  <c r="K342" i="1"/>
  <c r="K1654" i="1"/>
  <c r="K1648" i="1"/>
  <c r="K1641" i="1"/>
  <c r="K1635" i="1"/>
  <c r="K1622" i="1"/>
  <c r="K1616" i="1"/>
  <c r="K1609" i="1"/>
  <c r="K1603" i="1"/>
  <c r="K1590" i="1"/>
  <c r="K1584" i="1"/>
  <c r="K1577" i="1"/>
  <c r="K1571" i="1"/>
  <c r="K1558" i="1"/>
  <c r="K1552" i="1"/>
  <c r="K1545" i="1"/>
  <c r="K1539" i="1"/>
  <c r="K1526" i="1"/>
  <c r="K1520" i="1"/>
  <c r="K1513" i="1"/>
  <c r="K1507" i="1"/>
  <c r="K1494" i="1"/>
  <c r="K1488" i="1"/>
  <c r="K1481" i="1"/>
  <c r="K1475" i="1"/>
  <c r="K1462" i="1"/>
  <c r="K1456" i="1"/>
  <c r="K1449" i="1"/>
  <c r="K1443" i="1"/>
  <c r="K1436" i="1"/>
  <c r="K1428" i="1"/>
  <c r="K1420" i="1"/>
  <c r="K1410" i="1"/>
  <c r="K1399" i="1"/>
  <c r="K1378" i="1"/>
  <c r="K1107" i="1"/>
  <c r="K1081" i="1"/>
  <c r="K1056" i="1"/>
  <c r="K1030" i="1"/>
  <c r="K657" i="1"/>
  <c r="K529" i="1"/>
  <c r="K1862" i="1"/>
  <c r="K1858" i="1"/>
  <c r="K1854" i="1"/>
  <c r="K1850" i="1"/>
  <c r="K1846" i="1"/>
  <c r="K1842" i="1"/>
  <c r="K1838" i="1"/>
  <c r="K1834" i="1"/>
  <c r="K1830" i="1"/>
  <c r="K1826" i="1"/>
  <c r="K1822" i="1"/>
  <c r="K1818" i="1"/>
  <c r="K1814" i="1"/>
  <c r="K1810" i="1"/>
  <c r="K1806" i="1"/>
  <c r="K1802" i="1"/>
  <c r="K1798" i="1"/>
  <c r="K1794" i="1"/>
  <c r="K1790" i="1"/>
  <c r="K1786" i="1"/>
  <c r="K1782" i="1"/>
  <c r="K1778" i="1"/>
  <c r="K1774" i="1"/>
  <c r="K1770" i="1"/>
  <c r="K1766" i="1"/>
  <c r="K1762" i="1"/>
  <c r="K1758" i="1"/>
  <c r="K1754" i="1"/>
  <c r="K1750" i="1"/>
  <c r="K1746" i="1"/>
  <c r="K1742" i="1"/>
  <c r="K1738" i="1"/>
  <c r="K1734" i="1"/>
  <c r="K1730" i="1"/>
  <c r="K1726" i="1"/>
  <c r="K1722" i="1"/>
  <c r="K1718" i="1"/>
  <c r="K1714" i="1"/>
  <c r="K1710" i="1"/>
  <c r="K1706" i="1"/>
  <c r="K1702" i="1"/>
  <c r="K1698" i="1"/>
  <c r="K1694" i="1"/>
  <c r="K1690" i="1"/>
  <c r="K1686" i="1"/>
  <c r="K1682" i="1"/>
  <c r="K1678" i="1"/>
  <c r="K1674" i="1"/>
  <c r="K1670" i="1"/>
  <c r="K1666" i="1"/>
  <c r="K1662" i="1"/>
  <c r="K1658" i="1"/>
  <c r="K1653" i="1"/>
  <c r="K1647" i="1"/>
  <c r="K1634" i="1"/>
  <c r="K1628" i="1"/>
  <c r="K1621" i="1"/>
  <c r="K1615" i="1"/>
  <c r="K1602" i="1"/>
  <c r="K1596" i="1"/>
  <c r="K1589" i="1"/>
  <c r="K1583" i="1"/>
  <c r="K1570" i="1"/>
  <c r="K1564" i="1"/>
  <c r="K1557" i="1"/>
  <c r="K1551" i="1"/>
  <c r="K1538" i="1"/>
  <c r="K1532" i="1"/>
  <c r="K1525" i="1"/>
  <c r="K1519" i="1"/>
  <c r="K1506" i="1"/>
  <c r="K1500" i="1"/>
  <c r="K1493" i="1"/>
  <c r="K1487" i="1"/>
  <c r="K1474" i="1"/>
  <c r="K1468" i="1"/>
  <c r="K1461" i="1"/>
  <c r="K1455" i="1"/>
  <c r="K1442" i="1"/>
  <c r="K1435" i="1"/>
  <c r="K1427" i="1"/>
  <c r="K1419" i="1"/>
  <c r="K1398" i="1"/>
  <c r="K1387" i="1"/>
  <c r="K1363" i="1"/>
  <c r="K1347" i="1"/>
  <c r="K1331" i="1"/>
  <c r="K1315" i="1"/>
  <c r="K1299" i="1"/>
  <c r="K1283" i="1"/>
  <c r="K1267" i="1"/>
  <c r="K1251" i="1"/>
  <c r="K1235" i="1"/>
  <c r="K1219" i="1"/>
  <c r="K1203" i="1"/>
  <c r="K1187" i="1"/>
  <c r="K1171" i="1"/>
  <c r="K1155" i="1"/>
  <c r="K1130" i="1"/>
  <c r="K1079" i="1"/>
  <c r="K1053" i="1"/>
  <c r="K1028" i="1"/>
  <c r="K1002" i="1"/>
  <c r="K927" i="1"/>
  <c r="K863" i="1"/>
  <c r="K799" i="1"/>
  <c r="K732" i="1"/>
  <c r="K171" i="1"/>
  <c r="K1416" i="1"/>
  <c r="K1412" i="1"/>
  <c r="K1408" i="1"/>
  <c r="K1404" i="1"/>
  <c r="K1400" i="1"/>
  <c r="K1396" i="1"/>
  <c r="K1392" i="1"/>
  <c r="K1388" i="1"/>
  <c r="K1384" i="1"/>
  <c r="K1380" i="1"/>
  <c r="K1376" i="1"/>
  <c r="K1372" i="1"/>
  <c r="K1368" i="1"/>
  <c r="K1364" i="1"/>
  <c r="K1360" i="1"/>
  <c r="K1356" i="1"/>
  <c r="K1352" i="1"/>
  <c r="K1348" i="1"/>
  <c r="K1344" i="1"/>
  <c r="K1340" i="1"/>
  <c r="K1336" i="1"/>
  <c r="K1332" i="1"/>
  <c r="K1328" i="1"/>
  <c r="K1324" i="1"/>
  <c r="K1320" i="1"/>
  <c r="K1316" i="1"/>
  <c r="K1312" i="1"/>
  <c r="K1308" i="1"/>
  <c r="K1304" i="1"/>
  <c r="K1300" i="1"/>
  <c r="K1296" i="1"/>
  <c r="K1292" i="1"/>
  <c r="K1288" i="1"/>
  <c r="K1284" i="1"/>
  <c r="K1280" i="1"/>
  <c r="K1276" i="1"/>
  <c r="K1272" i="1"/>
  <c r="K1268" i="1"/>
  <c r="K1264" i="1"/>
  <c r="K1260" i="1"/>
  <c r="K1256" i="1"/>
  <c r="K1252" i="1"/>
  <c r="K1248" i="1"/>
  <c r="K1244" i="1"/>
  <c r="K1240" i="1"/>
  <c r="K1236" i="1"/>
  <c r="K1232" i="1"/>
  <c r="K1228" i="1"/>
  <c r="K1224" i="1"/>
  <c r="K1220" i="1"/>
  <c r="K1216" i="1"/>
  <c r="K1212" i="1"/>
  <c r="K1208" i="1"/>
  <c r="K1204" i="1"/>
  <c r="K1200" i="1"/>
  <c r="K1196" i="1"/>
  <c r="K1192" i="1"/>
  <c r="K1188" i="1"/>
  <c r="K1184" i="1"/>
  <c r="K1180" i="1"/>
  <c r="K1176" i="1"/>
  <c r="K1172" i="1"/>
  <c r="K1168" i="1"/>
  <c r="K1164" i="1"/>
  <c r="K1160" i="1"/>
  <c r="K1156" i="1"/>
  <c r="K1151" i="1"/>
  <c r="K1138" i="1"/>
  <c r="K1132" i="1"/>
  <c r="K1125" i="1"/>
  <c r="K1119" i="1"/>
  <c r="K1106" i="1"/>
  <c r="K1100" i="1"/>
  <c r="K1093" i="1"/>
  <c r="K1087" i="1"/>
  <c r="K1074" i="1"/>
  <c r="K1068" i="1"/>
  <c r="K1061" i="1"/>
  <c r="K1055" i="1"/>
  <c r="K1042" i="1"/>
  <c r="K1036" i="1"/>
  <c r="K1029" i="1"/>
  <c r="K1023" i="1"/>
  <c r="K1010" i="1"/>
  <c r="K1004" i="1"/>
  <c r="K997" i="1"/>
  <c r="K991" i="1"/>
  <c r="K984" i="1"/>
  <c r="K976" i="1"/>
  <c r="K955" i="1"/>
  <c r="K944" i="1"/>
  <c r="K931" i="1"/>
  <c r="K915" i="1"/>
  <c r="K899" i="1"/>
  <c r="K883" i="1"/>
  <c r="K867" i="1"/>
  <c r="K851" i="1"/>
  <c r="K835" i="1"/>
  <c r="K819" i="1"/>
  <c r="K803" i="1"/>
  <c r="K787" i="1"/>
  <c r="K771" i="1"/>
  <c r="K755" i="1"/>
  <c r="K737" i="1"/>
  <c r="K700" i="1"/>
  <c r="K524" i="1"/>
  <c r="K427" i="1"/>
  <c r="K373" i="1"/>
  <c r="K214" i="1"/>
  <c r="K1150" i="1"/>
  <c r="K1144" i="1"/>
  <c r="K1137" i="1"/>
  <c r="K1131" i="1"/>
  <c r="K1118" i="1"/>
  <c r="K1112" i="1"/>
  <c r="K1105" i="1"/>
  <c r="K1099" i="1"/>
  <c r="K1086" i="1"/>
  <c r="K1080" i="1"/>
  <c r="K1073" i="1"/>
  <c r="K1067" i="1"/>
  <c r="K1054" i="1"/>
  <c r="K1048" i="1"/>
  <c r="K1041" i="1"/>
  <c r="K1035" i="1"/>
  <c r="K1022" i="1"/>
  <c r="K1016" i="1"/>
  <c r="K1009" i="1"/>
  <c r="K1003" i="1"/>
  <c r="K990" i="1"/>
  <c r="K983" i="1"/>
  <c r="K975" i="1"/>
  <c r="K964" i="1"/>
  <c r="K943" i="1"/>
  <c r="K752" i="1"/>
  <c r="K734" i="1"/>
  <c r="K621" i="1"/>
  <c r="K589" i="1"/>
  <c r="K557" i="1"/>
  <c r="K518" i="1"/>
  <c r="K471" i="1"/>
  <c r="K420" i="1"/>
  <c r="K188" i="1"/>
  <c r="K1142" i="1"/>
  <c r="K1136" i="1"/>
  <c r="K1129" i="1"/>
  <c r="K1123" i="1"/>
  <c r="K1110" i="1"/>
  <c r="K1104" i="1"/>
  <c r="K1097" i="1"/>
  <c r="K1091" i="1"/>
  <c r="K1078" i="1"/>
  <c r="K1072" i="1"/>
  <c r="K1065" i="1"/>
  <c r="K1059" i="1"/>
  <c r="K1046" i="1"/>
  <c r="K1040" i="1"/>
  <c r="K1033" i="1"/>
  <c r="K1027" i="1"/>
  <c r="K1014" i="1"/>
  <c r="K1008" i="1"/>
  <c r="K1001" i="1"/>
  <c r="K995" i="1"/>
  <c r="K972" i="1"/>
  <c r="K951" i="1"/>
  <c r="K940" i="1"/>
  <c r="K711" i="1"/>
  <c r="K693" i="1"/>
  <c r="K613" i="1"/>
  <c r="K581" i="1"/>
  <c r="K549" i="1"/>
  <c r="K507" i="1"/>
  <c r="K407" i="1"/>
  <c r="K316" i="1"/>
  <c r="K1370" i="1"/>
  <c r="K1366" i="1"/>
  <c r="K1362" i="1"/>
  <c r="K1358" i="1"/>
  <c r="K1354" i="1"/>
  <c r="K1350" i="1"/>
  <c r="K1346" i="1"/>
  <c r="K1342" i="1"/>
  <c r="K1338" i="1"/>
  <c r="K1334" i="1"/>
  <c r="K1330" i="1"/>
  <c r="K1326" i="1"/>
  <c r="K1322" i="1"/>
  <c r="K1318" i="1"/>
  <c r="K1314" i="1"/>
  <c r="K1310" i="1"/>
  <c r="K1306" i="1"/>
  <c r="K1302" i="1"/>
  <c r="K1298" i="1"/>
  <c r="K1294" i="1"/>
  <c r="K1290" i="1"/>
  <c r="K1286" i="1"/>
  <c r="K1282" i="1"/>
  <c r="K1278" i="1"/>
  <c r="K1274" i="1"/>
  <c r="K1270" i="1"/>
  <c r="K1266" i="1"/>
  <c r="K1262" i="1"/>
  <c r="K1258" i="1"/>
  <c r="K1254" i="1"/>
  <c r="K1250" i="1"/>
  <c r="K1246" i="1"/>
  <c r="K1242" i="1"/>
  <c r="K1238" i="1"/>
  <c r="K1234" i="1"/>
  <c r="K1230" i="1"/>
  <c r="K1226" i="1"/>
  <c r="K1222" i="1"/>
  <c r="K1218" i="1"/>
  <c r="K1214" i="1"/>
  <c r="K1210" i="1"/>
  <c r="K1206" i="1"/>
  <c r="K1202" i="1"/>
  <c r="K1198" i="1"/>
  <c r="K1194" i="1"/>
  <c r="K1190" i="1"/>
  <c r="K1186" i="1"/>
  <c r="K1182" i="1"/>
  <c r="K1178" i="1"/>
  <c r="K1174" i="1"/>
  <c r="K1170" i="1"/>
  <c r="K1166" i="1"/>
  <c r="K1162" i="1"/>
  <c r="K1158" i="1"/>
  <c r="K1154" i="1"/>
  <c r="K1148" i="1"/>
  <c r="K1141" i="1"/>
  <c r="K1135" i="1"/>
  <c r="K1122" i="1"/>
  <c r="K1116" i="1"/>
  <c r="K1109" i="1"/>
  <c r="K1103" i="1"/>
  <c r="K1090" i="1"/>
  <c r="K1084" i="1"/>
  <c r="K1077" i="1"/>
  <c r="K1071" i="1"/>
  <c r="K1058" i="1"/>
  <c r="K1052" i="1"/>
  <c r="K1045" i="1"/>
  <c r="K1039" i="1"/>
  <c r="K1026" i="1"/>
  <c r="K1020" i="1"/>
  <c r="K1013" i="1"/>
  <c r="K1007" i="1"/>
  <c r="K994" i="1"/>
  <c r="K988" i="1"/>
  <c r="K980" i="1"/>
  <c r="K971" i="1"/>
  <c r="K960" i="1"/>
  <c r="K939" i="1"/>
  <c r="K923" i="1"/>
  <c r="K907" i="1"/>
  <c r="K891" i="1"/>
  <c r="K875" i="1"/>
  <c r="K859" i="1"/>
  <c r="K843" i="1"/>
  <c r="K827" i="1"/>
  <c r="K811" i="1"/>
  <c r="K795" i="1"/>
  <c r="K779" i="1"/>
  <c r="K763" i="1"/>
  <c r="K746" i="1"/>
  <c r="K691" i="1"/>
  <c r="K667" i="1"/>
  <c r="K453" i="1"/>
  <c r="K402" i="1"/>
  <c r="K299" i="1"/>
  <c r="K129" i="1"/>
  <c r="K1153" i="1"/>
  <c r="K1147" i="1"/>
  <c r="K1134" i="1"/>
  <c r="K1128" i="1"/>
  <c r="K1121" i="1"/>
  <c r="K1115" i="1"/>
  <c r="K1102" i="1"/>
  <c r="K1096" i="1"/>
  <c r="K1089" i="1"/>
  <c r="K1083" i="1"/>
  <c r="K1070" i="1"/>
  <c r="K1064" i="1"/>
  <c r="K1057" i="1"/>
  <c r="K1051" i="1"/>
  <c r="K1038" i="1"/>
  <c r="K1032" i="1"/>
  <c r="K1025" i="1"/>
  <c r="K1019" i="1"/>
  <c r="K1006" i="1"/>
  <c r="K1000" i="1"/>
  <c r="K993" i="1"/>
  <c r="K987" i="1"/>
  <c r="K979" i="1"/>
  <c r="K959" i="1"/>
  <c r="K948" i="1"/>
  <c r="K743" i="1"/>
  <c r="K725" i="1"/>
  <c r="K688" i="1"/>
  <c r="K663" i="1"/>
  <c r="K637" i="1"/>
  <c r="K605" i="1"/>
  <c r="K573" i="1"/>
  <c r="K539" i="1"/>
  <c r="K497" i="1"/>
  <c r="K446" i="1"/>
  <c r="K1437" i="1"/>
  <c r="K1433" i="1"/>
  <c r="K1429" i="1"/>
  <c r="K1425" i="1"/>
  <c r="K1421" i="1"/>
  <c r="K1417" i="1"/>
  <c r="K1413" i="1"/>
  <c r="K1409" i="1"/>
  <c r="K1405" i="1"/>
  <c r="K1401" i="1"/>
  <c r="K1397" i="1"/>
  <c r="K1393" i="1"/>
  <c r="K1389" i="1"/>
  <c r="K1385" i="1"/>
  <c r="K1381" i="1"/>
  <c r="K1377" i="1"/>
  <c r="K1373" i="1"/>
  <c r="K1369" i="1"/>
  <c r="K1365" i="1"/>
  <c r="K1361" i="1"/>
  <c r="K1357" i="1"/>
  <c r="K1353" i="1"/>
  <c r="K1349" i="1"/>
  <c r="K1345" i="1"/>
  <c r="K1341" i="1"/>
  <c r="K1337" i="1"/>
  <c r="K1333" i="1"/>
  <c r="K1329" i="1"/>
  <c r="K1325" i="1"/>
  <c r="K1321" i="1"/>
  <c r="K1317" i="1"/>
  <c r="K1313" i="1"/>
  <c r="K1309" i="1"/>
  <c r="K1305" i="1"/>
  <c r="K1301" i="1"/>
  <c r="K1297" i="1"/>
  <c r="K1293" i="1"/>
  <c r="K1289" i="1"/>
  <c r="K1285" i="1"/>
  <c r="K1281" i="1"/>
  <c r="K1277" i="1"/>
  <c r="K1273" i="1"/>
  <c r="K1269" i="1"/>
  <c r="K1265" i="1"/>
  <c r="K1261" i="1"/>
  <c r="K1257" i="1"/>
  <c r="K1253" i="1"/>
  <c r="K1249" i="1"/>
  <c r="K1245" i="1"/>
  <c r="K1241" i="1"/>
  <c r="K1237" i="1"/>
  <c r="K1233" i="1"/>
  <c r="K1229" i="1"/>
  <c r="K1225" i="1"/>
  <c r="K1221" i="1"/>
  <c r="K1217" i="1"/>
  <c r="K1213" i="1"/>
  <c r="K1209" i="1"/>
  <c r="K1205" i="1"/>
  <c r="K1201" i="1"/>
  <c r="K1197" i="1"/>
  <c r="K1193" i="1"/>
  <c r="K1189" i="1"/>
  <c r="K1185" i="1"/>
  <c r="K1181" i="1"/>
  <c r="K1177" i="1"/>
  <c r="K1173" i="1"/>
  <c r="K1169" i="1"/>
  <c r="K1165" i="1"/>
  <c r="K1161" i="1"/>
  <c r="K1157" i="1"/>
  <c r="K1146" i="1"/>
  <c r="K1140" i="1"/>
  <c r="K1133" i="1"/>
  <c r="K1127" i="1"/>
  <c r="K1114" i="1"/>
  <c r="K1108" i="1"/>
  <c r="K1101" i="1"/>
  <c r="K1095" i="1"/>
  <c r="K1082" i="1"/>
  <c r="K1076" i="1"/>
  <c r="K1069" i="1"/>
  <c r="K1063" i="1"/>
  <c r="K1050" i="1"/>
  <c r="K1044" i="1"/>
  <c r="K1037" i="1"/>
  <c r="K1031" i="1"/>
  <c r="K1018" i="1"/>
  <c r="K1012" i="1"/>
  <c r="K1005" i="1"/>
  <c r="K999" i="1"/>
  <c r="K986" i="1"/>
  <c r="K978" i="1"/>
  <c r="K968" i="1"/>
  <c r="K947" i="1"/>
  <c r="K935" i="1"/>
  <c r="K919" i="1"/>
  <c r="K903" i="1"/>
  <c r="K887" i="1"/>
  <c r="K871" i="1"/>
  <c r="K855" i="1"/>
  <c r="K839" i="1"/>
  <c r="K823" i="1"/>
  <c r="K807" i="1"/>
  <c r="K791" i="1"/>
  <c r="K775" i="1"/>
  <c r="K759" i="1"/>
  <c r="K723" i="1"/>
  <c r="K705" i="1"/>
  <c r="K661" i="1"/>
  <c r="K491" i="1"/>
  <c r="K440" i="1"/>
  <c r="K389" i="1"/>
  <c r="K257" i="1"/>
  <c r="K936" i="1"/>
  <c r="K932" i="1"/>
  <c r="K928" i="1"/>
  <c r="K924" i="1"/>
  <c r="K920" i="1"/>
  <c r="K916" i="1"/>
  <c r="K912" i="1"/>
  <c r="K908" i="1"/>
  <c r="K904" i="1"/>
  <c r="K900" i="1"/>
  <c r="K896" i="1"/>
  <c r="K892" i="1"/>
  <c r="K888" i="1"/>
  <c r="K884" i="1"/>
  <c r="K880" i="1"/>
  <c r="K876" i="1"/>
  <c r="K872" i="1"/>
  <c r="K868" i="1"/>
  <c r="K864" i="1"/>
  <c r="K860" i="1"/>
  <c r="K856" i="1"/>
  <c r="K852" i="1"/>
  <c r="K848" i="1"/>
  <c r="K844" i="1"/>
  <c r="K840" i="1"/>
  <c r="K836" i="1"/>
  <c r="K832" i="1"/>
  <c r="K828" i="1"/>
  <c r="K824" i="1"/>
  <c r="K820" i="1"/>
  <c r="K816" i="1"/>
  <c r="K812" i="1"/>
  <c r="K808" i="1"/>
  <c r="K804" i="1"/>
  <c r="K800" i="1"/>
  <c r="K796" i="1"/>
  <c r="K792" i="1"/>
  <c r="K788" i="1"/>
  <c r="K784" i="1"/>
  <c r="K780" i="1"/>
  <c r="K776" i="1"/>
  <c r="K772" i="1"/>
  <c r="K768" i="1"/>
  <c r="K764" i="1"/>
  <c r="K760" i="1"/>
  <c r="K756" i="1"/>
  <c r="K747" i="1"/>
  <c r="K738" i="1"/>
  <c r="K729" i="1"/>
  <c r="K724" i="1"/>
  <c r="K715" i="1"/>
  <c r="K706" i="1"/>
  <c r="K697" i="1"/>
  <c r="K692" i="1"/>
  <c r="K675" i="1"/>
  <c r="K669" i="1"/>
  <c r="K643" i="1"/>
  <c r="K516" i="1"/>
  <c r="K482" i="1"/>
  <c r="K469" i="1"/>
  <c r="K456" i="1"/>
  <c r="K443" i="1"/>
  <c r="K418" i="1"/>
  <c r="K405" i="1"/>
  <c r="K392" i="1"/>
  <c r="K377" i="1"/>
  <c r="K350" i="1"/>
  <c r="K310" i="1"/>
  <c r="K267" i="1"/>
  <c r="K225" i="1"/>
  <c r="K182" i="1"/>
  <c r="K139" i="1"/>
  <c r="K751" i="1"/>
  <c r="K742" i="1"/>
  <c r="K733" i="1"/>
  <c r="K728" i="1"/>
  <c r="K719" i="1"/>
  <c r="K710" i="1"/>
  <c r="K701" i="1"/>
  <c r="K696" i="1"/>
  <c r="K687" i="1"/>
  <c r="K681" i="1"/>
  <c r="K655" i="1"/>
  <c r="K649" i="1"/>
  <c r="K536" i="1"/>
  <c r="K504" i="1"/>
  <c r="K493" i="1"/>
  <c r="K480" i="1"/>
  <c r="K467" i="1"/>
  <c r="K442" i="1"/>
  <c r="K429" i="1"/>
  <c r="K416" i="1"/>
  <c r="K403" i="1"/>
  <c r="K346" i="1"/>
  <c r="K305" i="1"/>
  <c r="K262" i="1"/>
  <c r="K219" i="1"/>
  <c r="K177" i="1"/>
  <c r="K134" i="1"/>
  <c r="K66" i="1"/>
  <c r="K750" i="1"/>
  <c r="K741" i="1"/>
  <c r="K736" i="1"/>
  <c r="K727" i="1"/>
  <c r="K718" i="1"/>
  <c r="K709" i="1"/>
  <c r="K704" i="1"/>
  <c r="K695" i="1"/>
  <c r="K679" i="1"/>
  <c r="K673" i="1"/>
  <c r="K647" i="1"/>
  <c r="K641" i="1"/>
  <c r="K633" i="1"/>
  <c r="K625" i="1"/>
  <c r="K617" i="1"/>
  <c r="K609" i="1"/>
  <c r="K601" i="1"/>
  <c r="K593" i="1"/>
  <c r="K585" i="1"/>
  <c r="K577" i="1"/>
  <c r="K569" i="1"/>
  <c r="K561" i="1"/>
  <c r="K553" i="1"/>
  <c r="K545" i="1"/>
  <c r="K534" i="1"/>
  <c r="K523" i="1"/>
  <c r="K513" i="1"/>
  <c r="K502" i="1"/>
  <c r="K478" i="1"/>
  <c r="K465" i="1"/>
  <c r="K452" i="1"/>
  <c r="K439" i="1"/>
  <c r="K414" i="1"/>
  <c r="K401" i="1"/>
  <c r="K388" i="1"/>
  <c r="K252" i="1"/>
  <c r="K46" i="1"/>
  <c r="K974" i="1"/>
  <c r="K970" i="1"/>
  <c r="K966" i="1"/>
  <c r="K962" i="1"/>
  <c r="K958" i="1"/>
  <c r="K954" i="1"/>
  <c r="K950" i="1"/>
  <c r="K946" i="1"/>
  <c r="K942" i="1"/>
  <c r="K938" i="1"/>
  <c r="K934" i="1"/>
  <c r="K930" i="1"/>
  <c r="K926" i="1"/>
  <c r="K922" i="1"/>
  <c r="K918" i="1"/>
  <c r="K914" i="1"/>
  <c r="K910" i="1"/>
  <c r="K906" i="1"/>
  <c r="K902" i="1"/>
  <c r="K898" i="1"/>
  <c r="K894" i="1"/>
  <c r="K890" i="1"/>
  <c r="K886" i="1"/>
  <c r="K882" i="1"/>
  <c r="K878" i="1"/>
  <c r="K874" i="1"/>
  <c r="K870" i="1"/>
  <c r="K866" i="1"/>
  <c r="K862" i="1"/>
  <c r="K858" i="1"/>
  <c r="K854" i="1"/>
  <c r="K850" i="1"/>
  <c r="K846" i="1"/>
  <c r="K842" i="1"/>
  <c r="K838" i="1"/>
  <c r="K834" i="1"/>
  <c r="K830" i="1"/>
  <c r="K826" i="1"/>
  <c r="K822" i="1"/>
  <c r="K818" i="1"/>
  <c r="K814" i="1"/>
  <c r="K810" i="1"/>
  <c r="K806" i="1"/>
  <c r="K802" i="1"/>
  <c r="K798" i="1"/>
  <c r="K794" i="1"/>
  <c r="K790" i="1"/>
  <c r="K786" i="1"/>
  <c r="K782" i="1"/>
  <c r="K778" i="1"/>
  <c r="K774" i="1"/>
  <c r="K770" i="1"/>
  <c r="K766" i="1"/>
  <c r="K762" i="1"/>
  <c r="K758" i="1"/>
  <c r="K754" i="1"/>
  <c r="K745" i="1"/>
  <c r="K740" i="1"/>
  <c r="K731" i="1"/>
  <c r="K722" i="1"/>
  <c r="K713" i="1"/>
  <c r="K708" i="1"/>
  <c r="K699" i="1"/>
  <c r="K690" i="1"/>
  <c r="K685" i="1"/>
  <c r="K659" i="1"/>
  <c r="K653" i="1"/>
  <c r="K532" i="1"/>
  <c r="K500" i="1"/>
  <c r="K488" i="1"/>
  <c r="K475" i="1"/>
  <c r="K450" i="1"/>
  <c r="K437" i="1"/>
  <c r="K424" i="1"/>
  <c r="K411" i="1"/>
  <c r="K385" i="1"/>
  <c r="K366" i="1"/>
  <c r="K331" i="1"/>
  <c r="K289" i="1"/>
  <c r="K246" i="1"/>
  <c r="K203" i="1"/>
  <c r="K161" i="1"/>
  <c r="K114" i="1"/>
  <c r="K34" i="1"/>
  <c r="K749" i="1"/>
  <c r="K744" i="1"/>
  <c r="K735" i="1"/>
  <c r="K726" i="1"/>
  <c r="K717" i="1"/>
  <c r="K712" i="1"/>
  <c r="K703" i="1"/>
  <c r="K694" i="1"/>
  <c r="K671" i="1"/>
  <c r="K665" i="1"/>
  <c r="K520" i="1"/>
  <c r="K474" i="1"/>
  <c r="K461" i="1"/>
  <c r="K448" i="1"/>
  <c r="K435" i="1"/>
  <c r="K410" i="1"/>
  <c r="K397" i="1"/>
  <c r="K362" i="1"/>
  <c r="K326" i="1"/>
  <c r="K283" i="1"/>
  <c r="K241" i="1"/>
  <c r="K198" i="1"/>
  <c r="K155" i="1"/>
  <c r="K106" i="1"/>
  <c r="K985" i="1"/>
  <c r="K981" i="1"/>
  <c r="K977" i="1"/>
  <c r="K973" i="1"/>
  <c r="K969" i="1"/>
  <c r="K965" i="1"/>
  <c r="K961" i="1"/>
  <c r="K957" i="1"/>
  <c r="K953" i="1"/>
  <c r="K949" i="1"/>
  <c r="K945" i="1"/>
  <c r="K941" i="1"/>
  <c r="K937" i="1"/>
  <c r="K933" i="1"/>
  <c r="K929" i="1"/>
  <c r="K925" i="1"/>
  <c r="K921" i="1"/>
  <c r="K917" i="1"/>
  <c r="K913" i="1"/>
  <c r="K909" i="1"/>
  <c r="K905" i="1"/>
  <c r="K901" i="1"/>
  <c r="K897" i="1"/>
  <c r="K893" i="1"/>
  <c r="K889" i="1"/>
  <c r="K885" i="1"/>
  <c r="K881" i="1"/>
  <c r="K877" i="1"/>
  <c r="K873" i="1"/>
  <c r="K869" i="1"/>
  <c r="K865" i="1"/>
  <c r="K861" i="1"/>
  <c r="K857" i="1"/>
  <c r="K853" i="1"/>
  <c r="K849" i="1"/>
  <c r="K845" i="1"/>
  <c r="K841" i="1"/>
  <c r="K837" i="1"/>
  <c r="K833" i="1"/>
  <c r="K829" i="1"/>
  <c r="K825" i="1"/>
  <c r="K821" i="1"/>
  <c r="K817" i="1"/>
  <c r="K813" i="1"/>
  <c r="K809" i="1"/>
  <c r="K805" i="1"/>
  <c r="K801" i="1"/>
  <c r="K797" i="1"/>
  <c r="K793" i="1"/>
  <c r="K789" i="1"/>
  <c r="K785" i="1"/>
  <c r="K781" i="1"/>
  <c r="K777" i="1"/>
  <c r="K773" i="1"/>
  <c r="K769" i="1"/>
  <c r="K765" i="1"/>
  <c r="K761" i="1"/>
  <c r="K757" i="1"/>
  <c r="K753" i="1"/>
  <c r="K748" i="1"/>
  <c r="K739" i="1"/>
  <c r="K730" i="1"/>
  <c r="K721" i="1"/>
  <c r="K716" i="1"/>
  <c r="K707" i="1"/>
  <c r="K698" i="1"/>
  <c r="K689" i="1"/>
  <c r="K683" i="1"/>
  <c r="K677" i="1"/>
  <c r="K651" i="1"/>
  <c r="K645" i="1"/>
  <c r="K540" i="1"/>
  <c r="K508" i="1"/>
  <c r="K485" i="1"/>
  <c r="K472" i="1"/>
  <c r="K459" i="1"/>
  <c r="K434" i="1"/>
  <c r="K421" i="1"/>
  <c r="K408" i="1"/>
  <c r="K395" i="1"/>
  <c r="K381" i="1"/>
  <c r="K358" i="1"/>
  <c r="K321" i="1"/>
  <c r="K278" i="1"/>
  <c r="K235" i="1"/>
  <c r="K193" i="1"/>
  <c r="K150" i="1"/>
  <c r="K98" i="1"/>
  <c r="K544" i="1"/>
  <c r="K528" i="1"/>
  <c r="K512" i="1"/>
  <c r="K496" i="1"/>
  <c r="K490" i="1"/>
  <c r="K483" i="1"/>
  <c r="K477" i="1"/>
  <c r="K464" i="1"/>
  <c r="K458" i="1"/>
  <c r="K451" i="1"/>
  <c r="K445" i="1"/>
  <c r="K432" i="1"/>
  <c r="K426" i="1"/>
  <c r="K419" i="1"/>
  <c r="K413" i="1"/>
  <c r="K400" i="1"/>
  <c r="K394" i="1"/>
  <c r="K370" i="1"/>
  <c r="K354" i="1"/>
  <c r="K337" i="1"/>
  <c r="K315" i="1"/>
  <c r="K294" i="1"/>
  <c r="K273" i="1"/>
  <c r="K251" i="1"/>
  <c r="K230" i="1"/>
  <c r="K209" i="1"/>
  <c r="K187" i="1"/>
  <c r="K166" i="1"/>
  <c r="K145" i="1"/>
  <c r="K122" i="1"/>
  <c r="K684" i="1"/>
  <c r="K680" i="1"/>
  <c r="K676" i="1"/>
  <c r="K672" i="1"/>
  <c r="K668" i="1"/>
  <c r="K664" i="1"/>
  <c r="K660" i="1"/>
  <c r="K656" i="1"/>
  <c r="K652" i="1"/>
  <c r="K648" i="1"/>
  <c r="K644" i="1"/>
  <c r="K640" i="1"/>
  <c r="K636" i="1"/>
  <c r="K632" i="1"/>
  <c r="K628" i="1"/>
  <c r="K624" i="1"/>
  <c r="K620" i="1"/>
  <c r="K616" i="1"/>
  <c r="K612" i="1"/>
  <c r="K608" i="1"/>
  <c r="K604" i="1"/>
  <c r="K600" i="1"/>
  <c r="K596" i="1"/>
  <c r="K592" i="1"/>
  <c r="K588" i="1"/>
  <c r="K584" i="1"/>
  <c r="K580" i="1"/>
  <c r="K576" i="1"/>
  <c r="K572" i="1"/>
  <c r="K568" i="1"/>
  <c r="K564" i="1"/>
  <c r="K560" i="1"/>
  <c r="K556" i="1"/>
  <c r="K552" i="1"/>
  <c r="K548" i="1"/>
  <c r="K543" i="1"/>
  <c r="K538" i="1"/>
  <c r="K533" i="1"/>
  <c r="K527" i="1"/>
  <c r="K522" i="1"/>
  <c r="K517" i="1"/>
  <c r="K511" i="1"/>
  <c r="K506" i="1"/>
  <c r="K501" i="1"/>
  <c r="K495" i="1"/>
  <c r="K489" i="1"/>
  <c r="K476" i="1"/>
  <c r="K470" i="1"/>
  <c r="K463" i="1"/>
  <c r="K457" i="1"/>
  <c r="K444" i="1"/>
  <c r="K438" i="1"/>
  <c r="K431" i="1"/>
  <c r="K425" i="1"/>
  <c r="K412" i="1"/>
  <c r="K406" i="1"/>
  <c r="K399" i="1"/>
  <c r="K393" i="1"/>
  <c r="K386" i="1"/>
  <c r="K378" i="1"/>
  <c r="K332" i="1"/>
  <c r="K268" i="1"/>
  <c r="K204" i="1"/>
  <c r="K140" i="1"/>
  <c r="K78" i="1"/>
  <c r="K639" i="1"/>
  <c r="K635" i="1"/>
  <c r="K631" i="1"/>
  <c r="K627" i="1"/>
  <c r="K623" i="1"/>
  <c r="K619" i="1"/>
  <c r="K615" i="1"/>
  <c r="K611" i="1"/>
  <c r="K607" i="1"/>
  <c r="K603" i="1"/>
  <c r="K599" i="1"/>
  <c r="K595" i="1"/>
  <c r="K591" i="1"/>
  <c r="K587" i="1"/>
  <c r="K583" i="1"/>
  <c r="K579" i="1"/>
  <c r="K575" i="1"/>
  <c r="K571" i="1"/>
  <c r="K567" i="1"/>
  <c r="K563" i="1"/>
  <c r="K559" i="1"/>
  <c r="K555" i="1"/>
  <c r="K551" i="1"/>
  <c r="K547" i="1"/>
  <c r="K542" i="1"/>
  <c r="K537" i="1"/>
  <c r="K531" i="1"/>
  <c r="K526" i="1"/>
  <c r="K521" i="1"/>
  <c r="K515" i="1"/>
  <c r="K510" i="1"/>
  <c r="K505" i="1"/>
  <c r="K499" i="1"/>
  <c r="K494" i="1"/>
  <c r="K487" i="1"/>
  <c r="K481" i="1"/>
  <c r="K468" i="1"/>
  <c r="K462" i="1"/>
  <c r="K455" i="1"/>
  <c r="K449" i="1"/>
  <c r="K436" i="1"/>
  <c r="K430" i="1"/>
  <c r="K423" i="1"/>
  <c r="K417" i="1"/>
  <c r="K404" i="1"/>
  <c r="K398" i="1"/>
  <c r="K391" i="1"/>
  <c r="K384" i="1"/>
  <c r="K376" i="1"/>
  <c r="K284" i="1"/>
  <c r="K220" i="1"/>
  <c r="K156" i="1"/>
  <c r="K686" i="1"/>
  <c r="K682" i="1"/>
  <c r="K678" i="1"/>
  <c r="K674" i="1"/>
  <c r="K670" i="1"/>
  <c r="K666" i="1"/>
  <c r="K662" i="1"/>
  <c r="K658" i="1"/>
  <c r="K654" i="1"/>
  <c r="K650" i="1"/>
  <c r="K646" i="1"/>
  <c r="K642" i="1"/>
  <c r="K638" i="1"/>
  <c r="K634" i="1"/>
  <c r="K630" i="1"/>
  <c r="K626" i="1"/>
  <c r="K622" i="1"/>
  <c r="K618" i="1"/>
  <c r="K614" i="1"/>
  <c r="K610" i="1"/>
  <c r="K606" i="1"/>
  <c r="K602" i="1"/>
  <c r="K598" i="1"/>
  <c r="K594" i="1"/>
  <c r="K590" i="1"/>
  <c r="K586" i="1"/>
  <c r="K582" i="1"/>
  <c r="K578" i="1"/>
  <c r="K574" i="1"/>
  <c r="K570" i="1"/>
  <c r="K566" i="1"/>
  <c r="K562" i="1"/>
  <c r="K558" i="1"/>
  <c r="K554" i="1"/>
  <c r="K550" i="1"/>
  <c r="K546" i="1"/>
  <c r="K541" i="1"/>
  <c r="K535" i="1"/>
  <c r="K530" i="1"/>
  <c r="K525" i="1"/>
  <c r="K519" i="1"/>
  <c r="K514" i="1"/>
  <c r="K509" i="1"/>
  <c r="K503" i="1"/>
  <c r="K498" i="1"/>
  <c r="K492" i="1"/>
  <c r="K486" i="1"/>
  <c r="K479" i="1"/>
  <c r="K473" i="1"/>
  <c r="K460" i="1"/>
  <c r="K454" i="1"/>
  <c r="K447" i="1"/>
  <c r="K441" i="1"/>
  <c r="K428" i="1"/>
  <c r="K422" i="1"/>
  <c r="K415" i="1"/>
  <c r="K409" i="1"/>
  <c r="K396" i="1"/>
  <c r="K390" i="1"/>
  <c r="K382" i="1"/>
  <c r="K374" i="1"/>
  <c r="K300" i="1"/>
  <c r="K236" i="1"/>
  <c r="K172" i="1"/>
  <c r="K14" i="1"/>
  <c r="K336" i="1"/>
  <c r="K320" i="1"/>
  <c r="K304" i="1"/>
  <c r="K288" i="1"/>
  <c r="K272" i="1"/>
  <c r="K256" i="1"/>
  <c r="K240" i="1"/>
  <c r="K224" i="1"/>
  <c r="K208" i="1"/>
  <c r="K192" i="1"/>
  <c r="K176" i="1"/>
  <c r="K160" i="1"/>
  <c r="K144" i="1"/>
  <c r="K128" i="1"/>
  <c r="K86" i="1"/>
  <c r="K54" i="1"/>
  <c r="K22" i="1"/>
  <c r="K369" i="1"/>
  <c r="K365" i="1"/>
  <c r="K361" i="1"/>
  <c r="K357" i="1"/>
  <c r="K353" i="1"/>
  <c r="K349" i="1"/>
  <c r="K345" i="1"/>
  <c r="K341" i="1"/>
  <c r="K335" i="1"/>
  <c r="K330" i="1"/>
  <c r="K325" i="1"/>
  <c r="K319" i="1"/>
  <c r="K314" i="1"/>
  <c r="K309" i="1"/>
  <c r="K303" i="1"/>
  <c r="K298" i="1"/>
  <c r="K293" i="1"/>
  <c r="K287" i="1"/>
  <c r="K282" i="1"/>
  <c r="K277" i="1"/>
  <c r="K271" i="1"/>
  <c r="K266" i="1"/>
  <c r="K261" i="1"/>
  <c r="K255" i="1"/>
  <c r="K250" i="1"/>
  <c r="K245" i="1"/>
  <c r="K239" i="1"/>
  <c r="K234" i="1"/>
  <c r="K229" i="1"/>
  <c r="K223" i="1"/>
  <c r="K218" i="1"/>
  <c r="K213" i="1"/>
  <c r="K207" i="1"/>
  <c r="K202" i="1"/>
  <c r="K197" i="1"/>
  <c r="K191" i="1"/>
  <c r="K186" i="1"/>
  <c r="K181" i="1"/>
  <c r="K175" i="1"/>
  <c r="K170" i="1"/>
  <c r="K165" i="1"/>
  <c r="K159" i="1"/>
  <c r="K154" i="1"/>
  <c r="K149" i="1"/>
  <c r="K143" i="1"/>
  <c r="K138" i="1"/>
  <c r="K133" i="1"/>
  <c r="K120" i="1"/>
  <c r="K112" i="1"/>
  <c r="K104" i="1"/>
  <c r="K74" i="1"/>
  <c r="K42" i="1"/>
  <c r="K10" i="1"/>
  <c r="K340" i="1"/>
  <c r="K324" i="1"/>
  <c r="K308" i="1"/>
  <c r="K292" i="1"/>
  <c r="K276" i="1"/>
  <c r="K260" i="1"/>
  <c r="K244" i="1"/>
  <c r="K228" i="1"/>
  <c r="K212" i="1"/>
  <c r="K196" i="1"/>
  <c r="K180" i="1"/>
  <c r="K164" i="1"/>
  <c r="K148" i="1"/>
  <c r="K132" i="1"/>
  <c r="K126" i="1"/>
  <c r="K94" i="1"/>
  <c r="K62" i="1"/>
  <c r="K30" i="1"/>
  <c r="K372" i="1"/>
  <c r="K368" i="1"/>
  <c r="K364" i="1"/>
  <c r="K360" i="1"/>
  <c r="K356" i="1"/>
  <c r="K352" i="1"/>
  <c r="K348" i="1"/>
  <c r="K344" i="1"/>
  <c r="K339" i="1"/>
  <c r="K334" i="1"/>
  <c r="K329" i="1"/>
  <c r="K323" i="1"/>
  <c r="K318" i="1"/>
  <c r="K313" i="1"/>
  <c r="K307" i="1"/>
  <c r="K302" i="1"/>
  <c r="K297" i="1"/>
  <c r="K291" i="1"/>
  <c r="K286" i="1"/>
  <c r="K281" i="1"/>
  <c r="K275" i="1"/>
  <c r="K270" i="1"/>
  <c r="K265" i="1"/>
  <c r="K259" i="1"/>
  <c r="K254" i="1"/>
  <c r="K249" i="1"/>
  <c r="K243" i="1"/>
  <c r="K238" i="1"/>
  <c r="K233" i="1"/>
  <c r="K227" i="1"/>
  <c r="K222" i="1"/>
  <c r="K217" i="1"/>
  <c r="K211" i="1"/>
  <c r="K206" i="1"/>
  <c r="K201" i="1"/>
  <c r="K195" i="1"/>
  <c r="K190" i="1"/>
  <c r="K185" i="1"/>
  <c r="K179" i="1"/>
  <c r="K174" i="1"/>
  <c r="K169" i="1"/>
  <c r="K163" i="1"/>
  <c r="K158" i="1"/>
  <c r="K153" i="1"/>
  <c r="K147" i="1"/>
  <c r="K142" i="1"/>
  <c r="K137" i="1"/>
  <c r="K131" i="1"/>
  <c r="K118" i="1"/>
  <c r="K110" i="1"/>
  <c r="K102" i="1"/>
  <c r="K82" i="1"/>
  <c r="K50" i="1"/>
  <c r="K18" i="1"/>
  <c r="K328" i="1"/>
  <c r="K312" i="1"/>
  <c r="K296" i="1"/>
  <c r="K280" i="1"/>
  <c r="K264" i="1"/>
  <c r="K248" i="1"/>
  <c r="K232" i="1"/>
  <c r="K216" i="1"/>
  <c r="K200" i="1"/>
  <c r="K184" i="1"/>
  <c r="K168" i="1"/>
  <c r="K152" i="1"/>
  <c r="K136" i="1"/>
  <c r="K125" i="1"/>
  <c r="K70" i="1"/>
  <c r="K38" i="1"/>
  <c r="K6" i="1"/>
  <c r="K387" i="1"/>
  <c r="K383" i="1"/>
  <c r="K379" i="1"/>
  <c r="K375" i="1"/>
  <c r="K371" i="1"/>
  <c r="K367" i="1"/>
  <c r="K363" i="1"/>
  <c r="K359" i="1"/>
  <c r="K355" i="1"/>
  <c r="K351" i="1"/>
  <c r="K347" i="1"/>
  <c r="K343" i="1"/>
  <c r="K338" i="1"/>
  <c r="K333" i="1"/>
  <c r="K327" i="1"/>
  <c r="K322" i="1"/>
  <c r="K317" i="1"/>
  <c r="K311" i="1"/>
  <c r="K306" i="1"/>
  <c r="K301" i="1"/>
  <c r="K295" i="1"/>
  <c r="K290" i="1"/>
  <c r="K285" i="1"/>
  <c r="K279" i="1"/>
  <c r="K274" i="1"/>
  <c r="K269" i="1"/>
  <c r="K263" i="1"/>
  <c r="K258" i="1"/>
  <c r="K253" i="1"/>
  <c r="K247" i="1"/>
  <c r="K242" i="1"/>
  <c r="K237" i="1"/>
  <c r="K231" i="1"/>
  <c r="K226" i="1"/>
  <c r="K221" i="1"/>
  <c r="K215" i="1"/>
  <c r="K210" i="1"/>
  <c r="K205" i="1"/>
  <c r="K199" i="1"/>
  <c r="K194" i="1"/>
  <c r="K189" i="1"/>
  <c r="K183" i="1"/>
  <c r="K178" i="1"/>
  <c r="K173" i="1"/>
  <c r="K167" i="1"/>
  <c r="K162" i="1"/>
  <c r="K157" i="1"/>
  <c r="K151" i="1"/>
  <c r="K146" i="1"/>
  <c r="K141" i="1"/>
  <c r="K135" i="1"/>
  <c r="K130" i="1"/>
  <c r="K124" i="1"/>
  <c r="K116" i="1"/>
  <c r="K108" i="1"/>
  <c r="K100" i="1"/>
  <c r="K90" i="1"/>
  <c r="K58" i="1"/>
  <c r="K26" i="1"/>
  <c r="K121" i="1"/>
  <c r="K117" i="1"/>
  <c r="K113" i="1"/>
  <c r="K109" i="1"/>
  <c r="K105" i="1"/>
  <c r="K101" i="1"/>
  <c r="K97" i="1"/>
  <c r="K93" i="1"/>
  <c r="K89" i="1"/>
  <c r="K85" i="1"/>
  <c r="K81" i="1"/>
  <c r="K77" i="1"/>
  <c r="K73" i="1"/>
  <c r="K69" i="1"/>
  <c r="K65" i="1"/>
  <c r="K61" i="1"/>
  <c r="K57" i="1"/>
  <c r="K53" i="1"/>
  <c r="K49" i="1"/>
  <c r="K45" i="1"/>
  <c r="K41" i="1"/>
  <c r="K37" i="1"/>
  <c r="K33" i="1"/>
  <c r="K29" i="1"/>
  <c r="K25" i="1"/>
  <c r="K21" i="1"/>
  <c r="K17" i="1"/>
  <c r="K13" i="1"/>
  <c r="K9" i="1"/>
  <c r="K5" i="1"/>
  <c r="K96" i="1"/>
  <c r="K92" i="1"/>
  <c r="K88" i="1"/>
  <c r="K84" i="1"/>
  <c r="K80" i="1"/>
  <c r="K76" i="1"/>
  <c r="K72" i="1"/>
  <c r="K68" i="1"/>
  <c r="K64" i="1"/>
  <c r="K60" i="1"/>
  <c r="K56" i="1"/>
  <c r="K52" i="1"/>
  <c r="K48" i="1"/>
  <c r="K44" i="1"/>
  <c r="K40" i="1"/>
  <c r="K36" i="1"/>
  <c r="K32" i="1"/>
  <c r="K28" i="1"/>
  <c r="K24" i="1"/>
  <c r="K20" i="1"/>
  <c r="K16" i="1"/>
  <c r="K12" i="1"/>
  <c r="K8" i="1"/>
  <c r="K4" i="1"/>
  <c r="K127" i="1"/>
  <c r="K123" i="1"/>
  <c r="K119" i="1"/>
  <c r="K115" i="1"/>
  <c r="K111" i="1"/>
  <c r="K107" i="1"/>
  <c r="K103" i="1"/>
  <c r="K99" i="1"/>
  <c r="K95" i="1"/>
  <c r="K91" i="1"/>
  <c r="K87" i="1"/>
  <c r="K83" i="1"/>
  <c r="K79" i="1"/>
  <c r="K75" i="1"/>
  <c r="K71" i="1"/>
  <c r="K67" i="1"/>
  <c r="K63" i="1"/>
  <c r="K59" i="1"/>
  <c r="K55" i="1"/>
  <c r="K51" i="1"/>
  <c r="K47" i="1"/>
  <c r="K43" i="1"/>
  <c r="K39" i="1"/>
  <c r="K35" i="1"/>
  <c r="K31" i="1"/>
  <c r="K27" i="1"/>
  <c r="K23" i="1"/>
  <c r="K19" i="1"/>
  <c r="K15" i="1"/>
  <c r="K11" i="1"/>
  <c r="K7" i="1"/>
  <c r="K3" i="1"/>
  <c r="K2" i="1"/>
  <c r="C2066" i="1"/>
  <c r="C2651" i="1"/>
  <c r="C2726" i="1"/>
  <c r="C1990" i="1"/>
  <c r="C2801" i="1"/>
  <c r="C2794" i="1"/>
  <c r="C2118" i="1"/>
  <c r="C2103" i="1"/>
  <c r="C1434" i="1"/>
  <c r="C1266" i="1"/>
  <c r="C903" i="1"/>
  <c r="C1737" i="1"/>
  <c r="C798" i="1"/>
  <c r="C535" i="1"/>
  <c r="C996" i="1"/>
  <c r="C414" i="1"/>
  <c r="C614" i="1"/>
  <c r="C348" i="1"/>
  <c r="G2892" i="1"/>
  <c r="G3111" i="1"/>
  <c r="G2166" i="1"/>
  <c r="G2137" i="1"/>
  <c r="G1645" i="1"/>
  <c r="G1444" i="1"/>
  <c r="G625" i="1"/>
  <c r="C3244" i="1"/>
  <c r="C2841" i="1"/>
  <c r="C3267" i="1"/>
  <c r="C3212" i="1"/>
  <c r="C2970" i="1"/>
  <c r="C2800" i="1"/>
  <c r="C2586" i="1"/>
  <c r="C3235" i="1"/>
  <c r="C3143" i="1"/>
  <c r="C2345" i="1"/>
  <c r="C1600" i="1"/>
  <c r="C3264" i="1"/>
  <c r="C2319" i="1"/>
  <c r="C3340" i="1"/>
  <c r="C2232" i="1"/>
  <c r="C3287" i="1"/>
  <c r="C2777" i="1"/>
  <c r="C2968" i="1"/>
  <c r="C1921" i="1"/>
  <c r="C3194" i="1"/>
  <c r="C2658" i="1"/>
  <c r="C2929" i="1"/>
  <c r="C2606" i="1"/>
  <c r="C2121" i="1"/>
  <c r="C2984" i="1"/>
  <c r="C1784" i="1"/>
  <c r="C3026" i="1"/>
  <c r="C3245" i="1"/>
  <c r="C3117" i="1"/>
  <c r="C2873" i="1"/>
  <c r="C2459" i="1"/>
  <c r="C1894" i="1"/>
  <c r="C2591" i="1"/>
  <c r="C3258" i="1"/>
  <c r="C3337" i="1"/>
  <c r="C2879" i="1"/>
  <c r="C2510" i="1"/>
  <c r="C1540" i="1"/>
  <c r="C1162" i="1"/>
  <c r="C1624" i="1"/>
  <c r="C2856" i="1"/>
  <c r="C2578" i="1"/>
  <c r="C2228" i="1"/>
  <c r="C1668" i="1"/>
  <c r="C2786" i="1"/>
  <c r="C2481" i="1"/>
  <c r="C2095" i="1"/>
  <c r="C1047" i="1"/>
  <c r="C2158" i="1"/>
  <c r="C1766" i="1"/>
  <c r="C892" i="1"/>
  <c r="C2576" i="1"/>
  <c r="C2448" i="1"/>
  <c r="C2320" i="1"/>
  <c r="C2074" i="1"/>
  <c r="C1598" i="1"/>
  <c r="C906" i="1"/>
  <c r="C2119" i="1"/>
  <c r="C1638" i="1"/>
  <c r="C435" i="1"/>
  <c r="C1835" i="1"/>
  <c r="C1388" i="1"/>
  <c r="C894" i="1"/>
  <c r="C1902" i="1"/>
  <c r="C1494" i="1"/>
  <c r="C1041" i="1"/>
  <c r="C1979" i="1"/>
  <c r="C1660" i="1"/>
  <c r="C1156" i="1"/>
  <c r="C1765" i="1"/>
  <c r="C1637" i="1"/>
  <c r="C1509" i="1"/>
  <c r="C1381" i="1"/>
  <c r="C1253" i="1"/>
  <c r="C826" i="1"/>
  <c r="C1198" i="1"/>
  <c r="C880" i="1"/>
  <c r="C1747" i="1"/>
  <c r="C1619" i="1"/>
  <c r="C1491" i="1"/>
  <c r="C1363" i="1"/>
  <c r="C1176" i="1"/>
  <c r="C773" i="1"/>
  <c r="C916" i="1"/>
  <c r="C445" i="1"/>
  <c r="C830" i="1"/>
  <c r="C247" i="1"/>
  <c r="C1024" i="1"/>
  <c r="C746" i="1"/>
  <c r="C950" i="1"/>
  <c r="C666" i="1"/>
  <c r="C539" i="1"/>
  <c r="C560" i="1"/>
  <c r="C463" i="1"/>
  <c r="C457" i="1"/>
  <c r="C9" i="1"/>
  <c r="C255" i="1"/>
  <c r="C780" i="1"/>
  <c r="C652" i="1"/>
  <c r="C329" i="1"/>
  <c r="C601" i="1"/>
  <c r="C383" i="1"/>
  <c r="C323" i="1"/>
  <c r="C504" i="1"/>
  <c r="C376" i="1"/>
  <c r="C148" i="1"/>
  <c r="C289" i="1"/>
  <c r="C72" i="1"/>
  <c r="G2901" i="1"/>
  <c r="G3332" i="1"/>
  <c r="G3161" i="1"/>
  <c r="G2900" i="1"/>
  <c r="G2965" i="1"/>
  <c r="G2712" i="1"/>
  <c r="G2881" i="1"/>
  <c r="G3277" i="1"/>
  <c r="G3072" i="1"/>
  <c r="G3153" i="1"/>
  <c r="G2354" i="1"/>
  <c r="G3078" i="1"/>
  <c r="G2779" i="1"/>
  <c r="G2519" i="1"/>
  <c r="G2209" i="1"/>
  <c r="G2347" i="1"/>
  <c r="G2726" i="1"/>
  <c r="G2466" i="1"/>
  <c r="G2132" i="1"/>
  <c r="G2255" i="1"/>
  <c r="G2637" i="1"/>
  <c r="G2366" i="1"/>
  <c r="G2339" i="1"/>
  <c r="G2045" i="1"/>
  <c r="G2116" i="1"/>
  <c r="G1791" i="1"/>
  <c r="G2047" i="1"/>
  <c r="G1878" i="1"/>
  <c r="G1777" i="1"/>
  <c r="G1790" i="1"/>
  <c r="G1711" i="1"/>
  <c r="G1476" i="1"/>
  <c r="G1341" i="1"/>
  <c r="G1523" i="1"/>
  <c r="G869" i="1"/>
  <c r="G1610" i="1"/>
  <c r="G1225" i="1"/>
  <c r="G1212" i="1"/>
  <c r="G994" i="1"/>
  <c r="G600" i="1"/>
  <c r="G295" i="1"/>
  <c r="G81" i="1"/>
  <c r="C3292" i="1"/>
  <c r="C1932" i="1"/>
  <c r="C3118" i="1"/>
  <c r="C2889" i="1"/>
  <c r="C2361" i="1"/>
  <c r="C912" i="1"/>
  <c r="C759" i="1"/>
  <c r="C1996" i="1"/>
  <c r="C1778" i="1"/>
  <c r="C1538" i="1"/>
  <c r="C669" i="1"/>
  <c r="C1090" i="1"/>
  <c r="C673" i="1"/>
  <c r="C564" i="1"/>
  <c r="C264" i="1"/>
  <c r="G2328" i="1"/>
  <c r="G2817" i="1"/>
  <c r="G2747" i="1"/>
  <c r="G1889" i="1"/>
  <c r="G2084" i="1"/>
  <c r="G1361" i="1"/>
  <c r="G1491" i="1"/>
  <c r="G741" i="1"/>
  <c r="G6" i="1"/>
  <c r="C2483" i="1"/>
  <c r="C3007" i="1"/>
  <c r="C1933" i="1"/>
  <c r="C2466" i="1"/>
  <c r="C3049" i="1"/>
  <c r="C1862" i="1"/>
  <c r="C3104" i="1"/>
  <c r="C3227" i="1"/>
  <c r="C3223" i="1"/>
  <c r="C2474" i="1"/>
  <c r="C2479" i="1"/>
  <c r="C1386" i="1"/>
  <c r="C3106" i="1"/>
  <c r="C2538" i="1"/>
  <c r="C2859" i="1"/>
  <c r="C2486" i="1"/>
  <c r="C1967" i="1"/>
  <c r="C2734" i="1"/>
  <c r="C3346" i="1"/>
  <c r="C2860" i="1"/>
  <c r="C3213" i="1"/>
  <c r="C3085" i="1"/>
  <c r="C2788" i="1"/>
  <c r="C2339" i="1"/>
  <c r="C1446" i="1"/>
  <c r="C2343" i="1"/>
  <c r="C3166" i="1"/>
  <c r="C3061" i="1"/>
  <c r="C2787" i="1"/>
  <c r="C2390" i="1"/>
  <c r="C1005" i="1"/>
  <c r="C838" i="1"/>
  <c r="C1262" i="1"/>
  <c r="C2792" i="1"/>
  <c r="C2501" i="1"/>
  <c r="C2111" i="1"/>
  <c r="C1406" i="1"/>
  <c r="C2722" i="1"/>
  <c r="C2391" i="1"/>
  <c r="C1923" i="1"/>
  <c r="C705" i="1"/>
  <c r="C2094" i="1"/>
  <c r="C1550" i="1"/>
  <c r="C2672" i="1"/>
  <c r="C2544" i="1"/>
  <c r="C2416" i="1"/>
  <c r="C2266" i="1"/>
  <c r="C1988" i="1"/>
  <c r="C1414" i="1"/>
  <c r="C2311" i="1"/>
  <c r="C2038" i="1"/>
  <c r="C1422" i="1"/>
  <c r="C2027" i="1"/>
  <c r="C1772" i="1"/>
  <c r="C1260" i="1"/>
  <c r="C570" i="1"/>
  <c r="C1838" i="1"/>
  <c r="C1366" i="1"/>
  <c r="C874" i="1"/>
  <c r="C1915" i="1"/>
  <c r="C1532" i="1"/>
  <c r="C1038" i="1"/>
  <c r="C1733" i="1"/>
  <c r="C1605" i="1"/>
  <c r="C1477" i="1"/>
  <c r="C1349" i="1"/>
  <c r="C1136" i="1"/>
  <c r="C657" i="1"/>
  <c r="C1155" i="1"/>
  <c r="C786" i="1"/>
  <c r="C1715" i="1"/>
  <c r="C1587" i="1"/>
  <c r="C1459" i="1"/>
  <c r="C1331" i="1"/>
  <c r="C1083" i="1"/>
  <c r="C510" i="1"/>
  <c r="C852" i="1"/>
  <c r="C126" i="1"/>
  <c r="C753" i="1"/>
  <c r="C1120" i="1"/>
  <c r="C987" i="1"/>
  <c r="C661" i="1"/>
  <c r="C886" i="1"/>
  <c r="C542" i="1"/>
  <c r="C382" i="1"/>
  <c r="C398" i="1"/>
  <c r="C306" i="1"/>
  <c r="C363" i="1"/>
  <c r="C555" i="1"/>
  <c r="C130" i="1"/>
  <c r="C748" i="1"/>
  <c r="C600" i="1"/>
  <c r="C220" i="1"/>
  <c r="C569" i="1"/>
  <c r="C274" i="1"/>
  <c r="C259" i="1"/>
  <c r="C472" i="1"/>
  <c r="C344" i="1"/>
  <c r="C95" i="1"/>
  <c r="C225" i="1"/>
  <c r="C40" i="1"/>
  <c r="G2200" i="1"/>
  <c r="G3289" i="1"/>
  <c r="G3119" i="1"/>
  <c r="G2836" i="1"/>
  <c r="G3114" i="1"/>
  <c r="G3235" i="1"/>
  <c r="G2612" i="1"/>
  <c r="G3298" i="1"/>
  <c r="G3036" i="1"/>
  <c r="G3068" i="1"/>
  <c r="G3365" i="1"/>
  <c r="G2413" i="1"/>
  <c r="G2711" i="1"/>
  <c r="G2455" i="1"/>
  <c r="G2062" i="1"/>
  <c r="G2082" i="1"/>
  <c r="G2658" i="1"/>
  <c r="G2394" i="1"/>
  <c r="G3014" i="1"/>
  <c r="G1930" i="1"/>
  <c r="G2573" i="1"/>
  <c r="G2281" i="1"/>
  <c r="G2066" i="1"/>
  <c r="G1981" i="1"/>
  <c r="G2052" i="1"/>
  <c r="G1891" i="1"/>
  <c r="G1983" i="1"/>
  <c r="G1657" i="1"/>
  <c r="G1641" i="1"/>
  <c r="G1647" i="1"/>
  <c r="G881" i="1"/>
  <c r="G1406" i="1"/>
  <c r="G1246" i="1"/>
  <c r="G1459" i="1"/>
  <c r="G1334" i="1"/>
  <c r="G1546" i="1"/>
  <c r="G765" i="1"/>
  <c r="G952" i="1"/>
  <c r="G1038" i="1"/>
  <c r="G623" i="1"/>
  <c r="G323" i="1"/>
  <c r="G151" i="1"/>
  <c r="C2821" i="1"/>
  <c r="C3168" i="1"/>
  <c r="C2547" i="1"/>
  <c r="C3362" i="1"/>
  <c r="C1478" i="1"/>
  <c r="C1055" i="1"/>
  <c r="C1440" i="1"/>
  <c r="C1572" i="1"/>
  <c r="C450" i="1"/>
  <c r="C1847" i="1"/>
  <c r="C1609" i="1"/>
  <c r="C1591" i="1"/>
  <c r="C192" i="1"/>
  <c r="C554" i="1"/>
  <c r="C146" i="1"/>
  <c r="C304" i="1"/>
  <c r="G3124" i="1"/>
  <c r="G2692" i="1"/>
  <c r="G2219" i="1"/>
  <c r="G2324" i="1"/>
  <c r="G2015" i="1"/>
  <c r="G1391" i="1"/>
  <c r="C2355" i="1"/>
  <c r="C1955" i="1"/>
  <c r="C3260" i="1"/>
  <c r="C2708" i="1"/>
  <c r="C2" i="1"/>
  <c r="C3028" i="1"/>
  <c r="C3132" i="1"/>
  <c r="C2173" i="1"/>
  <c r="C2403" i="1"/>
  <c r="C3360" i="1"/>
  <c r="C2876" i="1"/>
  <c r="C2812" i="1"/>
  <c r="C3283" i="1"/>
  <c r="C2910" i="1"/>
  <c r="C3139" i="1"/>
  <c r="C2627" i="1"/>
  <c r="C2748" i="1"/>
  <c r="C3160" i="1"/>
  <c r="C2186" i="1"/>
  <c r="C2317" i="1"/>
  <c r="C793" i="1"/>
  <c r="C2978" i="1"/>
  <c r="C3068" i="1"/>
  <c r="C2782" i="1"/>
  <c r="C2375" i="1"/>
  <c r="C1450" i="1"/>
  <c r="C2566" i="1"/>
  <c r="C3274" i="1"/>
  <c r="C3345" i="1"/>
  <c r="C3185" i="1"/>
  <c r="C3035" i="1"/>
  <c r="C2716" i="1"/>
  <c r="C2276" i="1"/>
  <c r="C236" i="1"/>
  <c r="C2019" i="1"/>
  <c r="C3090" i="1"/>
  <c r="C3008" i="1"/>
  <c r="C2715" i="1"/>
  <c r="C2265" i="1"/>
  <c r="C1802" i="1"/>
  <c r="C1997" i="1"/>
  <c r="C1031" i="1"/>
  <c r="C2733" i="1"/>
  <c r="C2418" i="1"/>
  <c r="C2006" i="1"/>
  <c r="C814" i="1"/>
  <c r="C2654" i="1"/>
  <c r="C2321" i="1"/>
  <c r="C1716" i="1"/>
  <c r="C2295" i="1"/>
  <c r="C2020" i="1"/>
  <c r="C1408" i="1"/>
  <c r="C2644" i="1"/>
  <c r="C2516" i="1"/>
  <c r="C2388" i="1"/>
  <c r="C2211" i="1"/>
  <c r="C1886" i="1"/>
  <c r="C1236" i="1"/>
  <c r="C2252" i="1"/>
  <c r="C1958" i="1"/>
  <c r="C1280" i="1"/>
  <c r="C1968" i="1"/>
  <c r="C1650" i="1"/>
  <c r="C1194" i="1"/>
  <c r="C2039" i="1"/>
  <c r="C1776" i="1"/>
  <c r="C1264" i="1"/>
  <c r="C693" i="1"/>
  <c r="C1856" i="1"/>
  <c r="C1410" i="1"/>
  <c r="C747" i="1"/>
  <c r="C1705" i="1"/>
  <c r="C1577" i="1"/>
  <c r="C1449" i="1"/>
  <c r="C1321" i="1"/>
  <c r="C1049" i="1"/>
  <c r="C443" i="1"/>
  <c r="C1110" i="1"/>
  <c r="C638" i="1"/>
  <c r="C1687" i="1"/>
  <c r="C1559" i="1"/>
  <c r="C1431" i="1"/>
  <c r="C1303" i="1"/>
  <c r="C1001" i="1"/>
  <c r="C599" i="1"/>
  <c r="C749" i="1"/>
  <c r="C960" i="1"/>
  <c r="C679" i="1"/>
  <c r="C1092" i="1"/>
  <c r="C932" i="1"/>
  <c r="C426" i="1"/>
  <c r="C834" i="1"/>
  <c r="C365" i="1"/>
  <c r="C228" i="1"/>
  <c r="C281" i="1"/>
  <c r="C173" i="1"/>
  <c r="C258" i="1"/>
  <c r="C465" i="1"/>
  <c r="C6" i="1"/>
  <c r="C720" i="1"/>
  <c r="C527" i="1"/>
  <c r="C119" i="1"/>
  <c r="C541" i="1"/>
  <c r="C201" i="1"/>
  <c r="C200" i="1"/>
  <c r="C444" i="1"/>
  <c r="C285" i="1"/>
  <c r="C58" i="1"/>
  <c r="C170" i="1"/>
  <c r="C8" i="1"/>
  <c r="G2776" i="1"/>
  <c r="G3252" i="1"/>
  <c r="G3081" i="1"/>
  <c r="G2700" i="1"/>
  <c r="G3118" i="1"/>
  <c r="G3160" i="1"/>
  <c r="G2381" i="1"/>
  <c r="G3170" i="1"/>
  <c r="G3367" i="1"/>
  <c r="G3000" i="1"/>
  <c r="G3152" i="1"/>
  <c r="G3055" i="1"/>
  <c r="G2679" i="1"/>
  <c r="G2422" i="1"/>
  <c r="G1838" i="1"/>
  <c r="G1710" i="1"/>
  <c r="G2626" i="1"/>
  <c r="G2352" i="1"/>
  <c r="G2954" i="1"/>
  <c r="G1110" i="1"/>
  <c r="G2541" i="1"/>
  <c r="G2238" i="1"/>
  <c r="G1692" i="1"/>
  <c r="G1949" i="1"/>
  <c r="G2020" i="1"/>
  <c r="G1762" i="1"/>
  <c r="G1951" i="1"/>
  <c r="G1883" i="1"/>
  <c r="G1577" i="1"/>
  <c r="G1140" i="1"/>
  <c r="G1636" i="1"/>
  <c r="G1331" i="1"/>
  <c r="G956" i="1"/>
  <c r="G1427" i="1"/>
  <c r="G1292" i="1"/>
  <c r="G1514" i="1"/>
  <c r="G1353" i="1"/>
  <c r="G407" i="1"/>
  <c r="G782" i="1"/>
  <c r="G456" i="1"/>
  <c r="G177" i="1"/>
  <c r="G23" i="1"/>
  <c r="C2531" i="1"/>
  <c r="C3076" i="1"/>
  <c r="C1582" i="1"/>
  <c r="C2755" i="1"/>
  <c r="C2349" i="1"/>
  <c r="C2399" i="1"/>
  <c r="C2507" i="1"/>
  <c r="C2727" i="1"/>
  <c r="C2548" i="1"/>
  <c r="C2046" i="1"/>
  <c r="C719" i="1"/>
  <c r="C1059" i="1"/>
  <c r="C1353" i="1"/>
  <c r="C1719" i="1"/>
  <c r="C857" i="1"/>
  <c r="C895" i="1"/>
  <c r="C378" i="1"/>
  <c r="C237" i="1"/>
  <c r="C234" i="1"/>
  <c r="G2306" i="1"/>
  <c r="G2184" i="1"/>
  <c r="G2694" i="1"/>
  <c r="G2211" i="1"/>
  <c r="G1726" i="1"/>
  <c r="G1144" i="1"/>
  <c r="C3123" i="1"/>
  <c r="C2145" i="1"/>
  <c r="C2155" i="1"/>
  <c r="C3336" i="1"/>
  <c r="C2836" i="1"/>
  <c r="C2735" i="1"/>
  <c r="C3243" i="1"/>
  <c r="C2891" i="1"/>
  <c r="C3107" i="1"/>
  <c r="C2541" i="1"/>
  <c r="C2692" i="1"/>
  <c r="C3151" i="1"/>
  <c r="C2164" i="1"/>
  <c r="C2306" i="1"/>
  <c r="C419" i="1"/>
  <c r="C2930" i="1"/>
  <c r="C3057" i="1"/>
  <c r="C2774" i="1"/>
  <c r="C2367" i="1"/>
  <c r="C1416" i="1"/>
  <c r="C2505" i="1"/>
  <c r="C3262" i="1"/>
  <c r="C3333" i="1"/>
  <c r="C3181" i="1"/>
  <c r="C3030" i="1"/>
  <c r="C2709" i="1"/>
  <c r="C2255" i="1"/>
  <c r="C3053" i="1"/>
  <c r="C1972" i="1"/>
  <c r="C3078" i="1"/>
  <c r="C2997" i="1"/>
  <c r="C2702" i="1"/>
  <c r="C2207" i="1"/>
  <c r="C1788" i="1"/>
  <c r="C1974" i="1"/>
  <c r="C979" i="1"/>
  <c r="C2728" i="1"/>
  <c r="C2411" i="1"/>
  <c r="C1994" i="1"/>
  <c r="C717" i="1"/>
  <c r="C2647" i="1"/>
  <c r="C2308" i="1"/>
  <c r="C1534" i="1"/>
  <c r="C2286" i="1"/>
  <c r="C2013" i="1"/>
  <c r="C1336" i="1"/>
  <c r="C2640" i="1"/>
  <c r="C2512" i="1"/>
  <c r="C2384" i="1"/>
  <c r="C2202" i="1"/>
  <c r="C1878" i="1"/>
  <c r="C1222" i="1"/>
  <c r="C2247" i="1"/>
  <c r="C1944" i="1"/>
  <c r="C1247" i="1"/>
  <c r="C1963" i="1"/>
  <c r="C1644" i="1"/>
  <c r="C1169" i="1"/>
  <c r="C2030" i="1"/>
  <c r="C1750" i="1"/>
  <c r="C1250" i="1"/>
  <c r="C671" i="1"/>
  <c r="C1851" i="1"/>
  <c r="C1404" i="1"/>
  <c r="C729" i="1"/>
  <c r="C1701" i="1"/>
  <c r="C1573" i="1"/>
  <c r="C1445" i="1"/>
  <c r="C1317" i="1"/>
  <c r="C1042" i="1"/>
  <c r="C417" i="1"/>
  <c r="C1103" i="1"/>
  <c r="C602" i="1"/>
  <c r="C1683" i="1"/>
  <c r="C1555" i="1"/>
  <c r="C1427" i="1"/>
  <c r="C1299" i="1"/>
  <c r="C994" i="1"/>
  <c r="C483" i="1"/>
  <c r="C737" i="1"/>
  <c r="C951" i="1"/>
  <c r="C667" i="1"/>
  <c r="C1088" i="1"/>
  <c r="C923" i="1"/>
  <c r="C411" i="1"/>
  <c r="C829" i="1"/>
  <c r="C350" i="1"/>
  <c r="C176" i="1"/>
  <c r="C268" i="1"/>
  <c r="C159" i="1"/>
  <c r="C233" i="1"/>
  <c r="C439" i="1"/>
  <c r="C844" i="1"/>
  <c r="C716" i="1"/>
  <c r="C522" i="1"/>
  <c r="C112" i="1"/>
  <c r="C537" i="1"/>
  <c r="C194" i="1"/>
  <c r="C195" i="1"/>
  <c r="C440" i="1"/>
  <c r="C276" i="1"/>
  <c r="C53" i="1"/>
  <c r="C161" i="1"/>
  <c r="C4" i="1"/>
  <c r="G2680" i="1"/>
  <c r="G3247" i="1"/>
  <c r="G3076" i="1"/>
  <c r="G2444" i="1"/>
  <c r="G2656" i="1"/>
  <c r="G3112" i="1"/>
  <c r="G2210" i="1"/>
  <c r="G3052" i="1"/>
  <c r="G3324" i="1"/>
  <c r="G2936" i="1"/>
  <c r="G2869" i="1"/>
  <c r="G2995" i="1"/>
  <c r="G2647" i="1"/>
  <c r="G2380" i="1"/>
  <c r="G3031" i="1"/>
  <c r="G2982" i="1"/>
  <c r="G2594" i="1"/>
  <c r="G2309" i="1"/>
  <c r="G2894" i="1"/>
  <c r="G2765" i="1"/>
  <c r="G2509" i="1"/>
  <c r="G2196" i="1"/>
  <c r="G1776" i="1"/>
  <c r="G1917" i="1"/>
  <c r="G1988" i="1"/>
  <c r="G1621" i="1"/>
  <c r="G1919" i="1"/>
  <c r="G1819" i="1"/>
  <c r="G1513" i="1"/>
  <c r="G1343" i="1"/>
  <c r="G1604" i="1"/>
  <c r="G1221" i="1"/>
  <c r="G622" i="1"/>
  <c r="G1373" i="1"/>
  <c r="G1135" i="1"/>
  <c r="G1482" i="1"/>
  <c r="G1296" i="1"/>
  <c r="G926" i="1"/>
  <c r="G399" i="1"/>
  <c r="G380" i="1"/>
  <c r="G262" i="1"/>
  <c r="C3038" i="1"/>
  <c r="C3259" i="1"/>
  <c r="C2867" i="1"/>
  <c r="C3217" i="1"/>
  <c r="C3178" i="1"/>
  <c r="C1278" i="1"/>
  <c r="C1946" i="1"/>
  <c r="C2275" i="1"/>
  <c r="C2032" i="1"/>
  <c r="C1920" i="1"/>
  <c r="C1152" i="1"/>
  <c r="C1335" i="1"/>
  <c r="C1124" i="1"/>
  <c r="C319" i="1"/>
  <c r="C573" i="1"/>
  <c r="C44" i="1"/>
  <c r="G3331" i="1"/>
  <c r="G2672" i="1"/>
  <c r="G2434" i="1"/>
  <c r="G2013" i="1"/>
  <c r="G1713" i="1"/>
  <c r="G1298" i="1"/>
  <c r="G1160" i="1"/>
  <c r="G408" i="1"/>
  <c r="C3075" i="1"/>
  <c r="C2996" i="1"/>
  <c r="C2806" i="1"/>
  <c r="C2643" i="1"/>
  <c r="C3220" i="1"/>
  <c r="C2557" i="1"/>
  <c r="C2662" i="1"/>
  <c r="C2542" i="1"/>
  <c r="C3124" i="1"/>
  <c r="C3359" i="1"/>
  <c r="C3006" i="1"/>
  <c r="C1272" i="1"/>
  <c r="C2160" i="1"/>
  <c r="C3298" i="1"/>
  <c r="C2753" i="1"/>
  <c r="C3004" i="1"/>
  <c r="C2703" i="1"/>
  <c r="C2218" i="1"/>
  <c r="C1119" i="1"/>
  <c r="C2318" i="1"/>
  <c r="C3162" i="1"/>
  <c r="C3281" i="1"/>
  <c r="C3153" i="1"/>
  <c r="C2971" i="1"/>
  <c r="C2587" i="1"/>
  <c r="C2178" i="1"/>
  <c r="C2854" i="1"/>
  <c r="C897" i="1"/>
  <c r="C2881" i="1"/>
  <c r="C2944" i="1"/>
  <c r="C2638" i="1"/>
  <c r="C2069" i="1"/>
  <c r="C1562" i="1"/>
  <c r="C1770" i="1"/>
  <c r="C487" i="1"/>
  <c r="C2674" i="1"/>
  <c r="C2341" i="1"/>
  <c r="C1866" i="1"/>
  <c r="C2855" i="1"/>
  <c r="C2577" i="1"/>
  <c r="C2219" i="1"/>
  <c r="C1306" i="1"/>
  <c r="C2231" i="1"/>
  <c r="C1910" i="1"/>
  <c r="C1213" i="1"/>
  <c r="C2612" i="1"/>
  <c r="C2484" i="1"/>
  <c r="C2356" i="1"/>
  <c r="C2147" i="1"/>
  <c r="C1798" i="1"/>
  <c r="C1077" i="1"/>
  <c r="C2188" i="1"/>
  <c r="C1855" i="1"/>
  <c r="C1107" i="1"/>
  <c r="C1904" i="1"/>
  <c r="C1522" i="1"/>
  <c r="C1034" i="1"/>
  <c r="C1975" i="1"/>
  <c r="C1648" i="1"/>
  <c r="C1157" i="1"/>
  <c r="C2048" i="1"/>
  <c r="C1791" i="1"/>
  <c r="C1282" i="1"/>
  <c r="C231" i="1"/>
  <c r="C1673" i="1"/>
  <c r="C1545" i="1"/>
  <c r="C1417" i="1"/>
  <c r="C1289" i="1"/>
  <c r="C966" i="1"/>
  <c r="C1246" i="1"/>
  <c r="C1021" i="1"/>
  <c r="C82" i="1"/>
  <c r="C1655" i="1"/>
  <c r="C1527" i="1"/>
  <c r="C1399" i="1"/>
  <c r="C1271" i="1"/>
  <c r="C879" i="1"/>
  <c r="C123" i="1"/>
  <c r="C663" i="1"/>
  <c r="C896" i="1"/>
  <c r="C588" i="1"/>
  <c r="C1060" i="1"/>
  <c r="C868" i="1"/>
  <c r="C156" i="1"/>
  <c r="C763" i="1"/>
  <c r="C114" i="1"/>
  <c r="C645" i="1"/>
  <c r="C627" i="1"/>
  <c r="C566" i="1"/>
  <c r="C149" i="1"/>
  <c r="C354" i="1"/>
  <c r="C816" i="1"/>
  <c r="C688" i="1"/>
  <c r="C449" i="1"/>
  <c r="C23" i="1"/>
  <c r="C479" i="1"/>
  <c r="C105" i="1"/>
  <c r="C136" i="1"/>
  <c r="C412" i="1"/>
  <c r="C221" i="1"/>
  <c r="C15" i="1"/>
  <c r="C108" i="1"/>
  <c r="G3237" i="1"/>
  <c r="G2263" i="1"/>
  <c r="G3209" i="1"/>
  <c r="G3028" i="1"/>
  <c r="G2280" i="1"/>
  <c r="G2419" i="1"/>
  <c r="G3069" i="1"/>
  <c r="G3275" i="1"/>
  <c r="G2600" i="1"/>
  <c r="G3281" i="1"/>
  <c r="G2872" i="1"/>
  <c r="G2054" i="1"/>
  <c r="G2931" i="1"/>
  <c r="G2615" i="1"/>
  <c r="G2337" i="1"/>
  <c r="G2967" i="1"/>
  <c r="G2914" i="1"/>
  <c r="G2562" i="1"/>
  <c r="G2266" i="1"/>
  <c r="G2830" i="1"/>
  <c r="G2733" i="1"/>
  <c r="G2477" i="1"/>
  <c r="G2153" i="1"/>
  <c r="G1525" i="1"/>
  <c r="G1875" i="1"/>
  <c r="G1956" i="1"/>
  <c r="G753" i="1"/>
  <c r="G1879" i="1"/>
  <c r="G1755" i="1"/>
  <c r="G1449" i="1"/>
  <c r="G882" i="1"/>
  <c r="G1572" i="1"/>
  <c r="G1157" i="1"/>
  <c r="G1619" i="1"/>
  <c r="G1271" i="1"/>
  <c r="G945" i="1"/>
  <c r="G1450" i="1"/>
  <c r="G1134" i="1"/>
  <c r="G1179" i="1"/>
  <c r="G960" i="1"/>
  <c r="G487" i="1"/>
  <c r="G224" i="1"/>
  <c r="C2677" i="1"/>
  <c r="C2001" i="1"/>
  <c r="C2523" i="1"/>
  <c r="C2495" i="1"/>
  <c r="C3089" i="1"/>
  <c r="C3072" i="1"/>
  <c r="C2797" i="1"/>
  <c r="C2398" i="1"/>
  <c r="C2420" i="1"/>
  <c r="C1444" i="1"/>
  <c r="C1392" i="1"/>
  <c r="C1481" i="1"/>
  <c r="C1463" i="1"/>
  <c r="C765" i="1"/>
  <c r="C390" i="1"/>
  <c r="C752" i="1"/>
  <c r="C476" i="1"/>
  <c r="G3295" i="1"/>
  <c r="G3203" i="1"/>
  <c r="G2487" i="1"/>
  <c r="G2605" i="1"/>
  <c r="G1788" i="1"/>
  <c r="G1578" i="1"/>
  <c r="C2943" i="1"/>
  <c r="C2337" i="1"/>
  <c r="C1137" i="1"/>
  <c r="C1095" i="1"/>
  <c r="C3240" i="1"/>
  <c r="C2290" i="1"/>
  <c r="C3339" i="1"/>
  <c r="C2969" i="1"/>
  <c r="C695" i="1"/>
  <c r="C2515" i="1"/>
  <c r="C3232" i="1"/>
  <c r="C2594" i="1"/>
  <c r="C3136" i="1"/>
  <c r="C2421" i="1"/>
  <c r="C2637" i="1"/>
  <c r="C2473" i="1"/>
  <c r="C3043" i="1"/>
  <c r="C3351" i="1"/>
  <c r="C2964" i="1"/>
  <c r="C1183" i="1"/>
  <c r="C2131" i="1"/>
  <c r="C3290" i="1"/>
  <c r="C2740" i="1"/>
  <c r="C2993" i="1"/>
  <c r="C2682" i="1"/>
  <c r="C2209" i="1"/>
  <c r="C1069" i="1"/>
  <c r="C2260" i="1"/>
  <c r="C3150" i="1"/>
  <c r="C3277" i="1"/>
  <c r="C3149" i="1"/>
  <c r="C2966" i="1"/>
  <c r="C2579" i="1"/>
  <c r="C2168" i="1"/>
  <c r="C2819" i="1"/>
  <c r="C799" i="1"/>
  <c r="C2853" i="1"/>
  <c r="C2933" i="1"/>
  <c r="C2630" i="1"/>
  <c r="C2008" i="1"/>
  <c r="C1544" i="1"/>
  <c r="C1754" i="1"/>
  <c r="C110" i="1"/>
  <c r="C2667" i="1"/>
  <c r="C2322" i="1"/>
  <c r="C1854" i="1"/>
  <c r="C2850" i="1"/>
  <c r="C2558" i="1"/>
  <c r="C2205" i="1"/>
  <c r="C1288" i="1"/>
  <c r="C2222" i="1"/>
  <c r="C1903" i="1"/>
  <c r="C1201" i="1"/>
  <c r="C2608" i="1"/>
  <c r="C2480" i="1"/>
  <c r="C2352" i="1"/>
  <c r="C2138" i="1"/>
  <c r="C1790" i="1"/>
  <c r="C1062" i="1"/>
  <c r="C2183" i="1"/>
  <c r="C1841" i="1"/>
  <c r="C1093" i="1"/>
  <c r="C1899" i="1"/>
  <c r="C1516" i="1"/>
  <c r="C1023" i="1"/>
  <c r="C1966" i="1"/>
  <c r="C1622" i="1"/>
  <c r="C1148" i="1"/>
  <c r="C2043" i="1"/>
  <c r="C1786" i="1"/>
  <c r="C1276" i="1"/>
  <c r="C50" i="1"/>
  <c r="C1669" i="1"/>
  <c r="C1541" i="1"/>
  <c r="C1413" i="1"/>
  <c r="C1285" i="1"/>
  <c r="C957" i="1"/>
  <c r="C1241" i="1"/>
  <c r="C1014" i="1"/>
  <c r="C33" i="1"/>
  <c r="C1651" i="1"/>
  <c r="C1523" i="1"/>
  <c r="C1395" i="1"/>
  <c r="C1267" i="1"/>
  <c r="C870" i="1"/>
  <c r="C70" i="1"/>
  <c r="C651" i="1"/>
  <c r="C887" i="1"/>
  <c r="C556" i="1"/>
  <c r="C1056" i="1"/>
  <c r="C859" i="1"/>
  <c r="C139" i="1"/>
  <c r="C751" i="1"/>
  <c r="C86" i="1"/>
  <c r="C639" i="1"/>
  <c r="C603" i="1"/>
  <c r="C552" i="1"/>
  <c r="C141" i="1"/>
  <c r="C346" i="1"/>
  <c r="C812" i="1"/>
  <c r="C684" i="1"/>
  <c r="C433" i="1"/>
  <c r="C3" i="1"/>
  <c r="C470" i="1"/>
  <c r="C97" i="1"/>
  <c r="C131" i="1"/>
  <c r="C408" i="1"/>
  <c r="C212" i="1"/>
  <c r="C10" i="1"/>
  <c r="C104" i="1"/>
  <c r="G3205" i="1"/>
  <c r="G2199" i="1"/>
  <c r="G3204" i="1"/>
  <c r="G2964" i="1"/>
  <c r="G1958" i="1"/>
  <c r="G1914" i="1"/>
  <c r="G3009" i="1"/>
  <c r="G2853" i="1"/>
  <c r="G2231" i="1"/>
  <c r="G3239" i="1"/>
  <c r="G2808" i="1"/>
  <c r="G3334" i="1"/>
  <c r="G2867" i="1"/>
  <c r="G2583" i="1"/>
  <c r="G2294" i="1"/>
  <c r="G2903" i="1"/>
  <c r="G2850" i="1"/>
  <c r="G2530" i="1"/>
  <c r="G2224" i="1"/>
  <c r="G2770" i="1"/>
  <c r="G2701" i="1"/>
  <c r="G2445" i="1"/>
  <c r="G1950" i="1"/>
  <c r="G2109" i="1"/>
  <c r="G1747" i="1"/>
  <c r="G1924" i="1"/>
  <c r="G2111" i="1"/>
  <c r="G1770" i="1"/>
  <c r="G1691" i="1"/>
  <c r="G1174" i="1"/>
  <c r="G1839" i="1"/>
  <c r="G1540" i="1"/>
  <c r="G931" i="1"/>
  <c r="G1587" i="1"/>
  <c r="G1202" i="1"/>
  <c r="G662" i="1"/>
  <c r="G1413" i="1"/>
  <c r="G841" i="1"/>
  <c r="G784" i="1"/>
  <c r="G471" i="1"/>
  <c r="G728" i="1"/>
  <c r="G473" i="1"/>
  <c r="C3231" i="1"/>
  <c r="C2676" i="1"/>
  <c r="C1161" i="1"/>
  <c r="C101" i="1"/>
  <c r="C3027" i="1"/>
  <c r="C2772" i="1"/>
  <c r="C3152" i="1"/>
  <c r="C2370" i="1"/>
  <c r="C2077" i="1"/>
  <c r="C3280" i="1"/>
  <c r="C2363" i="1"/>
  <c r="C3364" i="1"/>
  <c r="C2330" i="1"/>
  <c r="C3295" i="1"/>
  <c r="C2793" i="1"/>
  <c r="C2989" i="1"/>
  <c r="C1992" i="1"/>
  <c r="C3206" i="1"/>
  <c r="C2666" i="1"/>
  <c r="C2940" i="1"/>
  <c r="C2614" i="1"/>
  <c r="C2130" i="1"/>
  <c r="C3000" i="1"/>
  <c r="C1880" i="1"/>
  <c r="C3042" i="1"/>
  <c r="C3249" i="1"/>
  <c r="C3121" i="1"/>
  <c r="C2880" i="1"/>
  <c r="C2467" i="1"/>
  <c r="C1917" i="1"/>
  <c r="C2607" i="1"/>
  <c r="C3270" i="1"/>
  <c r="C3341" i="1"/>
  <c r="C2886" i="1"/>
  <c r="C2518" i="1"/>
  <c r="C1736" i="1"/>
  <c r="C1185" i="1"/>
  <c r="C1640" i="1"/>
  <c r="C2861" i="1"/>
  <c r="C2597" i="1"/>
  <c r="C2235" i="1"/>
  <c r="C1702" i="1"/>
  <c r="C2791" i="1"/>
  <c r="C2487" i="1"/>
  <c r="C2125" i="1"/>
  <c r="C1102" i="1"/>
  <c r="C2167" i="1"/>
  <c r="C1816" i="1"/>
  <c r="C913" i="1"/>
  <c r="C2580" i="1"/>
  <c r="C2452" i="1"/>
  <c r="C2324" i="1"/>
  <c r="C2083" i="1"/>
  <c r="C1608" i="1"/>
  <c r="C929" i="1"/>
  <c r="C2124" i="1"/>
  <c r="C1658" i="1"/>
  <c r="C594" i="1"/>
  <c r="C1840" i="1"/>
  <c r="C1394" i="1"/>
  <c r="C908" i="1"/>
  <c r="C1911" i="1"/>
  <c r="C1520" i="1"/>
  <c r="C1050" i="1"/>
  <c r="C1984" i="1"/>
  <c r="C1666" i="1"/>
  <c r="C1164" i="1"/>
  <c r="C1769" i="1"/>
  <c r="C1641" i="1"/>
  <c r="C1513" i="1"/>
  <c r="C1385" i="1"/>
  <c r="C1257" i="1"/>
  <c r="C837" i="1"/>
  <c r="C1203" i="1"/>
  <c r="C917" i="1"/>
  <c r="C1751" i="1"/>
  <c r="C1623" i="1"/>
  <c r="C1495" i="1"/>
  <c r="C1367" i="1"/>
  <c r="C1192" i="1"/>
  <c r="C785" i="1"/>
  <c r="C921" i="1"/>
  <c r="C471" i="1"/>
  <c r="C835" i="1"/>
  <c r="C290" i="1"/>
  <c r="C1028" i="1"/>
  <c r="C758" i="1"/>
  <c r="C959" i="1"/>
  <c r="C678" i="1"/>
  <c r="C580" i="1"/>
  <c r="C567" i="1"/>
  <c r="C489" i="1"/>
  <c r="C462" i="1"/>
  <c r="C39" i="1"/>
  <c r="C263" i="1"/>
  <c r="C784" i="1"/>
  <c r="C656" i="1"/>
  <c r="C345" i="1"/>
  <c r="C605" i="1"/>
  <c r="C397" i="1"/>
  <c r="C328" i="1"/>
  <c r="C508" i="1"/>
  <c r="C380" i="1"/>
  <c r="C157" i="1"/>
  <c r="C298" i="1"/>
  <c r="C76" i="1"/>
  <c r="G2949" i="1"/>
  <c r="G3337" i="1"/>
  <c r="G3167" i="1"/>
  <c r="G2956" i="1"/>
  <c r="G3232" i="1"/>
  <c r="G3157" i="1"/>
  <c r="G2945" i="1"/>
  <c r="G3352" i="1"/>
  <c r="G3307" i="1"/>
  <c r="G3196" i="1"/>
  <c r="G2588" i="1"/>
  <c r="G3206" i="1"/>
  <c r="G2815" i="1"/>
  <c r="G2551" i="1"/>
  <c r="G2252" i="1"/>
  <c r="G2839" i="1"/>
  <c r="G2782" i="1"/>
  <c r="G2498" i="1"/>
  <c r="G2181" i="1"/>
  <c r="G2383" i="1"/>
  <c r="G2669" i="1"/>
  <c r="G2409" i="1"/>
  <c r="G1655" i="1"/>
  <c r="G2077" i="1"/>
  <c r="G1501" i="1"/>
  <c r="G1887" i="1"/>
  <c r="G2079" i="1"/>
  <c r="G1533" i="1"/>
  <c r="G1242" i="1"/>
  <c r="G1854" i="1"/>
  <c r="G1775" i="1"/>
  <c r="G1508" i="1"/>
  <c r="G1401" i="1"/>
  <c r="G1555" i="1"/>
  <c r="G1136" i="1"/>
  <c r="G1642" i="1"/>
  <c r="G1349" i="1"/>
  <c r="G1256" i="1"/>
  <c r="G758" i="1"/>
  <c r="G857" i="1"/>
  <c r="G584" i="1"/>
  <c r="G345" i="1"/>
  <c r="G3107" i="1"/>
  <c r="G3105" i="1"/>
  <c r="G3339" i="1"/>
  <c r="G3047" i="1"/>
  <c r="G2579" i="1"/>
  <c r="G2246" i="1"/>
  <c r="G2831" i="1"/>
  <c r="G2842" i="1"/>
  <c r="G2558" i="1"/>
  <c r="G2261" i="1"/>
  <c r="G2886" i="1"/>
  <c r="G2761" i="1"/>
  <c r="G2505" i="1"/>
  <c r="G2148" i="1"/>
  <c r="G2105" i="1"/>
  <c r="G2112" i="1"/>
  <c r="G2139" i="1"/>
  <c r="G1768" i="1"/>
  <c r="G1472" i="1"/>
  <c r="G1574" i="1"/>
  <c r="G165" i="1"/>
  <c r="C2185" i="1"/>
  <c r="C2884" i="1"/>
  <c r="C1760" i="1"/>
  <c r="C2784" i="1"/>
  <c r="C2439" i="1"/>
  <c r="C2004" i="1"/>
  <c r="C3148" i="1"/>
  <c r="C2517" i="1"/>
  <c r="C3228" i="1"/>
  <c r="C1839" i="1"/>
  <c r="C2378" i="1"/>
  <c r="C3187" i="1"/>
  <c r="C2601" i="1"/>
  <c r="C3320" i="1"/>
  <c r="C3224" i="1"/>
  <c r="C3120" i="1"/>
  <c r="C2995" i="1"/>
  <c r="C2820" i="1"/>
  <c r="C2550" i="1"/>
  <c r="C2299" i="1"/>
  <c r="C1882" i="1"/>
  <c r="C2634" i="1"/>
  <c r="C3071" i="1"/>
  <c r="C3176" i="1"/>
  <c r="C2203" i="1"/>
  <c r="C3211" i="1"/>
  <c r="C2303" i="1"/>
  <c r="C3183" i="1"/>
  <c r="C3034" i="1"/>
  <c r="C2835" i="1"/>
  <c r="C2618" i="1"/>
  <c r="C2292" i="1"/>
  <c r="C1811" i="1"/>
  <c r="C3084" i="1"/>
  <c r="C2381" i="1"/>
  <c r="C3308" i="1"/>
  <c r="C3059" i="1"/>
  <c r="C2491" i="1"/>
  <c r="C2931" i="1"/>
  <c r="C2153" i="1"/>
  <c r="C3203" i="1"/>
  <c r="C2626" i="1"/>
  <c r="C3343" i="1"/>
  <c r="C3279" i="1"/>
  <c r="C3215" i="1"/>
  <c r="C3128" i="1"/>
  <c r="C2921" i="1"/>
  <c r="C2736" i="1"/>
  <c r="C2431" i="1"/>
  <c r="C2136" i="1"/>
  <c r="C848" i="1"/>
  <c r="C2952" i="1"/>
  <c r="C2419" i="1"/>
  <c r="C2297" i="1"/>
  <c r="C2122" i="1"/>
  <c r="C1898" i="1"/>
  <c r="C1354" i="1"/>
  <c r="C3358" i="1"/>
  <c r="C3278" i="1"/>
  <c r="C3182" i="1"/>
  <c r="C3094" i="1"/>
  <c r="C2914" i="1"/>
  <c r="C2732" i="1"/>
  <c r="C2650" i="1"/>
  <c r="C2530" i="1"/>
  <c r="C3052" i="1"/>
  <c r="C2988" i="1"/>
  <c r="C2924" i="1"/>
  <c r="C2846" i="1"/>
  <c r="C2767" i="1"/>
  <c r="C2665" i="1"/>
  <c r="C2598" i="1"/>
  <c r="C2478" i="1"/>
  <c r="C2358" i="1"/>
  <c r="C2200" i="1"/>
  <c r="C2112" i="1"/>
  <c r="C1942" i="1"/>
  <c r="C1384" i="1"/>
  <c r="C1015" i="1"/>
  <c r="C2957" i="1"/>
  <c r="C2698" i="1"/>
  <c r="C2489" i="1"/>
  <c r="C2240" i="1"/>
  <c r="C1390" i="1"/>
  <c r="C3334" i="1"/>
  <c r="C3250" i="1"/>
  <c r="C3122" i="1"/>
  <c r="C2999" i="1"/>
  <c r="C2825" i="1"/>
  <c r="C3325" i="1"/>
  <c r="C3273" i="1"/>
  <c r="C3241" i="1"/>
  <c r="C3209" i="1"/>
  <c r="C3177" i="1"/>
  <c r="C3145" i="1"/>
  <c r="C3113" i="1"/>
  <c r="C3081" i="1"/>
  <c r="C3019" i="1"/>
  <c r="C2955" i="1"/>
  <c r="C2865" i="1"/>
  <c r="C2780" i="1"/>
  <c r="C2688" i="1"/>
  <c r="C2570" i="1"/>
  <c r="C2451" i="1"/>
  <c r="C2331" i="1"/>
  <c r="C2246" i="1"/>
  <c r="C2109" i="1"/>
  <c r="C1869" i="1"/>
  <c r="C1412" i="1"/>
  <c r="C3037" i="1"/>
  <c r="C2798" i="1"/>
  <c r="C2574" i="1"/>
  <c r="C2326" i="1"/>
  <c r="C1926" i="1"/>
  <c r="C3366" i="1"/>
  <c r="C3246" i="1"/>
  <c r="C3154" i="1"/>
  <c r="C3031" i="1"/>
  <c r="C2804" i="1"/>
  <c r="C3329" i="1"/>
  <c r="C3056" i="1"/>
  <c r="C2992" i="1"/>
  <c r="C2928" i="1"/>
  <c r="C2858" i="1"/>
  <c r="C2779" i="1"/>
  <c r="C2694" i="1"/>
  <c r="C2569" i="1"/>
  <c r="C2502" i="1"/>
  <c r="C2382" i="1"/>
  <c r="C2196" i="1"/>
  <c r="C1985" i="1"/>
  <c r="C1508" i="1"/>
  <c r="C2036" i="1"/>
  <c r="C1774" i="1"/>
  <c r="C1512" i="1"/>
  <c r="C1142" i="1"/>
  <c r="C735" i="1"/>
  <c r="C1950" i="1"/>
  <c r="C1738" i="1"/>
  <c r="C1606" i="1"/>
  <c r="C1244" i="1"/>
  <c r="C940" i="1"/>
  <c r="C2909" i="1"/>
  <c r="C2845" i="1"/>
  <c r="C2781" i="1"/>
  <c r="C2717" i="1"/>
  <c r="C2661" i="1"/>
  <c r="C2571" i="1"/>
  <c r="C2482" i="1"/>
  <c r="C2405" i="1"/>
  <c r="C2315" i="1"/>
  <c r="C2221" i="1"/>
  <c r="C2104" i="1"/>
  <c r="C1971" i="1"/>
  <c r="C1843" i="1"/>
  <c r="C1652" i="1"/>
  <c r="C1374" i="1"/>
  <c r="C665" i="1"/>
  <c r="C2839" i="1"/>
  <c r="C2775" i="1"/>
  <c r="C2711" i="1"/>
  <c r="C2641" i="1"/>
  <c r="C2551" i="1"/>
  <c r="C2462" i="1"/>
  <c r="C2385" i="1"/>
  <c r="C2278" i="1"/>
  <c r="C2198" i="1"/>
  <c r="C2081" i="1"/>
  <c r="C1912" i="1"/>
  <c r="C1518" i="1"/>
  <c r="C1256" i="1"/>
  <c r="C1022" i="1"/>
  <c r="C658" i="1"/>
  <c r="C2277" i="1"/>
  <c r="C2213" i="1"/>
  <c r="C2149" i="1"/>
  <c r="C2085" i="1"/>
  <c r="C1991" i="1"/>
  <c r="C1896" i="1"/>
  <c r="C1704" i="1"/>
  <c r="C1530" i="1"/>
  <c r="C1316" i="1"/>
  <c r="C1186" i="1"/>
  <c r="C867" i="1"/>
  <c r="C2668" i="1"/>
  <c r="C2636" i="1"/>
  <c r="C2604" i="1"/>
  <c r="C2572" i="1"/>
  <c r="C2540" i="1"/>
  <c r="C2508" i="1"/>
  <c r="C2476" i="1"/>
  <c r="C2444" i="1"/>
  <c r="C2412" i="1"/>
  <c r="C2380" i="1"/>
  <c r="C2348" i="1"/>
  <c r="C2316" i="1"/>
  <c r="C2257" i="1"/>
  <c r="C2193" i="1"/>
  <c r="C2129" i="1"/>
  <c r="C2068" i="1"/>
  <c r="C1981" i="1"/>
  <c r="C1871" i="1"/>
  <c r="C1782" i="1"/>
  <c r="C1588" i="1"/>
  <c r="C1352" i="1"/>
  <c r="C1195" i="1"/>
  <c r="C1045" i="1"/>
  <c r="C883" i="1"/>
  <c r="C2302" i="1"/>
  <c r="C2238" i="1"/>
  <c r="C2174" i="1"/>
  <c r="C2110" i="1"/>
  <c r="C2031" i="1"/>
  <c r="C1914" i="1"/>
  <c r="C1834" i="1"/>
  <c r="C1576" i="1"/>
  <c r="C1402" i="1"/>
  <c r="C1234" i="1"/>
  <c r="C1075" i="1"/>
  <c r="C343" i="1"/>
  <c r="C2018" i="1"/>
  <c r="C1954" i="1"/>
  <c r="C1890" i="1"/>
  <c r="C1826" i="1"/>
  <c r="C1746" i="1"/>
  <c r="C1618" i="1"/>
  <c r="C1490" i="1"/>
  <c r="C1362" i="1"/>
  <c r="C1245" i="1"/>
  <c r="C1159" i="1"/>
  <c r="C1013" i="1"/>
  <c r="C865" i="1"/>
  <c r="C521" i="1"/>
  <c r="C2021" i="1"/>
  <c r="C1957" i="1"/>
  <c r="C1893" i="1"/>
  <c r="C1829" i="1"/>
  <c r="C1744" i="1"/>
  <c r="C1616" i="1"/>
  <c r="C1488" i="1"/>
  <c r="C1360" i="1"/>
  <c r="C1242" i="1"/>
  <c r="C1140" i="1"/>
  <c r="C1030" i="1"/>
  <c r="C858" i="1"/>
  <c r="C653" i="1"/>
  <c r="C2034" i="1"/>
  <c r="C1970" i="1"/>
  <c r="C1906" i="1"/>
  <c r="C1842" i="1"/>
  <c r="C1762" i="1"/>
  <c r="C1634" i="1"/>
  <c r="C1506" i="1"/>
  <c r="C1378" i="1"/>
  <c r="C1233" i="1"/>
  <c r="C1147" i="1"/>
  <c r="C1029" i="1"/>
  <c r="C707" i="1"/>
  <c r="C1793" i="1"/>
  <c r="C1761" i="1"/>
  <c r="C1729" i="1"/>
  <c r="C1697" i="1"/>
  <c r="C1665" i="1"/>
  <c r="C1633" i="1"/>
  <c r="C1601" i="1"/>
  <c r="C1569" i="1"/>
  <c r="C1537" i="1"/>
  <c r="C1505" i="1"/>
  <c r="C1473" i="1"/>
  <c r="C1441" i="1"/>
  <c r="C1409" i="1"/>
  <c r="C1377" i="1"/>
  <c r="C1345" i="1"/>
  <c r="C1313" i="1"/>
  <c r="C1281" i="1"/>
  <c r="C1248" i="1"/>
  <c r="C1113" i="1"/>
  <c r="C1035" i="1"/>
  <c r="C920" i="1"/>
  <c r="C815" i="1"/>
  <c r="C643" i="1"/>
  <c r="C355" i="1"/>
  <c r="C1235" i="1"/>
  <c r="C1193" i="1"/>
  <c r="C1150" i="1"/>
  <c r="C1085" i="1"/>
  <c r="C1007" i="1"/>
  <c r="C871" i="1"/>
  <c r="C774" i="1"/>
  <c r="C583" i="1"/>
  <c r="C1775" i="1"/>
  <c r="C1743" i="1"/>
  <c r="C1711" i="1"/>
  <c r="C1679" i="1"/>
  <c r="C1647" i="1"/>
  <c r="C1615" i="1"/>
  <c r="C1583" i="1"/>
  <c r="C1551" i="1"/>
  <c r="C1519" i="1"/>
  <c r="C1487" i="1"/>
  <c r="C1455" i="1"/>
  <c r="C1423" i="1"/>
  <c r="C1391" i="1"/>
  <c r="C1359" i="1"/>
  <c r="C1327" i="1"/>
  <c r="C1295" i="1"/>
  <c r="C1263" i="1"/>
  <c r="C1160" i="1"/>
  <c r="C1065" i="1"/>
  <c r="C986" i="1"/>
  <c r="C861" i="1"/>
  <c r="C723" i="1"/>
  <c r="C458" i="1"/>
  <c r="C427" i="1"/>
  <c r="C971" i="1"/>
  <c r="C907" i="1"/>
  <c r="C810" i="1"/>
  <c r="C725" i="1"/>
  <c r="C620" i="1"/>
  <c r="C393" i="1"/>
  <c r="C81" i="1"/>
  <c r="C942" i="1"/>
  <c r="C878" i="1"/>
  <c r="C825" i="1"/>
  <c r="C741" i="1"/>
  <c r="C655" i="1"/>
  <c r="C494" i="1"/>
  <c r="C224" i="1"/>
  <c r="C1116" i="1"/>
  <c r="C1084" i="1"/>
  <c r="C1052" i="1"/>
  <c r="C1020" i="1"/>
  <c r="C978" i="1"/>
  <c r="C914" i="1"/>
  <c r="C850" i="1"/>
  <c r="C739" i="1"/>
  <c r="C654" i="1"/>
  <c r="C385" i="1"/>
  <c r="C94" i="1"/>
  <c r="C941" i="1"/>
  <c r="C877" i="1"/>
  <c r="C823" i="1"/>
  <c r="C745" i="1"/>
  <c r="C659" i="1"/>
  <c r="C518" i="1"/>
  <c r="C327" i="1"/>
  <c r="C66" i="1"/>
  <c r="C531" i="1"/>
  <c r="C371" i="1"/>
  <c r="C109" i="1"/>
  <c r="C634" i="1"/>
  <c r="C538" i="1"/>
  <c r="C370" i="1"/>
  <c r="C214" i="1"/>
  <c r="C579" i="1"/>
  <c r="C455" i="1"/>
  <c r="C278" i="1"/>
  <c r="C132" i="1"/>
  <c r="C543" i="1"/>
  <c r="C451" i="1"/>
  <c r="C349" i="1"/>
  <c r="C217" i="1"/>
  <c r="C124" i="1"/>
  <c r="C628" i="1"/>
  <c r="C546" i="1"/>
  <c r="C434" i="1"/>
  <c r="C338" i="1"/>
  <c r="C238" i="1"/>
  <c r="C103" i="1"/>
  <c r="C840" i="1"/>
  <c r="C808" i="1"/>
  <c r="C776" i="1"/>
  <c r="C744" i="1"/>
  <c r="C712" i="1"/>
  <c r="C680" i="1"/>
  <c r="C648" i="1"/>
  <c r="C591" i="1"/>
  <c r="C517" i="1"/>
  <c r="C407" i="1"/>
  <c r="C313" i="1"/>
  <c r="C204" i="1"/>
  <c r="C102" i="1"/>
  <c r="C629" i="1"/>
  <c r="C597" i="1"/>
  <c r="C565" i="1"/>
  <c r="C533" i="1"/>
  <c r="C461" i="1"/>
  <c r="C366" i="1"/>
  <c r="C267" i="1"/>
  <c r="C172" i="1"/>
  <c r="C71" i="1"/>
  <c r="C314" i="1"/>
  <c r="C250" i="1"/>
  <c r="C186" i="1"/>
  <c r="C122" i="1"/>
  <c r="C500" i="1"/>
  <c r="C468" i="1"/>
  <c r="C436" i="1"/>
  <c r="C404" i="1"/>
  <c r="C372" i="1"/>
  <c r="C335" i="1"/>
  <c r="C271" i="1"/>
  <c r="C207" i="1"/>
  <c r="C143" i="1"/>
  <c r="C90" i="1"/>
  <c r="C47" i="1"/>
  <c r="C5" i="1"/>
  <c r="C280" i="1"/>
  <c r="C216" i="1"/>
  <c r="C152" i="1"/>
  <c r="C100" i="1"/>
  <c r="C68" i="1"/>
  <c r="C36" i="1"/>
  <c r="C3238" i="1"/>
  <c r="G3168" i="1"/>
  <c r="G2861" i="1"/>
  <c r="G1882" i="1"/>
  <c r="G2584" i="1"/>
  <c r="G2010" i="1"/>
  <c r="G3327" i="1"/>
  <c r="G3284" i="1"/>
  <c r="G3241" i="1"/>
  <c r="G3199" i="1"/>
  <c r="G3156" i="1"/>
  <c r="G3113" i="1"/>
  <c r="G3071" i="1"/>
  <c r="G3012" i="1"/>
  <c r="G2948" i="1"/>
  <c r="G2884" i="1"/>
  <c r="G2820" i="1"/>
  <c r="G2636" i="1"/>
  <c r="G2408" i="1"/>
  <c r="G2237" i="1"/>
  <c r="G1549" i="1"/>
  <c r="G3173" i="1"/>
  <c r="G2885" i="1"/>
  <c r="G2178" i="1"/>
  <c r="G2616" i="1"/>
  <c r="G3086" i="1"/>
  <c r="G2592" i="1"/>
  <c r="G2343" i="1"/>
  <c r="G1756" i="1"/>
  <c r="G3083" i="1"/>
  <c r="G3214" i="1"/>
  <c r="G3309" i="1"/>
  <c r="G3208" i="1"/>
  <c r="G3144" i="1"/>
  <c r="G3101" i="1"/>
  <c r="G3059" i="1"/>
  <c r="G2993" i="1"/>
  <c r="G2929" i="1"/>
  <c r="G2865" i="1"/>
  <c r="G2801" i="1"/>
  <c r="G2548" i="1"/>
  <c r="G2338" i="1"/>
  <c r="G2168" i="1"/>
  <c r="G3184" i="1"/>
  <c r="G3306" i="1"/>
  <c r="G3336" i="1"/>
  <c r="G3256" i="1"/>
  <c r="G3181" i="1"/>
  <c r="G3266" i="1"/>
  <c r="G3138" i="1"/>
  <c r="G2792" i="1"/>
  <c r="G2536" i="1"/>
  <c r="G2074" i="1"/>
  <c r="G3248" i="1"/>
  <c r="G2989" i="1"/>
  <c r="G2349" i="1"/>
  <c r="G2648" i="1"/>
  <c r="G3356" i="1"/>
  <c r="G3313" i="1"/>
  <c r="G3271" i="1"/>
  <c r="G3228" i="1"/>
  <c r="G3185" i="1"/>
  <c r="G3143" i="1"/>
  <c r="G3100" i="1"/>
  <c r="G3057" i="1"/>
  <c r="G2984" i="1"/>
  <c r="G2920" i="1"/>
  <c r="G2856" i="1"/>
  <c r="G2780" i="1"/>
  <c r="G2524" i="1"/>
  <c r="G2312" i="1"/>
  <c r="G2141" i="1"/>
  <c r="G3317" i="1"/>
  <c r="G3093" i="1"/>
  <c r="G2797" i="1"/>
  <c r="G3290" i="1"/>
  <c r="G3302" i="1"/>
  <c r="G3174" i="1"/>
  <c r="G3050" i="1"/>
  <c r="G2608" i="1"/>
  <c r="G2311" i="1"/>
  <c r="G3039" i="1"/>
  <c r="G2979" i="1"/>
  <c r="G2915" i="1"/>
  <c r="G2851" i="1"/>
  <c r="G2803" i="1"/>
  <c r="G2771" i="1"/>
  <c r="G2739" i="1"/>
  <c r="G2703" i="1"/>
  <c r="G2671" i="1"/>
  <c r="G2639" i="1"/>
  <c r="G2607" i="1"/>
  <c r="G2575" i="1"/>
  <c r="G2543" i="1"/>
  <c r="G2511" i="1"/>
  <c r="G2479" i="1"/>
  <c r="G2447" i="1"/>
  <c r="G2412" i="1"/>
  <c r="G2369" i="1"/>
  <c r="G2326" i="1"/>
  <c r="G2284" i="1"/>
  <c r="G2241" i="1"/>
  <c r="G2198" i="1"/>
  <c r="G2156" i="1"/>
  <c r="G1998" i="1"/>
  <c r="G1750" i="1"/>
  <c r="G3015" i="1"/>
  <c r="G2951" i="1"/>
  <c r="G2887" i="1"/>
  <c r="G2811" i="1"/>
  <c r="G2315" i="1"/>
  <c r="G2187" i="1"/>
  <c r="G2018" i="1"/>
  <c r="G1190" i="1"/>
  <c r="G2966" i="1"/>
  <c r="G2898" i="1"/>
  <c r="G2834" i="1"/>
  <c r="G2766" i="1"/>
  <c r="G2718" i="1"/>
  <c r="G2686" i="1"/>
  <c r="G2650" i="1"/>
  <c r="G2618" i="1"/>
  <c r="G2586" i="1"/>
  <c r="G2554" i="1"/>
  <c r="G2522" i="1"/>
  <c r="G2490" i="1"/>
  <c r="G2458" i="1"/>
  <c r="G2426" i="1"/>
  <c r="G2384" i="1"/>
  <c r="G2341" i="1"/>
  <c r="G2298" i="1"/>
  <c r="G2256" i="1"/>
  <c r="G2213" i="1"/>
  <c r="G2170" i="1"/>
  <c r="G2070" i="1"/>
  <c r="G1811" i="1"/>
  <c r="G2998" i="1"/>
  <c r="G2938" i="1"/>
  <c r="G2878" i="1"/>
  <c r="G2818" i="1"/>
  <c r="G2754" i="1"/>
  <c r="G2351" i="1"/>
  <c r="G2223" i="1"/>
  <c r="G2122" i="1"/>
  <c r="G1869" i="1"/>
  <c r="G2789" i="1"/>
  <c r="G2757" i="1"/>
  <c r="G2725" i="1"/>
  <c r="G2693" i="1"/>
  <c r="G2661" i="1"/>
  <c r="G2629" i="1"/>
  <c r="G2597" i="1"/>
  <c r="G2565" i="1"/>
  <c r="G2533" i="1"/>
  <c r="G2501" i="1"/>
  <c r="G2469" i="1"/>
  <c r="G2437" i="1"/>
  <c r="G2398" i="1"/>
  <c r="G2356" i="1"/>
  <c r="G2313" i="1"/>
  <c r="G2270" i="1"/>
  <c r="G2228" i="1"/>
  <c r="G2185" i="1"/>
  <c r="G2142" i="1"/>
  <c r="G1884" i="1"/>
  <c r="G1352" i="1"/>
  <c r="G2307" i="1"/>
  <c r="G2179" i="1"/>
  <c r="G2002" i="1"/>
  <c r="G1477" i="1"/>
  <c r="G1730" i="1"/>
  <c r="G1393" i="1"/>
  <c r="G2101" i="1"/>
  <c r="G2069" i="1"/>
  <c r="G2037" i="1"/>
  <c r="G2005" i="1"/>
  <c r="G1973" i="1"/>
  <c r="G1941" i="1"/>
  <c r="G1909" i="1"/>
  <c r="G1846" i="1"/>
  <c r="G1729" i="1"/>
  <c r="G1337" i="1"/>
  <c r="G2108" i="1"/>
  <c r="G2076" i="1"/>
  <c r="G2044" i="1"/>
  <c r="G2012" i="1"/>
  <c r="G1980" i="1"/>
  <c r="G1948" i="1"/>
  <c r="G1916" i="1"/>
  <c r="G1866" i="1"/>
  <c r="G1773" i="1"/>
  <c r="G1517" i="1"/>
  <c r="G1873" i="1"/>
  <c r="G1744" i="1"/>
  <c r="G1493" i="1"/>
  <c r="G2135" i="1"/>
  <c r="G2103" i="1"/>
  <c r="G2071" i="1"/>
  <c r="G2039" i="1"/>
  <c r="G2007" i="1"/>
  <c r="G1975" i="1"/>
  <c r="G1943" i="1"/>
  <c r="G1911" i="1"/>
  <c r="G1857" i="1"/>
  <c r="G1752" i="1"/>
  <c r="G1357" i="1"/>
  <c r="G1849" i="1"/>
  <c r="G1742" i="1"/>
  <c r="G1573" i="1"/>
  <c r="G1865" i="1"/>
  <c r="G1801" i="1"/>
  <c r="G1737" i="1"/>
  <c r="G1673" i="1"/>
  <c r="G1182" i="1"/>
  <c r="G1763" i="1"/>
  <c r="G1699" i="1"/>
  <c r="G1625" i="1"/>
  <c r="G1561" i="1"/>
  <c r="G1497" i="1"/>
  <c r="G1421" i="1"/>
  <c r="G1010" i="1"/>
  <c r="G1836" i="1"/>
  <c r="G1772" i="1"/>
  <c r="G1708" i="1"/>
  <c r="G1384" i="1"/>
  <c r="G804" i="1"/>
  <c r="G1255" i="1"/>
  <c r="G550" i="1"/>
  <c r="G1821" i="1"/>
  <c r="G1757" i="1"/>
  <c r="G1693" i="1"/>
  <c r="G1321" i="1"/>
  <c r="G1660" i="1"/>
  <c r="G1628" i="1"/>
  <c r="G1596" i="1"/>
  <c r="G1564" i="1"/>
  <c r="G1532" i="1"/>
  <c r="G1500" i="1"/>
  <c r="G1468" i="1"/>
  <c r="G1436" i="1"/>
  <c r="G1388" i="1"/>
  <c r="G1299" i="1"/>
  <c r="G1205" i="1"/>
  <c r="G1130" i="1"/>
  <c r="G880" i="1"/>
  <c r="G1383" i="1"/>
  <c r="G1330" i="1"/>
  <c r="G1288" i="1"/>
  <c r="G1148" i="1"/>
  <c r="G879" i="1"/>
  <c r="G1643" i="1"/>
  <c r="G1611" i="1"/>
  <c r="G1579" i="1"/>
  <c r="G1547" i="1"/>
  <c r="G1515" i="1"/>
  <c r="G1483" i="1"/>
  <c r="G1451" i="1"/>
  <c r="G1419" i="1"/>
  <c r="G1355" i="1"/>
  <c r="G1258" i="1"/>
  <c r="G1186" i="1"/>
  <c r="G1074" i="1"/>
  <c r="G818" i="1"/>
  <c r="G1377" i="1"/>
  <c r="G1324" i="1"/>
  <c r="G1281" i="1"/>
  <c r="G1115" i="1"/>
  <c r="G894" i="1"/>
  <c r="G1666" i="1"/>
  <c r="G1634" i="1"/>
  <c r="G1602" i="1"/>
  <c r="G1570" i="1"/>
  <c r="G1538" i="1"/>
  <c r="G1506" i="1"/>
  <c r="G1474" i="1"/>
  <c r="G1442" i="1"/>
  <c r="G1395" i="1"/>
  <c r="G1323" i="1"/>
  <c r="G1209" i="1"/>
  <c r="G1021" i="1"/>
  <c r="G1417" i="1"/>
  <c r="G1338" i="1"/>
  <c r="G1280" i="1"/>
  <c r="G1102" i="1"/>
  <c r="G790" i="1"/>
  <c r="G1244" i="1"/>
  <c r="G1200" i="1"/>
  <c r="G1107" i="1"/>
  <c r="G850" i="1"/>
  <c r="G1113" i="1"/>
  <c r="G823" i="1"/>
  <c r="G1137" i="1"/>
  <c r="G1127" i="1"/>
  <c r="G596" i="1"/>
  <c r="G930" i="1"/>
  <c r="G677" i="1"/>
  <c r="G974" i="1"/>
  <c r="G715" i="1"/>
  <c r="G1116" i="1"/>
  <c r="G896" i="1"/>
  <c r="G1049" i="1"/>
  <c r="G793" i="1"/>
  <c r="G470" i="1"/>
  <c r="G516" i="1"/>
  <c r="G438" i="1"/>
  <c r="G297" i="1"/>
  <c r="G286" i="1"/>
  <c r="G410" i="1"/>
  <c r="G696" i="1"/>
  <c r="G520" i="1"/>
  <c r="G85" i="1"/>
  <c r="G210" i="1"/>
  <c r="G138" i="1"/>
  <c r="G398" i="1"/>
  <c r="G198" i="1"/>
  <c r="G160" i="1"/>
  <c r="G441" i="1"/>
  <c r="G282" i="1"/>
  <c r="G17" i="1"/>
  <c r="G96" i="1"/>
  <c r="G119" i="1"/>
  <c r="G2828" i="1"/>
  <c r="G2258" i="1"/>
  <c r="G3042" i="1"/>
  <c r="G2624" i="1"/>
  <c r="G3320" i="1"/>
  <c r="G2937" i="1"/>
  <c r="G2360" i="1"/>
  <c r="G3267" i="1"/>
  <c r="G2568" i="1"/>
  <c r="G2628" i="1"/>
  <c r="G3191" i="1"/>
  <c r="G2928" i="1"/>
  <c r="G3120" i="1"/>
  <c r="G3062" i="1"/>
  <c r="G2859" i="1"/>
  <c r="G2743" i="1"/>
  <c r="G2547" i="1"/>
  <c r="G2417" i="1"/>
  <c r="G2161" i="1"/>
  <c r="G3023" i="1"/>
  <c r="G2203" i="1"/>
  <c r="G2774" i="1"/>
  <c r="G2622" i="1"/>
  <c r="G2389" i="1"/>
  <c r="G1870" i="1"/>
  <c r="G2367" i="1"/>
  <c r="G2729" i="1"/>
  <c r="G2569" i="1"/>
  <c r="G2404" i="1"/>
  <c r="G2190" i="1"/>
  <c r="G2034" i="1"/>
  <c r="G2041" i="1"/>
  <c r="G1861" i="1"/>
  <c r="G2048" i="1"/>
  <c r="G1920" i="1"/>
  <c r="G1753" i="1"/>
  <c r="G1979" i="1"/>
  <c r="G1761" i="1"/>
  <c r="G1874" i="1"/>
  <c r="G1214" i="1"/>
  <c r="G1437" i="1"/>
  <c r="G1717" i="1"/>
  <c r="G1830" i="1"/>
  <c r="G1664" i="1"/>
  <c r="G1504" i="1"/>
  <c r="G1213" i="1"/>
  <c r="G1336" i="1"/>
  <c r="G1615" i="1"/>
  <c r="G1487" i="1"/>
  <c r="G1194" i="1"/>
  <c r="G1126" i="1"/>
  <c r="G1638" i="1"/>
  <c r="G1478" i="1"/>
  <c r="G1217" i="1"/>
  <c r="G1125" i="1"/>
  <c r="G1138" i="1"/>
  <c r="G1146" i="1"/>
  <c r="G685" i="1"/>
  <c r="G1120" i="1"/>
  <c r="G507" i="1"/>
  <c r="G307" i="1"/>
  <c r="G237" i="1"/>
  <c r="G100" i="1"/>
  <c r="C3179" i="1"/>
  <c r="C2805" i="1"/>
  <c r="C2954" i="1"/>
  <c r="C2963" i="1"/>
  <c r="C1146" i="1"/>
  <c r="C3127" i="1"/>
  <c r="C1909" i="1"/>
  <c r="C2729" i="1"/>
  <c r="C3275" i="1"/>
  <c r="C2645" i="1"/>
  <c r="C1498" i="1"/>
  <c r="C3091" i="1"/>
  <c r="C2942" i="1"/>
  <c r="C2763" i="1"/>
  <c r="C2395" i="1"/>
  <c r="C1953" i="1"/>
  <c r="C3116" i="1"/>
  <c r="C2362" i="1"/>
  <c r="C3196" i="1"/>
  <c r="C1143" i="1"/>
  <c r="C2310" i="1"/>
  <c r="C3135" i="1"/>
  <c r="C2465" i="1"/>
  <c r="C3304" i="1"/>
  <c r="C3216" i="1"/>
  <c r="C3111" i="1"/>
  <c r="C2980" i="1"/>
  <c r="C2799" i="1"/>
  <c r="C2525" i="1"/>
  <c r="C2273" i="1"/>
  <c r="C1814" i="1"/>
  <c r="C2429" i="1"/>
  <c r="C2903" i="1"/>
  <c r="C3083" i="1"/>
  <c r="C2098" i="1"/>
  <c r="C3167" i="1"/>
  <c r="C1098" i="1"/>
  <c r="C3163" i="1"/>
  <c r="C3022" i="1"/>
  <c r="C2778" i="1"/>
  <c r="C2593" i="1"/>
  <c r="C2244" i="1"/>
  <c r="C1728" i="1"/>
  <c r="C3017" i="1"/>
  <c r="C2233" i="1"/>
  <c r="C3276" i="1"/>
  <c r="C3001" i="1"/>
  <c r="C2105" i="1"/>
  <c r="C2863" i="1"/>
  <c r="C2026" i="1"/>
  <c r="C3144" i="1"/>
  <c r="C2490" i="1"/>
  <c r="C3335" i="1"/>
  <c r="C3271" i="1"/>
  <c r="C3207" i="1"/>
  <c r="C3119" i="1"/>
  <c r="C2905" i="1"/>
  <c r="C2720" i="1"/>
  <c r="C2387" i="1"/>
  <c r="C2107" i="1"/>
  <c r="C421" i="1"/>
  <c r="C2925" i="1"/>
  <c r="C2410" i="1"/>
  <c r="C2288" i="1"/>
  <c r="C2113" i="1"/>
  <c r="C1875" i="1"/>
  <c r="C1212" i="1"/>
  <c r="C3350" i="1"/>
  <c r="C3266" i="1"/>
  <c r="C3170" i="1"/>
  <c r="C3082" i="1"/>
  <c r="C2896" i="1"/>
  <c r="C2725" i="1"/>
  <c r="C2589" i="1"/>
  <c r="C2522" i="1"/>
  <c r="C3041" i="1"/>
  <c r="C2977" i="1"/>
  <c r="C2913" i="1"/>
  <c r="C2838" i="1"/>
  <c r="C2746" i="1"/>
  <c r="C2657" i="1"/>
  <c r="C2537" i="1"/>
  <c r="C2470" i="1"/>
  <c r="C2350" i="1"/>
  <c r="C2189" i="1"/>
  <c r="C2091" i="1"/>
  <c r="C1919" i="1"/>
  <c r="C1350" i="1"/>
  <c r="C956" i="1"/>
  <c r="C2936" i="1"/>
  <c r="C2683" i="1"/>
  <c r="C2463" i="1"/>
  <c r="C2201" i="1"/>
  <c r="C1326" i="1"/>
  <c r="C3322" i="1"/>
  <c r="C3226" i="1"/>
  <c r="C3110" i="1"/>
  <c r="C2983" i="1"/>
  <c r="C2796" i="1"/>
  <c r="C3317" i="1"/>
  <c r="C3269" i="1"/>
  <c r="C3237" i="1"/>
  <c r="C3205" i="1"/>
  <c r="C3173" i="1"/>
  <c r="C3141" i="1"/>
  <c r="C3109" i="1"/>
  <c r="C3077" i="1"/>
  <c r="C3014" i="1"/>
  <c r="C2950" i="1"/>
  <c r="C2852" i="1"/>
  <c r="C2773" i="1"/>
  <c r="C2681" i="1"/>
  <c r="C2562" i="1"/>
  <c r="C2442" i="1"/>
  <c r="C2323" i="1"/>
  <c r="C2237" i="1"/>
  <c r="C2100" i="1"/>
  <c r="C1846" i="1"/>
  <c r="C1380" i="1"/>
  <c r="C3005" i="1"/>
  <c r="C2762" i="1"/>
  <c r="C2497" i="1"/>
  <c r="C2269" i="1"/>
  <c r="C1832" i="1"/>
  <c r="C3354" i="1"/>
  <c r="C3234" i="1"/>
  <c r="C3142" i="1"/>
  <c r="C3015" i="1"/>
  <c r="C2768" i="1"/>
  <c r="C3321" i="1"/>
  <c r="C3045" i="1"/>
  <c r="C2981" i="1"/>
  <c r="C2917" i="1"/>
  <c r="C2851" i="1"/>
  <c r="C2766" i="1"/>
  <c r="C2687" i="1"/>
  <c r="C2561" i="1"/>
  <c r="C2441" i="1"/>
  <c r="C2374" i="1"/>
  <c r="C2137" i="1"/>
  <c r="C1868" i="1"/>
  <c r="C1376" i="1"/>
  <c r="C2023" i="1"/>
  <c r="C1758" i="1"/>
  <c r="C1480" i="1"/>
  <c r="C1118" i="1"/>
  <c r="C686" i="1"/>
  <c r="C1939" i="1"/>
  <c r="C1722" i="1"/>
  <c r="C1574" i="1"/>
  <c r="C1178" i="1"/>
  <c r="C899" i="1"/>
  <c r="C2904" i="1"/>
  <c r="C2840" i="1"/>
  <c r="C2776" i="1"/>
  <c r="C2712" i="1"/>
  <c r="C2642" i="1"/>
  <c r="C2565" i="1"/>
  <c r="C2475" i="1"/>
  <c r="C2386" i="1"/>
  <c r="C2301" i="1"/>
  <c r="C2191" i="1"/>
  <c r="C2096" i="1"/>
  <c r="C1960" i="1"/>
  <c r="C1831" i="1"/>
  <c r="C1636" i="1"/>
  <c r="C1258" i="1"/>
  <c r="C474" i="1"/>
  <c r="C2834" i="1"/>
  <c r="C2770" i="1"/>
  <c r="C2706" i="1"/>
  <c r="C2622" i="1"/>
  <c r="C2545" i="1"/>
  <c r="C2455" i="1"/>
  <c r="C2366" i="1"/>
  <c r="C2271" i="1"/>
  <c r="C2176" i="1"/>
  <c r="C2063" i="1"/>
  <c r="C1887" i="1"/>
  <c r="C1502" i="1"/>
  <c r="C1238" i="1"/>
  <c r="C997" i="1"/>
  <c r="C575" i="1"/>
  <c r="C2268" i="1"/>
  <c r="C2204" i="1"/>
  <c r="C2140" i="1"/>
  <c r="C2076" i="1"/>
  <c r="C1983" i="1"/>
  <c r="C1889" i="1"/>
  <c r="C1694" i="1"/>
  <c r="C1510" i="1"/>
  <c r="C1294" i="1"/>
  <c r="C1172" i="1"/>
  <c r="C755" i="1"/>
  <c r="C2664" i="1"/>
  <c r="C2632" i="1"/>
  <c r="C2600" i="1"/>
  <c r="C2568" i="1"/>
  <c r="C2536" i="1"/>
  <c r="C2504" i="1"/>
  <c r="C2472" i="1"/>
  <c r="C2440" i="1"/>
  <c r="C2408" i="1"/>
  <c r="C2376" i="1"/>
  <c r="C2344" i="1"/>
  <c r="C2312" i="1"/>
  <c r="C2248" i="1"/>
  <c r="C2184" i="1"/>
  <c r="C2120" i="1"/>
  <c r="C2061" i="1"/>
  <c r="C1959" i="1"/>
  <c r="C1864" i="1"/>
  <c r="C1752" i="1"/>
  <c r="C1578" i="1"/>
  <c r="C1342" i="1"/>
  <c r="C1180" i="1"/>
  <c r="C1027" i="1"/>
  <c r="C860" i="1"/>
  <c r="C2293" i="1"/>
  <c r="C2229" i="1"/>
  <c r="C2165" i="1"/>
  <c r="C2101" i="1"/>
  <c r="C2024" i="1"/>
  <c r="C1907" i="1"/>
  <c r="C1812" i="1"/>
  <c r="C1566" i="1"/>
  <c r="C1382" i="1"/>
  <c r="C1221" i="1"/>
  <c r="C972" i="1"/>
  <c r="C2073" i="1"/>
  <c r="C2009" i="1"/>
  <c r="C1945" i="1"/>
  <c r="C1881" i="1"/>
  <c r="C1817" i="1"/>
  <c r="C1740" i="1"/>
  <c r="C1612" i="1"/>
  <c r="C1484" i="1"/>
  <c r="C1356" i="1"/>
  <c r="C1237" i="1"/>
  <c r="C1151" i="1"/>
  <c r="C993" i="1"/>
  <c r="C849" i="1"/>
  <c r="C183" i="1"/>
  <c r="C2012" i="1"/>
  <c r="C1948" i="1"/>
  <c r="C1884" i="1"/>
  <c r="C1820" i="1"/>
  <c r="C1718" i="1"/>
  <c r="C1590" i="1"/>
  <c r="C1462" i="1"/>
  <c r="C1334" i="1"/>
  <c r="C1217" i="1"/>
  <c r="C1131" i="1"/>
  <c r="C989" i="1"/>
  <c r="C827" i="1"/>
  <c r="C631" i="1"/>
  <c r="C2025" i="1"/>
  <c r="C1961" i="1"/>
  <c r="C1897" i="1"/>
  <c r="C1833" i="1"/>
  <c r="C1756" i="1"/>
  <c r="C1628" i="1"/>
  <c r="C1500" i="1"/>
  <c r="C1372" i="1"/>
  <c r="C1223" i="1"/>
  <c r="C1138" i="1"/>
  <c r="C1018" i="1"/>
  <c r="C670" i="1"/>
  <c r="C1789" i="1"/>
  <c r="C1757" i="1"/>
  <c r="C1725" i="1"/>
  <c r="C1693" i="1"/>
  <c r="C1661" i="1"/>
  <c r="C1629" i="1"/>
  <c r="C1597" i="1"/>
  <c r="C1565" i="1"/>
  <c r="C1533" i="1"/>
  <c r="C1501" i="1"/>
  <c r="C1469" i="1"/>
  <c r="C1437" i="1"/>
  <c r="C1405" i="1"/>
  <c r="C1373" i="1"/>
  <c r="C1341" i="1"/>
  <c r="C1309" i="1"/>
  <c r="C1277" i="1"/>
  <c r="C1232" i="1"/>
  <c r="C1106" i="1"/>
  <c r="C1017" i="1"/>
  <c r="C911" i="1"/>
  <c r="C766" i="1"/>
  <c r="C630" i="1"/>
  <c r="C315" i="1"/>
  <c r="C1230" i="1"/>
  <c r="C1187" i="1"/>
  <c r="C1145" i="1"/>
  <c r="C1078" i="1"/>
  <c r="C988" i="1"/>
  <c r="C862" i="1"/>
  <c r="C762" i="1"/>
  <c r="C513" i="1"/>
  <c r="C1771" i="1"/>
  <c r="C1739" i="1"/>
  <c r="C1707" i="1"/>
  <c r="C1675" i="1"/>
  <c r="C1643" i="1"/>
  <c r="C1611" i="1"/>
  <c r="C1579" i="1"/>
  <c r="C1547" i="1"/>
  <c r="C1515" i="1"/>
  <c r="C1483" i="1"/>
  <c r="C1451" i="1"/>
  <c r="C1419" i="1"/>
  <c r="C1387" i="1"/>
  <c r="C1355" i="1"/>
  <c r="C1323" i="1"/>
  <c r="C1291" i="1"/>
  <c r="C1259" i="1"/>
  <c r="C1144" i="1"/>
  <c r="C1058" i="1"/>
  <c r="C952" i="1"/>
  <c r="C842" i="1"/>
  <c r="C711" i="1"/>
  <c r="C403" i="1"/>
  <c r="C401" i="1"/>
  <c r="C962" i="1"/>
  <c r="C898" i="1"/>
  <c r="C803" i="1"/>
  <c r="C718" i="1"/>
  <c r="C590" i="1"/>
  <c r="C377" i="1"/>
  <c r="C51" i="1"/>
  <c r="C933" i="1"/>
  <c r="C869" i="1"/>
  <c r="C819" i="1"/>
  <c r="C734" i="1"/>
  <c r="C649" i="1"/>
  <c r="C453" i="1"/>
  <c r="C182" i="1"/>
  <c r="C1112" i="1"/>
  <c r="C1080" i="1"/>
  <c r="C1048" i="1"/>
  <c r="C1016" i="1"/>
  <c r="C969" i="1"/>
  <c r="C905" i="1"/>
  <c r="C813" i="1"/>
  <c r="C727" i="1"/>
  <c r="C615" i="1"/>
  <c r="C310" i="1"/>
  <c r="C17" i="1"/>
  <c r="C936" i="1"/>
  <c r="C872" i="1"/>
  <c r="C818" i="1"/>
  <c r="C733" i="1"/>
  <c r="C647" i="1"/>
  <c r="C503" i="1"/>
  <c r="C302" i="1"/>
  <c r="C38" i="1"/>
  <c r="C515" i="1"/>
  <c r="C336" i="1"/>
  <c r="C91" i="1"/>
  <c r="C622" i="1"/>
  <c r="C523" i="1"/>
  <c r="C358" i="1"/>
  <c r="C160" i="1"/>
  <c r="C572" i="1"/>
  <c r="C430" i="1"/>
  <c r="C265" i="1"/>
  <c r="C118" i="1"/>
  <c r="C534" i="1"/>
  <c r="C446" i="1"/>
  <c r="C342" i="1"/>
  <c r="C208" i="1"/>
  <c r="C107" i="1"/>
  <c r="C619" i="1"/>
  <c r="C532" i="1"/>
  <c r="C423" i="1"/>
  <c r="C322" i="1"/>
  <c r="C229" i="1"/>
  <c r="C83" i="1"/>
  <c r="C836" i="1"/>
  <c r="C804" i="1"/>
  <c r="C772" i="1"/>
  <c r="C740" i="1"/>
  <c r="C708" i="1"/>
  <c r="C676" i="1"/>
  <c r="C644" i="1"/>
  <c r="C582" i="1"/>
  <c r="C506" i="1"/>
  <c r="C402" i="1"/>
  <c r="C295" i="1"/>
  <c r="C196" i="1"/>
  <c r="C93" i="1"/>
  <c r="C625" i="1"/>
  <c r="C593" i="1"/>
  <c r="C561" i="1"/>
  <c r="C529" i="1"/>
  <c r="C447" i="1"/>
  <c r="C359" i="1"/>
  <c r="C260" i="1"/>
  <c r="C150" i="1"/>
  <c r="C62" i="1"/>
  <c r="C305" i="1"/>
  <c r="C241" i="1"/>
  <c r="C177" i="1"/>
  <c r="C113" i="1"/>
  <c r="C496" i="1"/>
  <c r="C464" i="1"/>
  <c r="C432" i="1"/>
  <c r="C400" i="1"/>
  <c r="C368" i="1"/>
  <c r="C326" i="1"/>
  <c r="C262" i="1"/>
  <c r="C198" i="1"/>
  <c r="C134" i="1"/>
  <c r="C85" i="1"/>
  <c r="C42" i="1"/>
  <c r="C339" i="1"/>
  <c r="C275" i="1"/>
  <c r="C211" i="1"/>
  <c r="C147" i="1"/>
  <c r="C96" i="1"/>
  <c r="C64" i="1"/>
  <c r="C32" i="1"/>
  <c r="G2" i="1"/>
  <c r="G3136" i="1"/>
  <c r="G2821" i="1"/>
  <c r="G3322" i="1"/>
  <c r="G2520" i="1"/>
  <c r="G3364" i="1"/>
  <c r="G3321" i="1"/>
  <c r="G3279" i="1"/>
  <c r="G3236" i="1"/>
  <c r="G3193" i="1"/>
  <c r="G3151" i="1"/>
  <c r="G3108" i="1"/>
  <c r="G3065" i="1"/>
  <c r="G3004" i="1"/>
  <c r="G2940" i="1"/>
  <c r="G2876" i="1"/>
  <c r="G2812" i="1"/>
  <c r="G2604" i="1"/>
  <c r="G2386" i="1"/>
  <c r="G2216" i="1"/>
  <c r="G3349" i="1"/>
  <c r="G3141" i="1"/>
  <c r="G2845" i="1"/>
  <c r="G2134" i="1"/>
  <c r="G3342" i="1"/>
  <c r="G3053" i="1"/>
  <c r="G2560" i="1"/>
  <c r="G2279" i="1"/>
  <c r="G1541" i="1"/>
  <c r="G2973" i="1"/>
  <c r="G3182" i="1"/>
  <c r="G3299" i="1"/>
  <c r="G3197" i="1"/>
  <c r="G3139" i="1"/>
  <c r="G3096" i="1"/>
  <c r="G3046" i="1"/>
  <c r="G2985" i="1"/>
  <c r="G2921" i="1"/>
  <c r="G2857" i="1"/>
  <c r="G2772" i="1"/>
  <c r="G2516" i="1"/>
  <c r="G2317" i="1"/>
  <c r="G2146" i="1"/>
  <c r="G3147" i="1"/>
  <c r="G3358" i="1"/>
  <c r="G3325" i="1"/>
  <c r="G3251" i="1"/>
  <c r="G3149" i="1"/>
  <c r="G3250" i="1"/>
  <c r="G3122" i="1"/>
  <c r="G2760" i="1"/>
  <c r="G2504" i="1"/>
  <c r="G1946" i="1"/>
  <c r="G3216" i="1"/>
  <c r="G2957" i="1"/>
  <c r="G2221" i="1"/>
  <c r="G2552" i="1"/>
  <c r="G3351" i="1"/>
  <c r="G3308" i="1"/>
  <c r="G3265" i="1"/>
  <c r="G3223" i="1"/>
  <c r="G3180" i="1"/>
  <c r="G3137" i="1"/>
  <c r="G3095" i="1"/>
  <c r="G3038" i="1"/>
  <c r="G2976" i="1"/>
  <c r="G2912" i="1"/>
  <c r="G2848" i="1"/>
  <c r="G2748" i="1"/>
  <c r="G2492" i="1"/>
  <c r="G2290" i="1"/>
  <c r="G2022" i="1"/>
  <c r="G3296" i="1"/>
  <c r="G3056" i="1"/>
  <c r="G2564" i="1"/>
  <c r="G3258" i="1"/>
  <c r="G3286" i="1"/>
  <c r="G3158" i="1"/>
  <c r="G3044" i="1"/>
  <c r="G2576" i="1"/>
  <c r="G2247" i="1"/>
  <c r="G3035" i="1"/>
  <c r="G2971" i="1"/>
  <c r="G2907" i="1"/>
  <c r="G2843" i="1"/>
  <c r="G2799" i="1"/>
  <c r="G2767" i="1"/>
  <c r="G2731" i="1"/>
  <c r="G2699" i="1"/>
  <c r="G2667" i="1"/>
  <c r="G2635" i="1"/>
  <c r="G2603" i="1"/>
  <c r="G2571" i="1"/>
  <c r="G2539" i="1"/>
  <c r="G2507" i="1"/>
  <c r="G2475" i="1"/>
  <c r="G2443" i="1"/>
  <c r="G2406" i="1"/>
  <c r="G2364" i="1"/>
  <c r="G2321" i="1"/>
  <c r="G2278" i="1"/>
  <c r="G2236" i="1"/>
  <c r="G2193" i="1"/>
  <c r="G2150" i="1"/>
  <c r="G1966" i="1"/>
  <c r="G1677" i="1"/>
  <c r="G3007" i="1"/>
  <c r="G2943" i="1"/>
  <c r="G2879" i="1"/>
  <c r="G2735" i="1"/>
  <c r="G2299" i="1"/>
  <c r="G2171" i="1"/>
  <c r="G1986" i="1"/>
  <c r="G3026" i="1"/>
  <c r="G2958" i="1"/>
  <c r="G2890" i="1"/>
  <c r="G2826" i="1"/>
  <c r="G2758" i="1"/>
  <c r="G2714" i="1"/>
  <c r="G2682" i="1"/>
  <c r="G2646" i="1"/>
  <c r="G2614" i="1"/>
  <c r="G2582" i="1"/>
  <c r="G2550" i="1"/>
  <c r="G2518" i="1"/>
  <c r="G2486" i="1"/>
  <c r="G2454" i="1"/>
  <c r="G2421" i="1"/>
  <c r="G2378" i="1"/>
  <c r="G2336" i="1"/>
  <c r="G2293" i="1"/>
  <c r="G2250" i="1"/>
  <c r="G2208" i="1"/>
  <c r="G2165" i="1"/>
  <c r="G2038" i="1"/>
  <c r="G1741" i="1"/>
  <c r="G2990" i="1"/>
  <c r="G2934" i="1"/>
  <c r="G2870" i="1"/>
  <c r="G2810" i="1"/>
  <c r="G2742" i="1"/>
  <c r="G2335" i="1"/>
  <c r="G2207" i="1"/>
  <c r="G2090" i="1"/>
  <c r="G1848" i="1"/>
  <c r="G2785" i="1"/>
  <c r="G2753" i="1"/>
  <c r="G2721" i="1"/>
  <c r="G2689" i="1"/>
  <c r="G2657" i="1"/>
  <c r="G2625" i="1"/>
  <c r="G2593" i="1"/>
  <c r="G2561" i="1"/>
  <c r="G2529" i="1"/>
  <c r="G2497" i="1"/>
  <c r="G2465" i="1"/>
  <c r="G2433" i="1"/>
  <c r="G2393" i="1"/>
  <c r="G2350" i="1"/>
  <c r="G2308" i="1"/>
  <c r="G2265" i="1"/>
  <c r="G2222" i="1"/>
  <c r="G2180" i="1"/>
  <c r="G2110" i="1"/>
  <c r="G1867" i="1"/>
  <c r="G958" i="1"/>
  <c r="G2291" i="1"/>
  <c r="G2163" i="1"/>
  <c r="G1970" i="1"/>
  <c r="G1332" i="1"/>
  <c r="G1721" i="1"/>
  <c r="G1289" i="1"/>
  <c r="G2097" i="1"/>
  <c r="G2065" i="1"/>
  <c r="G2033" i="1"/>
  <c r="G2001" i="1"/>
  <c r="G1969" i="1"/>
  <c r="G1937" i="1"/>
  <c r="G1905" i="1"/>
  <c r="G1832" i="1"/>
  <c r="G1720" i="1"/>
  <c r="G1121" i="1"/>
  <c r="G2104" i="1"/>
  <c r="G2072" i="1"/>
  <c r="G2040" i="1"/>
  <c r="G2008" i="1"/>
  <c r="G1976" i="1"/>
  <c r="G1944" i="1"/>
  <c r="G1912" i="1"/>
  <c r="G1859" i="1"/>
  <c r="G1764" i="1"/>
  <c r="G1453" i="1"/>
  <c r="G1858" i="1"/>
  <c r="G1707" i="1"/>
  <c r="G1412" i="1"/>
  <c r="G2131" i="1"/>
  <c r="G2099" i="1"/>
  <c r="G2067" i="1"/>
  <c r="G2035" i="1"/>
  <c r="G2003" i="1"/>
  <c r="G1971" i="1"/>
  <c r="G1939" i="1"/>
  <c r="G1907" i="1"/>
  <c r="G1850" i="1"/>
  <c r="G1715" i="1"/>
  <c r="G1310" i="1"/>
  <c r="G1834" i="1"/>
  <c r="G1733" i="1"/>
  <c r="G1509" i="1"/>
  <c r="G1856" i="1"/>
  <c r="G1792" i="1"/>
  <c r="G1728" i="1"/>
  <c r="G1441" i="1"/>
  <c r="G1035" i="1"/>
  <c r="G1754" i="1"/>
  <c r="G1690" i="1"/>
  <c r="G1617" i="1"/>
  <c r="G1553" i="1"/>
  <c r="G1489" i="1"/>
  <c r="G1403" i="1"/>
  <c r="G907" i="1"/>
  <c r="G1831" i="1"/>
  <c r="G1767" i="1"/>
  <c r="G1703" i="1"/>
  <c r="G1326" i="1"/>
  <c r="G630" i="1"/>
  <c r="G1198" i="1"/>
  <c r="G1876" i="1"/>
  <c r="G1812" i="1"/>
  <c r="G1748" i="1"/>
  <c r="G1684" i="1"/>
  <c r="G1300" i="1"/>
  <c r="G1656" i="1"/>
  <c r="G1624" i="1"/>
  <c r="G1592" i="1"/>
  <c r="G1560" i="1"/>
  <c r="G1528" i="1"/>
  <c r="G1496" i="1"/>
  <c r="G1464" i="1"/>
  <c r="G1432" i="1"/>
  <c r="G1379" i="1"/>
  <c r="G1283" i="1"/>
  <c r="G1197" i="1"/>
  <c r="G1082" i="1"/>
  <c r="G829" i="1"/>
  <c r="G1378" i="1"/>
  <c r="G1325" i="1"/>
  <c r="G1282" i="1"/>
  <c r="G1119" i="1"/>
  <c r="G854" i="1"/>
  <c r="G1639" i="1"/>
  <c r="G1607" i="1"/>
  <c r="G1575" i="1"/>
  <c r="G1543" i="1"/>
  <c r="G1511" i="1"/>
  <c r="G1479" i="1"/>
  <c r="G1447" i="1"/>
  <c r="G1414" i="1"/>
  <c r="G1350" i="1"/>
  <c r="G1239" i="1"/>
  <c r="G1178" i="1"/>
  <c r="G1048" i="1"/>
  <c r="G792" i="1"/>
  <c r="G1368" i="1"/>
  <c r="G1318" i="1"/>
  <c r="G1276" i="1"/>
  <c r="G1103" i="1"/>
  <c r="G868" i="1"/>
  <c r="G1662" i="1"/>
  <c r="G1630" i="1"/>
  <c r="G1598" i="1"/>
  <c r="G1566" i="1"/>
  <c r="G1534" i="1"/>
  <c r="G1502" i="1"/>
  <c r="G1470" i="1"/>
  <c r="G1438" i="1"/>
  <c r="G1390" i="1"/>
  <c r="G1307" i="1"/>
  <c r="G1193" i="1"/>
  <c r="G995" i="1"/>
  <c r="G1408" i="1"/>
  <c r="G1328" i="1"/>
  <c r="G1274" i="1"/>
  <c r="G1071" i="1"/>
  <c r="G718" i="1"/>
  <c r="G1240" i="1"/>
  <c r="G1196" i="1"/>
  <c r="G1087" i="1"/>
  <c r="G837" i="1"/>
  <c r="G1094" i="1"/>
  <c r="G678" i="1"/>
  <c r="G1053" i="1"/>
  <c r="G1039" i="1"/>
  <c r="G1105" i="1"/>
  <c r="G872" i="1"/>
  <c r="G621" i="1"/>
  <c r="G916" i="1"/>
  <c r="G659" i="1"/>
  <c r="G1088" i="1"/>
  <c r="G845" i="1"/>
  <c r="G991" i="1"/>
  <c r="G738" i="1"/>
  <c r="G232" i="1"/>
  <c r="G157" i="1"/>
  <c r="G613" i="1"/>
  <c r="G173" i="1"/>
  <c r="G125" i="1"/>
  <c r="G242" i="1"/>
  <c r="G668" i="1"/>
  <c r="G467" i="1"/>
  <c r="G579" i="1"/>
  <c r="G484" i="1"/>
  <c r="G316" i="1"/>
  <c r="G370" i="1"/>
  <c r="G130" i="1"/>
  <c r="G98" i="1"/>
  <c r="G413" i="1"/>
  <c r="G223" i="1"/>
  <c r="G243" i="1"/>
  <c r="G68" i="1"/>
  <c r="G91" i="1"/>
  <c r="G3020" i="1"/>
  <c r="G2423" i="1"/>
  <c r="G2925" i="1"/>
  <c r="G3102" i="1"/>
  <c r="G3246" i="1"/>
  <c r="G3001" i="1"/>
  <c r="G2580" i="1"/>
  <c r="G3347" i="1"/>
  <c r="G3154" i="1"/>
  <c r="G3029" i="1"/>
  <c r="G3319" i="1"/>
  <c r="G3063" i="1"/>
  <c r="G2556" i="1"/>
  <c r="G2829" i="1"/>
  <c r="G2640" i="1"/>
  <c r="G2807" i="1"/>
  <c r="G2675" i="1"/>
  <c r="G2483" i="1"/>
  <c r="G2332" i="1"/>
  <c r="G2030" i="1"/>
  <c r="G2331" i="1"/>
  <c r="G2974" i="1"/>
  <c r="G2690" i="1"/>
  <c r="G2462" i="1"/>
  <c r="G2176" i="1"/>
  <c r="G2762" i="1"/>
  <c r="G2793" i="1"/>
  <c r="G2633" i="1"/>
  <c r="G2441" i="1"/>
  <c r="G2233" i="1"/>
  <c r="G2195" i="1"/>
  <c r="G2073" i="1"/>
  <c r="G1913" i="1"/>
  <c r="G2016" i="1"/>
  <c r="G1881" i="1"/>
  <c r="G1557" i="1"/>
  <c r="G2011" i="1"/>
  <c r="G1872" i="1"/>
  <c r="G1751" i="1"/>
  <c r="G1746" i="1"/>
  <c r="G1569" i="1"/>
  <c r="G1781" i="1"/>
  <c r="G779" i="1"/>
  <c r="G1342" i="1"/>
  <c r="G1536" i="1"/>
  <c r="G1315" i="1"/>
  <c r="G1392" i="1"/>
  <c r="G512" i="1"/>
  <c r="G1519" i="1"/>
  <c r="G1265" i="1"/>
  <c r="G1286" i="1"/>
  <c r="G1606" i="1"/>
  <c r="G1446" i="1"/>
  <c r="G1072" i="1"/>
  <c r="G815" i="1"/>
  <c r="G888" i="1"/>
  <c r="G1132" i="1"/>
  <c r="G980" i="1"/>
  <c r="G1055" i="1"/>
  <c r="G503" i="1"/>
  <c r="G529" i="1"/>
  <c r="G203" i="1"/>
  <c r="C3002" i="1"/>
  <c r="C2127" i="1"/>
  <c r="C3307" i="1"/>
  <c r="C3100" i="1"/>
  <c r="C2828" i="1"/>
  <c r="C3356" i="1"/>
  <c r="C3044" i="1"/>
  <c r="C1696" i="1"/>
  <c r="C2559" i="1"/>
  <c r="C3251" i="1"/>
  <c r="C2534" i="1"/>
  <c r="C3184" i="1"/>
  <c r="C3066" i="1"/>
  <c r="C2911" i="1"/>
  <c r="C2707" i="1"/>
  <c r="C2346" i="1"/>
  <c r="C1662" i="1"/>
  <c r="C3060" i="1"/>
  <c r="C2262" i="1"/>
  <c r="C3159" i="1"/>
  <c r="C3147" i="1"/>
  <c r="C1231" i="1"/>
  <c r="C3080" i="1"/>
  <c r="C2329" i="1"/>
  <c r="C3288" i="1"/>
  <c r="C3208" i="1"/>
  <c r="C3088" i="1"/>
  <c r="C2953" i="1"/>
  <c r="C2742" i="1"/>
  <c r="C2506" i="1"/>
  <c r="C2194" i="1"/>
  <c r="C1396" i="1"/>
  <c r="C2212" i="1"/>
  <c r="C2827" i="1"/>
  <c r="C2974" i="1"/>
  <c r="C1956" i="1"/>
  <c r="C3039" i="1"/>
  <c r="C3344" i="1"/>
  <c r="C3140" i="1"/>
  <c r="C2991" i="1"/>
  <c r="C2757" i="1"/>
  <c r="C2549" i="1"/>
  <c r="C2114" i="1"/>
  <c r="C1632" i="1"/>
  <c r="C2975" i="1"/>
  <c r="C2157" i="1"/>
  <c r="C3252" i="1"/>
  <c r="C2959" i="1"/>
  <c r="C1976" i="1"/>
  <c r="C2785" i="1"/>
  <c r="C1905" i="1"/>
  <c r="C3103" i="1"/>
  <c r="C2371" i="1"/>
  <c r="C3327" i="1"/>
  <c r="C3263" i="1"/>
  <c r="C3199" i="1"/>
  <c r="C3096" i="1"/>
  <c r="C2870" i="1"/>
  <c r="C2699" i="1"/>
  <c r="C2338" i="1"/>
  <c r="C2047" i="1"/>
  <c r="C3064" i="1"/>
  <c r="C2883" i="1"/>
  <c r="C2402" i="1"/>
  <c r="C2259" i="1"/>
  <c r="C2102" i="1"/>
  <c r="C1828" i="1"/>
  <c r="C1123" i="1"/>
  <c r="C3338" i="1"/>
  <c r="C3254" i="1"/>
  <c r="C3158" i="1"/>
  <c r="C3063" i="1"/>
  <c r="C2868" i="1"/>
  <c r="C2704" i="1"/>
  <c r="C2581" i="1"/>
  <c r="C2461" i="1"/>
  <c r="C3036" i="1"/>
  <c r="C2972" i="1"/>
  <c r="C2907" i="1"/>
  <c r="C2831" i="1"/>
  <c r="C2739" i="1"/>
  <c r="C2649" i="1"/>
  <c r="C2529" i="1"/>
  <c r="C2409" i="1"/>
  <c r="C2342" i="1"/>
  <c r="C2180" i="1"/>
  <c r="C2082" i="1"/>
  <c r="C1873" i="1"/>
  <c r="C1318" i="1"/>
  <c r="C876" i="1"/>
  <c r="C2890" i="1"/>
  <c r="C2625" i="1"/>
  <c r="C2446" i="1"/>
  <c r="C2163" i="1"/>
  <c r="C1175" i="1"/>
  <c r="C3314" i="1"/>
  <c r="C3214" i="1"/>
  <c r="C3098" i="1"/>
  <c r="C2962" i="1"/>
  <c r="C2761" i="1"/>
  <c r="C3309" i="1"/>
  <c r="C3265" i="1"/>
  <c r="C3233" i="1"/>
  <c r="C3201" i="1"/>
  <c r="C3169" i="1"/>
  <c r="C3137" i="1"/>
  <c r="C3105" i="1"/>
  <c r="C3067" i="1"/>
  <c r="C3003" i="1"/>
  <c r="C2939" i="1"/>
  <c r="C2844" i="1"/>
  <c r="C2752" i="1"/>
  <c r="C2621" i="1"/>
  <c r="C2554" i="1"/>
  <c r="C2434" i="1"/>
  <c r="C2314" i="1"/>
  <c r="C2226" i="1"/>
  <c r="C2080" i="1"/>
  <c r="C1823" i="1"/>
  <c r="C1348" i="1"/>
  <c r="C2973" i="1"/>
  <c r="C2747" i="1"/>
  <c r="C2471" i="1"/>
  <c r="C2210" i="1"/>
  <c r="C1809" i="1"/>
  <c r="C3342" i="1"/>
  <c r="C3222" i="1"/>
  <c r="C3134" i="1"/>
  <c r="C2967" i="1"/>
  <c r="C2435" i="1"/>
  <c r="C3313" i="1"/>
  <c r="C3040" i="1"/>
  <c r="C2976" i="1"/>
  <c r="C2912" i="1"/>
  <c r="C2843" i="1"/>
  <c r="C2758" i="1"/>
  <c r="C2671" i="1"/>
  <c r="C2553" i="1"/>
  <c r="C2433" i="1"/>
  <c r="C2313" i="1"/>
  <c r="C2128" i="1"/>
  <c r="C1844" i="1"/>
  <c r="C1344" i="1"/>
  <c r="C1895" i="1"/>
  <c r="C1742" i="1"/>
  <c r="C1284" i="1"/>
  <c r="C1089" i="1"/>
  <c r="C540" i="1"/>
  <c r="C1927" i="1"/>
  <c r="C1706" i="1"/>
  <c r="C1542" i="1"/>
  <c r="C1158" i="1"/>
  <c r="C726" i="1"/>
  <c r="C2893" i="1"/>
  <c r="C2829" i="1"/>
  <c r="C2765" i="1"/>
  <c r="C2701" i="1"/>
  <c r="C2635" i="1"/>
  <c r="C2546" i="1"/>
  <c r="C2469" i="1"/>
  <c r="C2379" i="1"/>
  <c r="C2294" i="1"/>
  <c r="C2177" i="1"/>
  <c r="C2089" i="1"/>
  <c r="C1935" i="1"/>
  <c r="C1818" i="1"/>
  <c r="C1620" i="1"/>
  <c r="C1196" i="1"/>
  <c r="C2887" i="1"/>
  <c r="C2823" i="1"/>
  <c r="C2759" i="1"/>
  <c r="C2695" i="1"/>
  <c r="C2615" i="1"/>
  <c r="C2526" i="1"/>
  <c r="C2449" i="1"/>
  <c r="C2359" i="1"/>
  <c r="C2264" i="1"/>
  <c r="C2154" i="1"/>
  <c r="C2051" i="1"/>
  <c r="C1876" i="1"/>
  <c r="C1486" i="1"/>
  <c r="C1191" i="1"/>
  <c r="C924" i="1"/>
  <c r="C284" i="1"/>
  <c r="C2263" i="1"/>
  <c r="C2199" i="1"/>
  <c r="C2135" i="1"/>
  <c r="C2070" i="1"/>
  <c r="C1969" i="1"/>
  <c r="C1859" i="1"/>
  <c r="C1684" i="1"/>
  <c r="C1448" i="1"/>
  <c r="C1274" i="1"/>
  <c r="C1132" i="1"/>
  <c r="C662" i="1"/>
  <c r="C2660" i="1"/>
  <c r="C2628" i="1"/>
  <c r="C2596" i="1"/>
  <c r="C2564" i="1"/>
  <c r="C2532" i="1"/>
  <c r="C2500" i="1"/>
  <c r="C2468" i="1"/>
  <c r="C2436" i="1"/>
  <c r="C2404" i="1"/>
  <c r="C2372" i="1"/>
  <c r="C2340" i="1"/>
  <c r="C2307" i="1"/>
  <c r="C2243" i="1"/>
  <c r="C2179" i="1"/>
  <c r="C2115" i="1"/>
  <c r="C2054" i="1"/>
  <c r="C1951" i="1"/>
  <c r="C1857" i="1"/>
  <c r="C1732" i="1"/>
  <c r="C1568" i="1"/>
  <c r="C1332" i="1"/>
  <c r="C1167" i="1"/>
  <c r="C1011" i="1"/>
  <c r="C805" i="1"/>
  <c r="C2284" i="1"/>
  <c r="C2220" i="1"/>
  <c r="C2156" i="1"/>
  <c r="C2092" i="1"/>
  <c r="C2017" i="1"/>
  <c r="C1900" i="1"/>
  <c r="C1780" i="1"/>
  <c r="C1556" i="1"/>
  <c r="C1320" i="1"/>
  <c r="C1206" i="1"/>
  <c r="C881" i="1"/>
  <c r="C2064" i="1"/>
  <c r="C2000" i="1"/>
  <c r="C1936" i="1"/>
  <c r="C1872" i="1"/>
  <c r="C1808" i="1"/>
  <c r="C1714" i="1"/>
  <c r="C1586" i="1"/>
  <c r="C1458" i="1"/>
  <c r="C1330" i="1"/>
  <c r="C1228" i="1"/>
  <c r="C1126" i="1"/>
  <c r="C981" i="1"/>
  <c r="C817" i="1"/>
  <c r="C2071" i="1"/>
  <c r="C2007" i="1"/>
  <c r="C1943" i="1"/>
  <c r="C1879" i="1"/>
  <c r="C1815" i="1"/>
  <c r="C1712" i="1"/>
  <c r="C1584" i="1"/>
  <c r="C1456" i="1"/>
  <c r="C1328" i="1"/>
  <c r="C1207" i="1"/>
  <c r="C1111" i="1"/>
  <c r="C976" i="1"/>
  <c r="C790" i="1"/>
  <c r="C324" i="1"/>
  <c r="C2016" i="1"/>
  <c r="C1952" i="1"/>
  <c r="C1888" i="1"/>
  <c r="C1824" i="1"/>
  <c r="C1730" i="1"/>
  <c r="C1602" i="1"/>
  <c r="C1474" i="1"/>
  <c r="C1346" i="1"/>
  <c r="C1215" i="1"/>
  <c r="C1130" i="1"/>
  <c r="C1009" i="1"/>
  <c r="C650" i="1"/>
  <c r="C1785" i="1"/>
  <c r="C1753" i="1"/>
  <c r="C1721" i="1"/>
  <c r="C1689" i="1"/>
  <c r="C1657" i="1"/>
  <c r="C1625" i="1"/>
  <c r="C1593" i="1"/>
  <c r="C1561" i="1"/>
  <c r="C1529" i="1"/>
  <c r="C1497" i="1"/>
  <c r="C1465" i="1"/>
  <c r="C1433" i="1"/>
  <c r="C1401" i="1"/>
  <c r="C1369" i="1"/>
  <c r="C1337" i="1"/>
  <c r="C1305" i="1"/>
  <c r="C1273" i="1"/>
  <c r="C1216" i="1"/>
  <c r="C1099" i="1"/>
  <c r="C1010" i="1"/>
  <c r="C902" i="1"/>
  <c r="C754" i="1"/>
  <c r="C608" i="1"/>
  <c r="C190" i="1"/>
  <c r="C1225" i="1"/>
  <c r="C1182" i="1"/>
  <c r="C1139" i="1"/>
  <c r="C1071" i="1"/>
  <c r="C980" i="1"/>
  <c r="C853" i="1"/>
  <c r="C713" i="1"/>
  <c r="C379" i="1"/>
  <c r="C1767" i="1"/>
  <c r="C1735" i="1"/>
  <c r="C1703" i="1"/>
  <c r="C1671" i="1"/>
  <c r="C1639" i="1"/>
  <c r="C1607" i="1"/>
  <c r="C1575" i="1"/>
  <c r="C1543" i="1"/>
  <c r="C1511" i="1"/>
  <c r="C1479" i="1"/>
  <c r="C1447" i="1"/>
  <c r="C1415" i="1"/>
  <c r="C1383" i="1"/>
  <c r="C1351" i="1"/>
  <c r="C1319" i="1"/>
  <c r="C1287" i="1"/>
  <c r="C1255" i="1"/>
  <c r="C1128" i="1"/>
  <c r="C1051" i="1"/>
  <c r="C943" i="1"/>
  <c r="C831" i="1"/>
  <c r="C699" i="1"/>
  <c r="C167" i="1"/>
  <c r="C374" i="1"/>
  <c r="C953" i="1"/>
  <c r="C889" i="1"/>
  <c r="C791" i="1"/>
  <c r="C706" i="1"/>
  <c r="C571" i="1"/>
  <c r="C362" i="1"/>
  <c r="C992" i="1"/>
  <c r="C928" i="1"/>
  <c r="C864" i="1"/>
  <c r="C807" i="1"/>
  <c r="C722" i="1"/>
  <c r="C642" i="1"/>
  <c r="C373" i="1"/>
  <c r="C164" i="1"/>
  <c r="C1108" i="1"/>
  <c r="C1076" i="1"/>
  <c r="C1044" i="1"/>
  <c r="C1012" i="1"/>
  <c r="C964" i="1"/>
  <c r="C900" i="1"/>
  <c r="C801" i="1"/>
  <c r="C715" i="1"/>
  <c r="C595" i="1"/>
  <c r="C286" i="1"/>
  <c r="C991" i="1"/>
  <c r="C927" i="1"/>
  <c r="C863" i="1"/>
  <c r="C806" i="1"/>
  <c r="C721" i="1"/>
  <c r="C641" i="1"/>
  <c r="C477" i="1"/>
  <c r="C261" i="1"/>
  <c r="C13" i="1"/>
  <c r="C499" i="1"/>
  <c r="C309" i="1"/>
  <c r="C77" i="1"/>
  <c r="C616" i="1"/>
  <c r="C498" i="1"/>
  <c r="C347" i="1"/>
  <c r="C133" i="1"/>
  <c r="C544" i="1"/>
  <c r="C405" i="1"/>
  <c r="C251" i="1"/>
  <c r="C89" i="1"/>
  <c r="C519" i="1"/>
  <c r="C441" i="1"/>
  <c r="C316" i="1"/>
  <c r="C199" i="1"/>
  <c r="C98" i="1"/>
  <c r="C610" i="1"/>
  <c r="C507" i="1"/>
  <c r="C418" i="1"/>
  <c r="C297" i="1"/>
  <c r="C213" i="1"/>
  <c r="C65" i="1"/>
  <c r="C832" i="1"/>
  <c r="C800" i="1"/>
  <c r="C768" i="1"/>
  <c r="C736" i="1"/>
  <c r="C704" i="1"/>
  <c r="C672" i="1"/>
  <c r="C640" i="1"/>
  <c r="C568" i="1"/>
  <c r="C501" i="1"/>
  <c r="C391" i="1"/>
  <c r="C287" i="1"/>
  <c r="C187" i="1"/>
  <c r="C73" i="1"/>
  <c r="C621" i="1"/>
  <c r="C589" i="1"/>
  <c r="C557" i="1"/>
  <c r="C525" i="1"/>
  <c r="C438" i="1"/>
  <c r="C353" i="1"/>
  <c r="C252" i="1"/>
  <c r="C142" i="1"/>
  <c r="C54" i="1"/>
  <c r="C296" i="1"/>
  <c r="C232" i="1"/>
  <c r="C168" i="1"/>
  <c r="C524" i="1"/>
  <c r="C492" i="1"/>
  <c r="C460" i="1"/>
  <c r="C428" i="1"/>
  <c r="C396" i="1"/>
  <c r="C364" i="1"/>
  <c r="C317" i="1"/>
  <c r="C253" i="1"/>
  <c r="C189" i="1"/>
  <c r="C125" i="1"/>
  <c r="C79" i="1"/>
  <c r="C37" i="1"/>
  <c r="C330" i="1"/>
  <c r="C266" i="1"/>
  <c r="C202" i="1"/>
  <c r="C138" i="1"/>
  <c r="C92" i="1"/>
  <c r="C60" i="1"/>
  <c r="C28" i="1"/>
  <c r="G3355" i="1"/>
  <c r="G3109" i="1"/>
  <c r="G2724" i="1"/>
  <c r="G3226" i="1"/>
  <c r="G2488" i="1"/>
  <c r="G3359" i="1"/>
  <c r="G3316" i="1"/>
  <c r="G3273" i="1"/>
  <c r="G3231" i="1"/>
  <c r="G3188" i="1"/>
  <c r="G3145" i="1"/>
  <c r="G3103" i="1"/>
  <c r="G3060" i="1"/>
  <c r="G2996" i="1"/>
  <c r="G2932" i="1"/>
  <c r="G2868" i="1"/>
  <c r="G2804" i="1"/>
  <c r="G2572" i="1"/>
  <c r="G2365" i="1"/>
  <c r="G2194" i="1"/>
  <c r="G3328" i="1"/>
  <c r="G3115" i="1"/>
  <c r="G2813" i="1"/>
  <c r="G1926" i="1"/>
  <c r="G3294" i="1"/>
  <c r="G3034" i="1"/>
  <c r="G2528" i="1"/>
  <c r="G2215" i="1"/>
  <c r="G3312" i="1"/>
  <c r="G2893" i="1"/>
  <c r="G3150" i="1"/>
  <c r="G3283" i="1"/>
  <c r="G3187" i="1"/>
  <c r="G3133" i="1"/>
  <c r="G3091" i="1"/>
  <c r="G3040" i="1"/>
  <c r="G2977" i="1"/>
  <c r="G2913" i="1"/>
  <c r="G2849" i="1"/>
  <c r="G2740" i="1"/>
  <c r="G2484" i="1"/>
  <c r="G2296" i="1"/>
  <c r="G2118" i="1"/>
  <c r="G3104" i="1"/>
  <c r="G3326" i="1"/>
  <c r="G3315" i="1"/>
  <c r="G3240" i="1"/>
  <c r="G3362" i="1"/>
  <c r="G3234" i="1"/>
  <c r="G3106" i="1"/>
  <c r="G2728" i="1"/>
  <c r="G2472" i="1"/>
  <c r="G1840" i="1"/>
  <c r="G3195" i="1"/>
  <c r="G2917" i="1"/>
  <c r="G1796" i="1"/>
  <c r="G2456" i="1"/>
  <c r="G3345" i="1"/>
  <c r="G3303" i="1"/>
  <c r="G3260" i="1"/>
  <c r="G3217" i="1"/>
  <c r="G3175" i="1"/>
  <c r="G3132" i="1"/>
  <c r="G3089" i="1"/>
  <c r="G3032" i="1"/>
  <c r="G2968" i="1"/>
  <c r="G2904" i="1"/>
  <c r="G2840" i="1"/>
  <c r="G2716" i="1"/>
  <c r="G2460" i="1"/>
  <c r="G2269" i="1"/>
  <c r="G1894" i="1"/>
  <c r="G3264" i="1"/>
  <c r="G3021" i="1"/>
  <c r="G2370" i="1"/>
  <c r="G3178" i="1"/>
  <c r="G3270" i="1"/>
  <c r="G3142" i="1"/>
  <c r="G3037" i="1"/>
  <c r="G2544" i="1"/>
  <c r="G2183" i="1"/>
  <c r="G3027" i="1"/>
  <c r="G2963" i="1"/>
  <c r="G2899" i="1"/>
  <c r="G2835" i="1"/>
  <c r="G2795" i="1"/>
  <c r="G2763" i="1"/>
  <c r="G2727" i="1"/>
  <c r="G2695" i="1"/>
  <c r="G2663" i="1"/>
  <c r="G2631" i="1"/>
  <c r="G2599" i="1"/>
  <c r="G2567" i="1"/>
  <c r="G2535" i="1"/>
  <c r="G2503" i="1"/>
  <c r="G2471" i="1"/>
  <c r="G2439" i="1"/>
  <c r="G2401" i="1"/>
  <c r="G2358" i="1"/>
  <c r="G2316" i="1"/>
  <c r="G2273" i="1"/>
  <c r="G2230" i="1"/>
  <c r="G2188" i="1"/>
  <c r="G2145" i="1"/>
  <c r="G1934" i="1"/>
  <c r="G1613" i="1"/>
  <c r="G2999" i="1"/>
  <c r="G2935" i="1"/>
  <c r="G2871" i="1"/>
  <c r="G2411" i="1"/>
  <c r="G2283" i="1"/>
  <c r="G2155" i="1"/>
  <c r="G1954" i="1"/>
  <c r="G3018" i="1"/>
  <c r="G2950" i="1"/>
  <c r="G2882" i="1"/>
  <c r="G2814" i="1"/>
  <c r="G2750" i="1"/>
  <c r="G2710" i="1"/>
  <c r="G2678" i="1"/>
  <c r="G2642" i="1"/>
  <c r="G2610" i="1"/>
  <c r="G2578" i="1"/>
  <c r="G2546" i="1"/>
  <c r="G2514" i="1"/>
  <c r="G2482" i="1"/>
  <c r="G2450" i="1"/>
  <c r="G2416" i="1"/>
  <c r="G2373" i="1"/>
  <c r="G2330" i="1"/>
  <c r="G2288" i="1"/>
  <c r="G2245" i="1"/>
  <c r="G2202" i="1"/>
  <c r="G2160" i="1"/>
  <c r="G2006" i="1"/>
  <c r="G1668" i="1"/>
  <c r="G2986" i="1"/>
  <c r="G2926" i="1"/>
  <c r="G2862" i="1"/>
  <c r="G2802" i="1"/>
  <c r="G2734" i="1"/>
  <c r="G2319" i="1"/>
  <c r="G2191" i="1"/>
  <c r="G2058" i="1"/>
  <c r="G1809" i="1"/>
  <c r="G2781" i="1"/>
  <c r="G2749" i="1"/>
  <c r="G2717" i="1"/>
  <c r="G2685" i="1"/>
  <c r="G2653" i="1"/>
  <c r="G2621" i="1"/>
  <c r="G2589" i="1"/>
  <c r="G2557" i="1"/>
  <c r="G2525" i="1"/>
  <c r="G2493" i="1"/>
  <c r="G2461" i="1"/>
  <c r="G2429" i="1"/>
  <c r="G2388" i="1"/>
  <c r="G2345" i="1"/>
  <c r="G2302" i="1"/>
  <c r="G2260" i="1"/>
  <c r="G2217" i="1"/>
  <c r="G2174" i="1"/>
  <c r="G2078" i="1"/>
  <c r="G1847" i="1"/>
  <c r="G2403" i="1"/>
  <c r="G2275" i="1"/>
  <c r="G2147" i="1"/>
  <c r="G1938" i="1"/>
  <c r="G855" i="1"/>
  <c r="G1712" i="1"/>
  <c r="G932" i="1"/>
  <c r="G2093" i="1"/>
  <c r="G2061" i="1"/>
  <c r="G2029" i="1"/>
  <c r="G1997" i="1"/>
  <c r="G1965" i="1"/>
  <c r="G1933" i="1"/>
  <c r="G1901" i="1"/>
  <c r="G1817" i="1"/>
  <c r="G1683" i="1"/>
  <c r="G856" i="1"/>
  <c r="G2100" i="1"/>
  <c r="G2068" i="1"/>
  <c r="G2036" i="1"/>
  <c r="G2004" i="1"/>
  <c r="G1972" i="1"/>
  <c r="G1940" i="1"/>
  <c r="G1908" i="1"/>
  <c r="G1852" i="1"/>
  <c r="G1727" i="1"/>
  <c r="G1375" i="1"/>
  <c r="G1843" i="1"/>
  <c r="G1698" i="1"/>
  <c r="G1370" i="1"/>
  <c r="G2127" i="1"/>
  <c r="G2095" i="1"/>
  <c r="G2063" i="1"/>
  <c r="G2031" i="1"/>
  <c r="G1999" i="1"/>
  <c r="G1967" i="1"/>
  <c r="G1935" i="1"/>
  <c r="G1903" i="1"/>
  <c r="G1835" i="1"/>
  <c r="G1706" i="1"/>
  <c r="G1158" i="1"/>
  <c r="G1827" i="1"/>
  <c r="G1724" i="1"/>
  <c r="G1445" i="1"/>
  <c r="G1851" i="1"/>
  <c r="G1787" i="1"/>
  <c r="G1723" i="1"/>
  <c r="G1425" i="1"/>
  <c r="G933" i="1"/>
  <c r="G1745" i="1"/>
  <c r="G1681" i="1"/>
  <c r="G1609" i="1"/>
  <c r="G1545" i="1"/>
  <c r="G1481" i="1"/>
  <c r="G1366" i="1"/>
  <c r="G805" i="1"/>
  <c r="G1822" i="1"/>
  <c r="G1758" i="1"/>
  <c r="G1694" i="1"/>
  <c r="G1305" i="1"/>
  <c r="G1653" i="1"/>
  <c r="G1166" i="1"/>
  <c r="G1871" i="1"/>
  <c r="G1807" i="1"/>
  <c r="G1743" i="1"/>
  <c r="G1679" i="1"/>
  <c r="G1278" i="1"/>
  <c r="G1652" i="1"/>
  <c r="G1620" i="1"/>
  <c r="G1588" i="1"/>
  <c r="G1556" i="1"/>
  <c r="G1524" i="1"/>
  <c r="G1492" i="1"/>
  <c r="G1460" i="1"/>
  <c r="G1428" i="1"/>
  <c r="G1374" i="1"/>
  <c r="G1266" i="1"/>
  <c r="G1189" i="1"/>
  <c r="G1059" i="1"/>
  <c r="G803" i="1"/>
  <c r="G1369" i="1"/>
  <c r="G1320" i="1"/>
  <c r="G1277" i="1"/>
  <c r="G1095" i="1"/>
  <c r="G828" i="1"/>
  <c r="G1635" i="1"/>
  <c r="G1603" i="1"/>
  <c r="G1571" i="1"/>
  <c r="G1539" i="1"/>
  <c r="G1507" i="1"/>
  <c r="G1475" i="1"/>
  <c r="G1443" i="1"/>
  <c r="G1405" i="1"/>
  <c r="G1335" i="1"/>
  <c r="G1233" i="1"/>
  <c r="G1170" i="1"/>
  <c r="G997" i="1"/>
  <c r="G432" i="1"/>
  <c r="G1359" i="1"/>
  <c r="G1313" i="1"/>
  <c r="G1270" i="1"/>
  <c r="G1073" i="1"/>
  <c r="G817" i="1"/>
  <c r="G1658" i="1"/>
  <c r="G1626" i="1"/>
  <c r="G1594" i="1"/>
  <c r="G1562" i="1"/>
  <c r="G1530" i="1"/>
  <c r="G1498" i="1"/>
  <c r="G1466" i="1"/>
  <c r="G1434" i="1"/>
  <c r="G1381" i="1"/>
  <c r="G1291" i="1"/>
  <c r="G1185" i="1"/>
  <c r="G944" i="1"/>
  <c r="G1399" i="1"/>
  <c r="G1322" i="1"/>
  <c r="G1262" i="1"/>
  <c r="G1046" i="1"/>
  <c r="G654" i="1"/>
  <c r="G1232" i="1"/>
  <c r="G1192" i="1"/>
  <c r="G1079" i="1"/>
  <c r="G824" i="1"/>
  <c r="G1054" i="1"/>
  <c r="G646" i="1"/>
  <c r="G1040" i="1"/>
  <c r="G1014" i="1"/>
  <c r="G1101" i="1"/>
  <c r="G866" i="1"/>
  <c r="G594" i="1"/>
  <c r="G910" i="1"/>
  <c r="G651" i="1"/>
  <c r="G1084" i="1"/>
  <c r="G832" i="1"/>
  <c r="G985" i="1"/>
  <c r="G730" i="1"/>
  <c r="G69" i="1"/>
  <c r="G38" i="1"/>
  <c r="G604" i="1"/>
  <c r="G152" i="1"/>
  <c r="G93" i="1"/>
  <c r="G212" i="1"/>
  <c r="G664" i="1"/>
  <c r="G460" i="1"/>
  <c r="G574" i="1"/>
  <c r="G478" i="1"/>
  <c r="G305" i="1"/>
  <c r="G366" i="1"/>
  <c r="G9" i="1"/>
  <c r="G90" i="1"/>
  <c r="G409" i="1"/>
  <c r="G218" i="1"/>
  <c r="G238" i="1"/>
  <c r="G64" i="1"/>
  <c r="G87" i="1"/>
  <c r="G1759" i="1"/>
  <c r="G2407" i="1"/>
  <c r="G3219" i="1"/>
  <c r="G2873" i="1"/>
  <c r="G3221" i="1"/>
  <c r="G3192" i="1"/>
  <c r="G3280" i="1"/>
  <c r="G3361" i="1"/>
  <c r="G3148" i="1"/>
  <c r="G2864" i="1"/>
  <c r="G2162" i="1"/>
  <c r="G3190" i="1"/>
  <c r="G2923" i="1"/>
  <c r="G2707" i="1"/>
  <c r="G2515" i="1"/>
  <c r="G2374" i="1"/>
  <c r="G1818" i="1"/>
  <c r="G2050" i="1"/>
  <c r="G2722" i="1"/>
  <c r="G2526" i="1"/>
  <c r="G2430" i="1"/>
  <c r="G2218" i="1"/>
  <c r="G2946" i="1"/>
  <c r="G2239" i="1"/>
  <c r="G2697" i="1"/>
  <c r="G2537" i="1"/>
  <c r="G2318" i="1"/>
  <c r="G1918" i="1"/>
  <c r="G1649" i="1"/>
  <c r="G2009" i="1"/>
  <c r="G1738" i="1"/>
  <c r="G1984" i="1"/>
  <c r="G1581" i="1"/>
  <c r="G2107" i="1"/>
  <c r="G1915" i="1"/>
  <c r="G1864" i="1"/>
  <c r="G1810" i="1"/>
  <c r="G1633" i="1"/>
  <c r="G1098" i="1"/>
  <c r="G1009" i="1"/>
  <c r="G1766" i="1"/>
  <c r="G1600" i="1"/>
  <c r="G1440" i="1"/>
  <c r="G1139" i="1"/>
  <c r="G1227" i="1"/>
  <c r="G1583" i="1"/>
  <c r="G1455" i="1"/>
  <c r="G1364" i="1"/>
  <c r="G1386" i="1"/>
  <c r="G919" i="1"/>
  <c r="G1542" i="1"/>
  <c r="G1404" i="1"/>
  <c r="G586" i="1"/>
  <c r="G1248" i="1"/>
  <c r="G1123" i="1"/>
  <c r="G375" i="1"/>
  <c r="G723" i="1"/>
  <c r="G799" i="1"/>
  <c r="G308" i="1"/>
  <c r="G117" i="1"/>
  <c r="G402" i="1"/>
  <c r="G445" i="1"/>
  <c r="G25" i="1"/>
  <c r="C2653" i="1"/>
  <c r="C3332" i="1"/>
  <c r="C2986" i="1"/>
  <c r="C3156" i="1"/>
  <c r="C2422" i="1"/>
  <c r="C3219" i="1"/>
  <c r="C2509" i="1"/>
  <c r="C3175" i="1"/>
  <c r="C3054" i="1"/>
  <c r="C2897" i="1"/>
  <c r="C2669" i="1"/>
  <c r="C2251" i="1"/>
  <c r="C1400" i="1"/>
  <c r="C2990" i="1"/>
  <c r="C2045" i="1"/>
  <c r="C3095" i="1"/>
  <c r="C3092" i="1"/>
  <c r="C3363" i="1"/>
  <c r="C3012" i="1"/>
  <c r="C2224" i="1"/>
  <c r="C3272" i="1"/>
  <c r="C3200" i="1"/>
  <c r="C3079" i="1"/>
  <c r="C2938" i="1"/>
  <c r="C2721" i="1"/>
  <c r="C2458" i="1"/>
  <c r="C2166" i="1"/>
  <c r="C1189" i="1"/>
  <c r="C1268" i="1"/>
  <c r="C2693" i="1"/>
  <c r="C2899" i="1"/>
  <c r="C1764" i="1"/>
  <c r="C2915" i="1"/>
  <c r="C3328" i="1"/>
  <c r="C3131" i="1"/>
  <c r="C2979" i="1"/>
  <c r="C2741" i="1"/>
  <c r="C2499" i="1"/>
  <c r="C2086" i="1"/>
  <c r="C1560" i="1"/>
  <c r="C2885" i="1"/>
  <c r="C1978" i="1"/>
  <c r="C3236" i="1"/>
  <c r="C2932" i="1"/>
  <c r="C1787" i="1"/>
  <c r="C2750" i="1"/>
  <c r="C3347" i="1"/>
  <c r="C3070" i="1"/>
  <c r="C2281" i="1"/>
  <c r="C3319" i="1"/>
  <c r="C3255" i="1"/>
  <c r="C3191" i="1"/>
  <c r="C3087" i="1"/>
  <c r="C2849" i="1"/>
  <c r="C2659" i="1"/>
  <c r="C2291" i="1"/>
  <c r="C1928" i="1"/>
  <c r="C3048" i="1"/>
  <c r="C2862" i="1"/>
  <c r="C2394" i="1"/>
  <c r="C2239" i="1"/>
  <c r="C2093" i="1"/>
  <c r="C1804" i="1"/>
  <c r="C1073" i="1"/>
  <c r="C3330" i="1"/>
  <c r="C3242" i="1"/>
  <c r="C3146" i="1"/>
  <c r="C3047" i="1"/>
  <c r="C2832" i="1"/>
  <c r="C2697" i="1"/>
  <c r="C2573" i="1"/>
  <c r="C2453" i="1"/>
  <c r="C3025" i="1"/>
  <c r="C2961" i="1"/>
  <c r="C2901" i="1"/>
  <c r="C2810" i="1"/>
  <c r="C2731" i="1"/>
  <c r="C2639" i="1"/>
  <c r="C2521" i="1"/>
  <c r="C2401" i="1"/>
  <c r="C2287" i="1"/>
  <c r="C2159" i="1"/>
  <c r="C2058" i="1"/>
  <c r="C1850" i="1"/>
  <c r="C1286" i="1"/>
  <c r="C781" i="1"/>
  <c r="C2847" i="1"/>
  <c r="C2617" i="1"/>
  <c r="C2377" i="1"/>
  <c r="C2134" i="1"/>
  <c r="C1133" i="1"/>
  <c r="C3302" i="1"/>
  <c r="C3202" i="1"/>
  <c r="C3086" i="1"/>
  <c r="C2951" i="1"/>
  <c r="C2445" i="1"/>
  <c r="C3301" i="1"/>
  <c r="C3261" i="1"/>
  <c r="C3229" i="1"/>
  <c r="C3197" i="1"/>
  <c r="C3165" i="1"/>
  <c r="C3133" i="1"/>
  <c r="C3101" i="1"/>
  <c r="C3062" i="1"/>
  <c r="C2998" i="1"/>
  <c r="C2934" i="1"/>
  <c r="C2837" i="1"/>
  <c r="C2745" i="1"/>
  <c r="C2613" i="1"/>
  <c r="C2493" i="1"/>
  <c r="C2426" i="1"/>
  <c r="C2305" i="1"/>
  <c r="C2217" i="1"/>
  <c r="C2055" i="1"/>
  <c r="C1800" i="1"/>
  <c r="C1204" i="1"/>
  <c r="C2941" i="1"/>
  <c r="C2719" i="1"/>
  <c r="C2454" i="1"/>
  <c r="C2192" i="1"/>
  <c r="C1358" i="1"/>
  <c r="C3326" i="1"/>
  <c r="C3210" i="1"/>
  <c r="C3126" i="1"/>
  <c r="C2946" i="1"/>
  <c r="C3365" i="1"/>
  <c r="C3305" i="1"/>
  <c r="C3029" i="1"/>
  <c r="C2965" i="1"/>
  <c r="C2906" i="1"/>
  <c r="C2830" i="1"/>
  <c r="C2751" i="1"/>
  <c r="C2663" i="1"/>
  <c r="C2543" i="1"/>
  <c r="C2425" i="1"/>
  <c r="C2304" i="1"/>
  <c r="C2099" i="1"/>
  <c r="C1821" i="1"/>
  <c r="C1243" i="1"/>
  <c r="C1860" i="1"/>
  <c r="C1726" i="1"/>
  <c r="C1252" i="1"/>
  <c r="C1066" i="1"/>
  <c r="C409" i="1"/>
  <c r="C1891" i="1"/>
  <c r="C1688" i="1"/>
  <c r="C1524" i="1"/>
  <c r="C1135" i="1"/>
  <c r="C674" i="1"/>
  <c r="C2888" i="1"/>
  <c r="C2824" i="1"/>
  <c r="C2760" i="1"/>
  <c r="C2696" i="1"/>
  <c r="C2629" i="1"/>
  <c r="C2539" i="1"/>
  <c r="C2450" i="1"/>
  <c r="C2373" i="1"/>
  <c r="C2272" i="1"/>
  <c r="C2169" i="1"/>
  <c r="C2065" i="1"/>
  <c r="C1924" i="1"/>
  <c r="C1807" i="1"/>
  <c r="C1604" i="1"/>
  <c r="C1105" i="1"/>
  <c r="C2882" i="1"/>
  <c r="C2818" i="1"/>
  <c r="C2754" i="1"/>
  <c r="C2690" i="1"/>
  <c r="C2609" i="1"/>
  <c r="C2519" i="1"/>
  <c r="C2430" i="1"/>
  <c r="C2353" i="1"/>
  <c r="C2256" i="1"/>
  <c r="C2146" i="1"/>
  <c r="C2015" i="1"/>
  <c r="C1853" i="1"/>
  <c r="C1470" i="1"/>
  <c r="C1170" i="1"/>
  <c r="C890" i="1"/>
  <c r="C35" i="1"/>
  <c r="C2254" i="1"/>
  <c r="C2190" i="1"/>
  <c r="C2126" i="1"/>
  <c r="C2042" i="1"/>
  <c r="C1962" i="1"/>
  <c r="C1845" i="1"/>
  <c r="C1674" i="1"/>
  <c r="C1438" i="1"/>
  <c r="C1254" i="1"/>
  <c r="C1002" i="1"/>
  <c r="C624" i="1"/>
  <c r="C2656" i="1"/>
  <c r="C2624" i="1"/>
  <c r="C2592" i="1"/>
  <c r="C2560" i="1"/>
  <c r="C2528" i="1"/>
  <c r="C2496" i="1"/>
  <c r="C2464" i="1"/>
  <c r="C2432" i="1"/>
  <c r="C2400" i="1"/>
  <c r="C2368" i="1"/>
  <c r="C2336" i="1"/>
  <c r="C2298" i="1"/>
  <c r="C2234" i="1"/>
  <c r="C2170" i="1"/>
  <c r="C2106" i="1"/>
  <c r="C2040" i="1"/>
  <c r="C1937" i="1"/>
  <c r="C1827" i="1"/>
  <c r="C1710" i="1"/>
  <c r="C1496" i="1"/>
  <c r="C1322" i="1"/>
  <c r="C1141" i="1"/>
  <c r="C995" i="1"/>
  <c r="C743" i="1"/>
  <c r="C2279" i="1"/>
  <c r="C2215" i="1"/>
  <c r="C2151" i="1"/>
  <c r="C2087" i="1"/>
  <c r="C1987" i="1"/>
  <c r="C1892" i="1"/>
  <c r="C1720" i="1"/>
  <c r="C1546" i="1"/>
  <c r="C1310" i="1"/>
  <c r="C1179" i="1"/>
  <c r="C802" i="1"/>
  <c r="C2059" i="1"/>
  <c r="C1995" i="1"/>
  <c r="C1931" i="1"/>
  <c r="C1867" i="1"/>
  <c r="C1803" i="1"/>
  <c r="C1708" i="1"/>
  <c r="C1580" i="1"/>
  <c r="C1452" i="1"/>
  <c r="C1324" i="1"/>
  <c r="C1220" i="1"/>
  <c r="C1063" i="1"/>
  <c r="C967" i="1"/>
  <c r="C778" i="1"/>
  <c r="C2062" i="1"/>
  <c r="C1998" i="1"/>
  <c r="C1934" i="1"/>
  <c r="C1870" i="1"/>
  <c r="C1806" i="1"/>
  <c r="C1686" i="1"/>
  <c r="C1558" i="1"/>
  <c r="C1430" i="1"/>
  <c r="C1302" i="1"/>
  <c r="C1199" i="1"/>
  <c r="C1091" i="1"/>
  <c r="C961" i="1"/>
  <c r="C769" i="1"/>
  <c r="C235" i="1"/>
  <c r="C2011" i="1"/>
  <c r="C1947" i="1"/>
  <c r="C1883" i="1"/>
  <c r="C1819" i="1"/>
  <c r="C1724" i="1"/>
  <c r="C1596" i="1"/>
  <c r="C1468" i="1"/>
  <c r="C1340" i="1"/>
  <c r="C1190" i="1"/>
  <c r="C1121" i="1"/>
  <c r="C998" i="1"/>
  <c r="C547" i="1"/>
  <c r="C1781" i="1"/>
  <c r="C1749" i="1"/>
  <c r="C1717" i="1"/>
  <c r="C1685" i="1"/>
  <c r="C1653" i="1"/>
  <c r="C1621" i="1"/>
  <c r="C1589" i="1"/>
  <c r="C1557" i="1"/>
  <c r="C1525" i="1"/>
  <c r="C1493" i="1"/>
  <c r="C1461" i="1"/>
  <c r="C1429" i="1"/>
  <c r="C1397" i="1"/>
  <c r="C1365" i="1"/>
  <c r="C1333" i="1"/>
  <c r="C1301" i="1"/>
  <c r="C1269" i="1"/>
  <c r="C1200" i="1"/>
  <c r="C1081" i="1"/>
  <c r="C1003" i="1"/>
  <c r="C893" i="1"/>
  <c r="C742" i="1"/>
  <c r="C548" i="1"/>
  <c r="C144" i="1"/>
  <c r="C1219" i="1"/>
  <c r="C1177" i="1"/>
  <c r="C1134" i="1"/>
  <c r="C1053" i="1"/>
  <c r="C944" i="1"/>
  <c r="C843" i="1"/>
  <c r="C701" i="1"/>
  <c r="C301" i="1"/>
  <c r="C1763" i="1"/>
  <c r="C1731" i="1"/>
  <c r="C1699" i="1"/>
  <c r="C1667" i="1"/>
  <c r="C1635" i="1"/>
  <c r="C1603" i="1"/>
  <c r="C1571" i="1"/>
  <c r="C1539" i="1"/>
  <c r="C1507" i="1"/>
  <c r="C1475" i="1"/>
  <c r="C1443" i="1"/>
  <c r="C1411" i="1"/>
  <c r="C1379" i="1"/>
  <c r="C1347" i="1"/>
  <c r="C1315" i="1"/>
  <c r="C1283" i="1"/>
  <c r="C1240" i="1"/>
  <c r="C1122" i="1"/>
  <c r="C1033" i="1"/>
  <c r="C934" i="1"/>
  <c r="C821" i="1"/>
  <c r="C687" i="1"/>
  <c r="C78" i="1"/>
  <c r="C249" i="1"/>
  <c r="C948" i="1"/>
  <c r="C884" i="1"/>
  <c r="C779" i="1"/>
  <c r="C694" i="1"/>
  <c r="C562" i="1"/>
  <c r="C341" i="1"/>
  <c r="C983" i="1"/>
  <c r="C919" i="1"/>
  <c r="C855" i="1"/>
  <c r="C795" i="1"/>
  <c r="C710" i="1"/>
  <c r="C635" i="1"/>
  <c r="C351" i="1"/>
  <c r="C140" i="1"/>
  <c r="C1104" i="1"/>
  <c r="C1072" i="1"/>
  <c r="C1040" i="1"/>
  <c r="C1008" i="1"/>
  <c r="C955" i="1"/>
  <c r="C891" i="1"/>
  <c r="C789" i="1"/>
  <c r="C703" i="1"/>
  <c r="C576" i="1"/>
  <c r="C222" i="1"/>
  <c r="C982" i="1"/>
  <c r="C918" i="1"/>
  <c r="C854" i="1"/>
  <c r="C794" i="1"/>
  <c r="C709" i="1"/>
  <c r="C633" i="1"/>
  <c r="C425" i="1"/>
  <c r="C219" i="1"/>
  <c r="C611" i="1"/>
  <c r="C490" i="1"/>
  <c r="C269" i="1"/>
  <c r="C61" i="1"/>
  <c r="C598" i="1"/>
  <c r="C473" i="1"/>
  <c r="C334" i="1"/>
  <c r="C75" i="1"/>
  <c r="C530" i="1"/>
  <c r="C369" i="1"/>
  <c r="C240" i="1"/>
  <c r="C57" i="1"/>
  <c r="C514" i="1"/>
  <c r="C399" i="1"/>
  <c r="C300" i="1"/>
  <c r="C191" i="1"/>
  <c r="C87" i="1"/>
  <c r="C596" i="1"/>
  <c r="C491" i="1"/>
  <c r="C413" i="1"/>
  <c r="C288" i="1"/>
  <c r="C205" i="1"/>
  <c r="C55" i="1"/>
  <c r="C828" i="1"/>
  <c r="C796" i="1"/>
  <c r="C764" i="1"/>
  <c r="C732" i="1"/>
  <c r="C700" i="1"/>
  <c r="C668" i="1"/>
  <c r="C636" i="1"/>
  <c r="C559" i="1"/>
  <c r="C475" i="1"/>
  <c r="C386" i="1"/>
  <c r="C270" i="1"/>
  <c r="C178" i="1"/>
  <c r="C43" i="1"/>
  <c r="C617" i="1"/>
  <c r="C585" i="1"/>
  <c r="C553" i="1"/>
  <c r="C511" i="1"/>
  <c r="C429" i="1"/>
  <c r="C333" i="1"/>
  <c r="C245" i="1"/>
  <c r="C135" i="1"/>
  <c r="C29" i="1"/>
  <c r="C291" i="1"/>
  <c r="C227" i="1"/>
  <c r="C163" i="1"/>
  <c r="C520" i="1"/>
  <c r="C488" i="1"/>
  <c r="C456" i="1"/>
  <c r="C424" i="1"/>
  <c r="C392" i="1"/>
  <c r="C360" i="1"/>
  <c r="C308" i="1"/>
  <c r="C244" i="1"/>
  <c r="C180" i="1"/>
  <c r="C116" i="1"/>
  <c r="C74" i="1"/>
  <c r="C31" i="1"/>
  <c r="C321" i="1"/>
  <c r="C257" i="1"/>
  <c r="C193" i="1"/>
  <c r="C129" i="1"/>
  <c r="C88" i="1"/>
  <c r="C56" i="1"/>
  <c r="C24" i="1"/>
  <c r="G3323" i="1"/>
  <c r="G3077" i="1"/>
  <c r="G2660" i="1"/>
  <c r="G3194" i="1"/>
  <c r="G2424" i="1"/>
  <c r="G3353" i="1"/>
  <c r="G3311" i="1"/>
  <c r="G3268" i="1"/>
  <c r="G3225" i="1"/>
  <c r="G3183" i="1"/>
  <c r="G3140" i="1"/>
  <c r="G3097" i="1"/>
  <c r="G3054" i="1"/>
  <c r="G2988" i="1"/>
  <c r="G2924" i="1"/>
  <c r="G2860" i="1"/>
  <c r="G2796" i="1"/>
  <c r="G2540" i="1"/>
  <c r="G2344" i="1"/>
  <c r="G2173" i="1"/>
  <c r="G3301" i="1"/>
  <c r="G3088" i="1"/>
  <c r="G2756" i="1"/>
  <c r="G3354" i="1"/>
  <c r="G3262" i="1"/>
  <c r="G2752" i="1"/>
  <c r="G2496" i="1"/>
  <c r="G2151" i="1"/>
  <c r="G3269" i="1"/>
  <c r="G2788" i="1"/>
  <c r="G2784" i="1"/>
  <c r="G3272" i="1"/>
  <c r="G3176" i="1"/>
  <c r="G3128" i="1"/>
  <c r="G3085" i="1"/>
  <c r="G3033" i="1"/>
  <c r="G2969" i="1"/>
  <c r="G2905" i="1"/>
  <c r="G2841" i="1"/>
  <c r="G2708" i="1"/>
  <c r="G2452" i="1"/>
  <c r="G2274" i="1"/>
  <c r="G1990" i="1"/>
  <c r="G3067" i="1"/>
  <c r="G3278" i="1"/>
  <c r="G3304" i="1"/>
  <c r="G3229" i="1"/>
  <c r="G3346" i="1"/>
  <c r="G3218" i="1"/>
  <c r="G3090" i="1"/>
  <c r="G2696" i="1"/>
  <c r="G2440" i="1"/>
  <c r="G1719" i="1"/>
  <c r="G3163" i="1"/>
  <c r="G2877" i="1"/>
  <c r="G3274" i="1"/>
  <c r="G3310" i="1"/>
  <c r="G3340" i="1"/>
  <c r="G3297" i="1"/>
  <c r="G3255" i="1"/>
  <c r="G3212" i="1"/>
  <c r="G3169" i="1"/>
  <c r="G3127" i="1"/>
  <c r="G3084" i="1"/>
  <c r="G3024" i="1"/>
  <c r="G2960" i="1"/>
  <c r="G2896" i="1"/>
  <c r="G2832" i="1"/>
  <c r="G2684" i="1"/>
  <c r="G2428" i="1"/>
  <c r="G2248" i="1"/>
  <c r="G1823" i="1"/>
  <c r="G3243" i="1"/>
  <c r="G2981" i="1"/>
  <c r="G2285" i="1"/>
  <c r="G3066" i="1"/>
  <c r="G3254" i="1"/>
  <c r="G3126" i="1"/>
  <c r="G2768" i="1"/>
  <c r="G2512" i="1"/>
  <c r="G2106" i="1"/>
  <c r="G3019" i="1"/>
  <c r="G2955" i="1"/>
  <c r="G2891" i="1"/>
  <c r="G2827" i="1"/>
  <c r="G2791" i="1"/>
  <c r="G2759" i="1"/>
  <c r="G2723" i="1"/>
  <c r="G2691" i="1"/>
  <c r="G2659" i="1"/>
  <c r="G2627" i="1"/>
  <c r="G2595" i="1"/>
  <c r="G2563" i="1"/>
  <c r="G2531" i="1"/>
  <c r="G2499" i="1"/>
  <c r="G2467" i="1"/>
  <c r="G2435" i="1"/>
  <c r="G2396" i="1"/>
  <c r="G2353" i="1"/>
  <c r="G2310" i="1"/>
  <c r="G2268" i="1"/>
  <c r="G2225" i="1"/>
  <c r="G2182" i="1"/>
  <c r="G2140" i="1"/>
  <c r="G1902" i="1"/>
  <c r="G1222" i="1"/>
  <c r="G2991" i="1"/>
  <c r="G2927" i="1"/>
  <c r="G2863" i="1"/>
  <c r="G2395" i="1"/>
  <c r="G2267" i="1"/>
  <c r="G2138" i="1"/>
  <c r="G1922" i="1"/>
  <c r="G3010" i="1"/>
  <c r="G2942" i="1"/>
  <c r="G2874" i="1"/>
  <c r="G2806" i="1"/>
  <c r="G2746" i="1"/>
  <c r="G2706" i="1"/>
  <c r="G2674" i="1"/>
  <c r="G2638" i="1"/>
  <c r="G2606" i="1"/>
  <c r="G2574" i="1"/>
  <c r="G2542" i="1"/>
  <c r="G2510" i="1"/>
  <c r="G2478" i="1"/>
  <c r="G2446" i="1"/>
  <c r="G2410" i="1"/>
  <c r="G2368" i="1"/>
  <c r="G2325" i="1"/>
  <c r="G2282" i="1"/>
  <c r="G2240" i="1"/>
  <c r="G2197" i="1"/>
  <c r="G2154" i="1"/>
  <c r="G1974" i="1"/>
  <c r="G1149" i="1"/>
  <c r="G2978" i="1"/>
  <c r="G2918" i="1"/>
  <c r="G2854" i="1"/>
  <c r="G2794" i="1"/>
  <c r="G2666" i="1"/>
  <c r="G2303" i="1"/>
  <c r="G2175" i="1"/>
  <c r="G2026" i="1"/>
  <c r="G1774" i="1"/>
  <c r="G2777" i="1"/>
  <c r="G2745" i="1"/>
  <c r="G2713" i="1"/>
  <c r="G2681" i="1"/>
  <c r="G2649" i="1"/>
  <c r="G2617" i="1"/>
  <c r="G2585" i="1"/>
  <c r="G2553" i="1"/>
  <c r="G2521" i="1"/>
  <c r="G2489" i="1"/>
  <c r="G2457" i="1"/>
  <c r="G2425" i="1"/>
  <c r="G2382" i="1"/>
  <c r="G2340" i="1"/>
  <c r="G2297" i="1"/>
  <c r="G2254" i="1"/>
  <c r="G2212" i="1"/>
  <c r="G2169" i="1"/>
  <c r="G2046" i="1"/>
  <c r="G1826" i="1"/>
  <c r="G2387" i="1"/>
  <c r="G2259" i="1"/>
  <c r="G2136" i="1"/>
  <c r="G1906" i="1"/>
  <c r="G1803" i="1"/>
  <c r="G1675" i="1"/>
  <c r="G2121" i="1"/>
  <c r="G2089" i="1"/>
  <c r="G2057" i="1"/>
  <c r="G2025" i="1"/>
  <c r="G1993" i="1"/>
  <c r="G1961" i="1"/>
  <c r="G1929" i="1"/>
  <c r="G1897" i="1"/>
  <c r="G1802" i="1"/>
  <c r="G1674" i="1"/>
  <c r="G2128" i="1"/>
  <c r="G2096" i="1"/>
  <c r="G2064" i="1"/>
  <c r="G2032" i="1"/>
  <c r="G2000" i="1"/>
  <c r="G1968" i="1"/>
  <c r="G1936" i="1"/>
  <c r="G1904" i="1"/>
  <c r="G1837" i="1"/>
  <c r="G1718" i="1"/>
  <c r="G1267" i="1"/>
  <c r="G1829" i="1"/>
  <c r="G1689" i="1"/>
  <c r="G1316" i="1"/>
  <c r="G2123" i="1"/>
  <c r="G2091" i="1"/>
  <c r="G2059" i="1"/>
  <c r="G2027" i="1"/>
  <c r="G1995" i="1"/>
  <c r="G1963" i="1"/>
  <c r="G1931" i="1"/>
  <c r="G1899" i="1"/>
  <c r="G1828" i="1"/>
  <c r="G1697" i="1"/>
  <c r="G751" i="1"/>
  <c r="G1820" i="1"/>
  <c r="G1687" i="1"/>
  <c r="G1407" i="1"/>
  <c r="G1842" i="1"/>
  <c r="G1778" i="1"/>
  <c r="G1714" i="1"/>
  <c r="G1389" i="1"/>
  <c r="G1800" i="1"/>
  <c r="G1736" i="1"/>
  <c r="G1672" i="1"/>
  <c r="G1601" i="1"/>
  <c r="G1537" i="1"/>
  <c r="G1473" i="1"/>
  <c r="G1348" i="1"/>
  <c r="G1877" i="1"/>
  <c r="G1813" i="1"/>
  <c r="G1749" i="1"/>
  <c r="G1685" i="1"/>
  <c r="G1284" i="1"/>
  <c r="G1433" i="1"/>
  <c r="G1131" i="1"/>
  <c r="G1862" i="1"/>
  <c r="G1798" i="1"/>
  <c r="G1734" i="1"/>
  <c r="G1670" i="1"/>
  <c r="G1254" i="1"/>
  <c r="G1648" i="1"/>
  <c r="G1616" i="1"/>
  <c r="G1584" i="1"/>
  <c r="G1552" i="1"/>
  <c r="G1520" i="1"/>
  <c r="G1488" i="1"/>
  <c r="G1456" i="1"/>
  <c r="G1424" i="1"/>
  <c r="G1365" i="1"/>
  <c r="G1247" i="1"/>
  <c r="G1181" i="1"/>
  <c r="G1034" i="1"/>
  <c r="G778" i="1"/>
  <c r="G1360" i="1"/>
  <c r="G1314" i="1"/>
  <c r="G1272" i="1"/>
  <c r="G1033" i="1"/>
  <c r="G777" i="1"/>
  <c r="G1631" i="1"/>
  <c r="G1599" i="1"/>
  <c r="G1567" i="1"/>
  <c r="G1535" i="1"/>
  <c r="G1503" i="1"/>
  <c r="G1471" i="1"/>
  <c r="G1439" i="1"/>
  <c r="G1396" i="1"/>
  <c r="G1319" i="1"/>
  <c r="G1226" i="1"/>
  <c r="G1162" i="1"/>
  <c r="G971" i="1"/>
  <c r="G1418" i="1"/>
  <c r="G1354" i="1"/>
  <c r="G1308" i="1"/>
  <c r="G1251" i="1"/>
  <c r="G1047" i="1"/>
  <c r="G791" i="1"/>
  <c r="G1654" i="1"/>
  <c r="G1622" i="1"/>
  <c r="G1590" i="1"/>
  <c r="G1558" i="1"/>
  <c r="G1526" i="1"/>
  <c r="G1494" i="1"/>
  <c r="G1462" i="1"/>
  <c r="G1430" i="1"/>
  <c r="G1372" i="1"/>
  <c r="G1263" i="1"/>
  <c r="G1177" i="1"/>
  <c r="G893" i="1"/>
  <c r="G1385" i="1"/>
  <c r="G1317" i="1"/>
  <c r="G1243" i="1"/>
  <c r="G969" i="1"/>
  <c r="G559" i="1"/>
  <c r="G1228" i="1"/>
  <c r="G1176" i="1"/>
  <c r="G1016" i="1"/>
  <c r="G760" i="1"/>
  <c r="G990" i="1"/>
  <c r="G1215" i="1"/>
  <c r="G925" i="1"/>
  <c r="G911" i="1"/>
  <c r="G1064" i="1"/>
  <c r="G808" i="1"/>
  <c r="G500" i="1"/>
  <c r="G852" i="1"/>
  <c r="G592" i="1"/>
  <c r="G1037" i="1"/>
  <c r="G781" i="1"/>
  <c r="G927" i="1"/>
  <c r="G674" i="1"/>
  <c r="G697" i="1"/>
  <c r="G695" i="1"/>
  <c r="G549" i="1"/>
  <c r="G468" i="1"/>
  <c r="G580" i="1"/>
  <c r="G54" i="1"/>
  <c r="G636" i="1"/>
  <c r="G387" i="1"/>
  <c r="G514" i="1"/>
  <c r="G400" i="1"/>
  <c r="G252" i="1"/>
  <c r="G331" i="1"/>
  <c r="G293" i="1"/>
  <c r="G34" i="1"/>
  <c r="G381" i="1"/>
  <c r="G159" i="1"/>
  <c r="G179" i="1"/>
  <c r="G36" i="1"/>
  <c r="G59" i="1"/>
  <c r="G2264" i="1"/>
  <c r="G3125" i="1"/>
  <c r="G3064" i="1"/>
  <c r="G2189" i="1"/>
  <c r="G3045" i="1"/>
  <c r="G3276" i="1"/>
  <c r="G2800" i="1"/>
  <c r="G3338" i="1"/>
  <c r="G2987" i="1"/>
  <c r="G2611" i="1"/>
  <c r="G2289" i="1"/>
  <c r="G2895" i="1"/>
  <c r="G2906" i="1"/>
  <c r="G2590" i="1"/>
  <c r="G2346" i="1"/>
  <c r="G3006" i="1"/>
  <c r="G1898" i="1"/>
  <c r="G2601" i="1"/>
  <c r="G2361" i="1"/>
  <c r="G1485" i="1"/>
  <c r="G1461" i="1"/>
  <c r="G1945" i="1"/>
  <c r="G2080" i="1"/>
  <c r="G1782" i="1"/>
  <c r="G2043" i="1"/>
  <c r="G1469" i="1"/>
  <c r="G1704" i="1"/>
  <c r="G1402" i="1"/>
  <c r="G1632" i="1"/>
  <c r="G1293" i="1"/>
  <c r="G843" i="1"/>
  <c r="G1344" i="1"/>
  <c r="G416" i="1"/>
  <c r="C3300" i="1"/>
  <c r="C3115" i="1"/>
  <c r="C2282" i="1"/>
  <c r="C3195" i="1"/>
  <c r="C2253" i="1"/>
  <c r="C3164" i="1"/>
  <c r="C3023" i="1"/>
  <c r="C2878" i="1"/>
  <c r="C2619" i="1"/>
  <c r="C2223" i="1"/>
  <c r="C1304" i="1"/>
  <c r="C2948" i="1"/>
  <c r="C3348" i="1"/>
  <c r="C2848" i="1"/>
  <c r="C2985" i="1"/>
  <c r="C3331" i="1"/>
  <c r="C2958" i="1"/>
  <c r="C2022" i="1"/>
  <c r="C3256" i="1"/>
  <c r="C3192" i="1"/>
  <c r="C3065" i="1"/>
  <c r="C2926" i="1"/>
  <c r="C2705" i="1"/>
  <c r="C2414" i="1"/>
  <c r="C2144" i="1"/>
  <c r="C1087" i="1"/>
  <c r="C3324" i="1"/>
  <c r="C2447" i="1"/>
  <c r="C2769" i="1"/>
  <c r="C3355" i="1"/>
  <c r="C2764" i="1"/>
  <c r="C3312" i="1"/>
  <c r="C3108" i="1"/>
  <c r="C2937" i="1"/>
  <c r="C2700" i="1"/>
  <c r="C2457" i="1"/>
  <c r="C2049" i="1"/>
  <c r="C1466" i="1"/>
  <c r="C2756" i="1"/>
  <c r="C1364" i="1"/>
  <c r="C3204" i="1"/>
  <c r="C2771" i="1"/>
  <c r="C1528" i="1"/>
  <c r="C2602" i="1"/>
  <c r="C3315" i="1"/>
  <c r="C2927" i="1"/>
  <c r="C3352" i="1"/>
  <c r="C3311" i="1"/>
  <c r="C3247" i="1"/>
  <c r="C3180" i="1"/>
  <c r="C3033" i="1"/>
  <c r="C2833" i="1"/>
  <c r="C2611" i="1"/>
  <c r="C2241" i="1"/>
  <c r="C1630" i="1"/>
  <c r="C3032" i="1"/>
  <c r="C2826" i="1"/>
  <c r="C2333" i="1"/>
  <c r="C2230" i="1"/>
  <c r="C2084" i="1"/>
  <c r="C1646" i="1"/>
  <c r="C958" i="1"/>
  <c r="C3318" i="1"/>
  <c r="C3230" i="1"/>
  <c r="C3138" i="1"/>
  <c r="C3010" i="1"/>
  <c r="C2817" i="1"/>
  <c r="C2689" i="1"/>
  <c r="C2563" i="1"/>
  <c r="C2427" i="1"/>
  <c r="C3020" i="1"/>
  <c r="C2956" i="1"/>
  <c r="C2895" i="1"/>
  <c r="C2803" i="1"/>
  <c r="C2718" i="1"/>
  <c r="C2631" i="1"/>
  <c r="C2511" i="1"/>
  <c r="C2393" i="1"/>
  <c r="C2267" i="1"/>
  <c r="C2150" i="1"/>
  <c r="C2037" i="1"/>
  <c r="C1514" i="1"/>
  <c r="C1210" i="1"/>
  <c r="C3069" i="1"/>
  <c r="C2811" i="1"/>
  <c r="C2599" i="1"/>
  <c r="C2351" i="1"/>
  <c r="C2060" i="1"/>
  <c r="C970" i="1"/>
  <c r="C3294" i="1"/>
  <c r="C3190" i="1"/>
  <c r="C3074" i="1"/>
  <c r="C2935" i="1"/>
  <c r="C3361" i="1"/>
  <c r="C3293" i="1"/>
  <c r="C3257" i="1"/>
  <c r="C3225" i="1"/>
  <c r="C3193" i="1"/>
  <c r="C3161" i="1"/>
  <c r="C3129" i="1"/>
  <c r="C3097" i="1"/>
  <c r="C3051" i="1"/>
  <c r="C2987" i="1"/>
  <c r="C2923" i="1"/>
  <c r="C2816" i="1"/>
  <c r="C2737" i="1"/>
  <c r="C2605" i="1"/>
  <c r="C2485" i="1"/>
  <c r="C2365" i="1"/>
  <c r="C2296" i="1"/>
  <c r="C2208" i="1"/>
  <c r="C1964" i="1"/>
  <c r="C1642" i="1"/>
  <c r="C1114" i="1"/>
  <c r="C2920" i="1"/>
  <c r="C2691" i="1"/>
  <c r="C2438" i="1"/>
  <c r="C2143" i="1"/>
  <c r="C1218" i="1"/>
  <c r="C3310" i="1"/>
  <c r="C3198" i="1"/>
  <c r="C3114" i="1"/>
  <c r="C2919" i="1"/>
  <c r="C3357" i="1"/>
  <c r="C3297" i="1"/>
  <c r="C3024" i="1"/>
  <c r="C2960" i="1"/>
  <c r="C2900" i="1"/>
  <c r="C2822" i="1"/>
  <c r="C2730" i="1"/>
  <c r="C2655" i="1"/>
  <c r="C2535" i="1"/>
  <c r="C2415" i="1"/>
  <c r="C2283" i="1"/>
  <c r="C2090" i="1"/>
  <c r="C1796" i="1"/>
  <c r="C1197" i="1"/>
  <c r="C1848" i="1"/>
  <c r="C1626" i="1"/>
  <c r="C1229" i="1"/>
  <c r="C985" i="1"/>
  <c r="C2056" i="1"/>
  <c r="C1822" i="1"/>
  <c r="C1672" i="1"/>
  <c r="C1492" i="1"/>
  <c r="C1086" i="1"/>
  <c r="C153" i="1"/>
  <c r="C2877" i="1"/>
  <c r="C2813" i="1"/>
  <c r="C2749" i="1"/>
  <c r="C2685" i="1"/>
  <c r="C2610" i="1"/>
  <c r="C2533" i="1"/>
  <c r="C2443" i="1"/>
  <c r="C2354" i="1"/>
  <c r="C2250" i="1"/>
  <c r="C2162" i="1"/>
  <c r="C2052" i="1"/>
  <c r="C1901" i="1"/>
  <c r="C1795" i="1"/>
  <c r="C1504" i="1"/>
  <c r="C1025" i="1"/>
  <c r="C2871" i="1"/>
  <c r="C2807" i="1"/>
  <c r="C2743" i="1"/>
  <c r="C2679" i="1"/>
  <c r="C2590" i="1"/>
  <c r="C2513" i="1"/>
  <c r="C2423" i="1"/>
  <c r="C2334" i="1"/>
  <c r="C2249" i="1"/>
  <c r="C2139" i="1"/>
  <c r="C2005" i="1"/>
  <c r="C1779" i="1"/>
  <c r="C1370" i="1"/>
  <c r="C1149" i="1"/>
  <c r="C851" i="1"/>
  <c r="C2309" i="1"/>
  <c r="C2245" i="1"/>
  <c r="C2181" i="1"/>
  <c r="C2117" i="1"/>
  <c r="C2035" i="1"/>
  <c r="C1940" i="1"/>
  <c r="C1837" i="1"/>
  <c r="C1664" i="1"/>
  <c r="C1428" i="1"/>
  <c r="C1239" i="1"/>
  <c r="C984" i="1"/>
  <c r="C563" i="1"/>
  <c r="C2652" i="1"/>
  <c r="C2620" i="1"/>
  <c r="C2588" i="1"/>
  <c r="C2556" i="1"/>
  <c r="C2524" i="1"/>
  <c r="C2492" i="1"/>
  <c r="C2460" i="1"/>
  <c r="C2428" i="1"/>
  <c r="C2396" i="1"/>
  <c r="C2364" i="1"/>
  <c r="C2332" i="1"/>
  <c r="C2289" i="1"/>
  <c r="C2225" i="1"/>
  <c r="C2161" i="1"/>
  <c r="C2097" i="1"/>
  <c r="C2010" i="1"/>
  <c r="C1930" i="1"/>
  <c r="C1813" i="1"/>
  <c r="C1690" i="1"/>
  <c r="C1476" i="1"/>
  <c r="C1312" i="1"/>
  <c r="C1109" i="1"/>
  <c r="C977" i="1"/>
  <c r="C714" i="1"/>
  <c r="C2270" i="1"/>
  <c r="C2206" i="1"/>
  <c r="C2142" i="1"/>
  <c r="C2078" i="1"/>
  <c r="C1973" i="1"/>
  <c r="C1885" i="1"/>
  <c r="C1700" i="1"/>
  <c r="C1536" i="1"/>
  <c r="C1300" i="1"/>
  <c r="C1153" i="1"/>
  <c r="C771" i="1"/>
  <c r="C2050" i="1"/>
  <c r="C1986" i="1"/>
  <c r="C1922" i="1"/>
  <c r="C1858" i="1"/>
  <c r="C1794" i="1"/>
  <c r="C1682" i="1"/>
  <c r="C1554" i="1"/>
  <c r="C1426" i="1"/>
  <c r="C1298" i="1"/>
  <c r="C1211" i="1"/>
  <c r="C1054" i="1"/>
  <c r="C938" i="1"/>
  <c r="C757" i="1"/>
  <c r="C2053" i="1"/>
  <c r="C1989" i="1"/>
  <c r="C1925" i="1"/>
  <c r="C1861" i="1"/>
  <c r="C1797" i="1"/>
  <c r="C1680" i="1"/>
  <c r="C1552" i="1"/>
  <c r="C1424" i="1"/>
  <c r="C1296" i="1"/>
  <c r="C1174" i="1"/>
  <c r="C1070" i="1"/>
  <c r="C947" i="1"/>
  <c r="C750" i="1"/>
  <c r="C151" i="1"/>
  <c r="C2002" i="1"/>
  <c r="C1938" i="1"/>
  <c r="C1874" i="1"/>
  <c r="C1810" i="1"/>
  <c r="C1698" i="1"/>
  <c r="C1570" i="1"/>
  <c r="C1442" i="1"/>
  <c r="C1314" i="1"/>
  <c r="C1181" i="1"/>
  <c r="C1101" i="1"/>
  <c r="C945" i="1"/>
  <c r="C442" i="1"/>
  <c r="C1777" i="1"/>
  <c r="C1745" i="1"/>
  <c r="C1713" i="1"/>
  <c r="C1681" i="1"/>
  <c r="C1649" i="1"/>
  <c r="C1617" i="1"/>
  <c r="C1585" i="1"/>
  <c r="C1553" i="1"/>
  <c r="C1521" i="1"/>
  <c r="C1489" i="1"/>
  <c r="C1457" i="1"/>
  <c r="C1425" i="1"/>
  <c r="C1393" i="1"/>
  <c r="C1361" i="1"/>
  <c r="C1329" i="1"/>
  <c r="C1297" i="1"/>
  <c r="C1265" i="1"/>
  <c r="C1184" i="1"/>
  <c r="C1074" i="1"/>
  <c r="C990" i="1"/>
  <c r="C856" i="1"/>
  <c r="C730" i="1"/>
  <c r="C495" i="1"/>
  <c r="C99" i="1"/>
  <c r="C1214" i="1"/>
  <c r="C1171" i="1"/>
  <c r="C1129" i="1"/>
  <c r="C1046" i="1"/>
  <c r="C935" i="1"/>
  <c r="C833" i="1"/>
  <c r="C689" i="1"/>
  <c r="C169" i="1"/>
  <c r="C1759" i="1"/>
  <c r="C1727" i="1"/>
  <c r="C1695" i="1"/>
  <c r="C1663" i="1"/>
  <c r="C1631" i="1"/>
  <c r="C1599" i="1"/>
  <c r="C1567" i="1"/>
  <c r="C1535" i="1"/>
  <c r="C1503" i="1"/>
  <c r="C1471" i="1"/>
  <c r="C1439" i="1"/>
  <c r="C1407" i="1"/>
  <c r="C1375" i="1"/>
  <c r="C1343" i="1"/>
  <c r="C1311" i="1"/>
  <c r="C1279" i="1"/>
  <c r="C1224" i="1"/>
  <c r="C1115" i="1"/>
  <c r="C1026" i="1"/>
  <c r="C925" i="1"/>
  <c r="C809" i="1"/>
  <c r="C637" i="1"/>
  <c r="C22" i="1"/>
  <c r="C206" i="1"/>
  <c r="C939" i="1"/>
  <c r="C875" i="1"/>
  <c r="C767" i="1"/>
  <c r="C682" i="1"/>
  <c r="C526" i="1"/>
  <c r="C299" i="1"/>
  <c r="C974" i="1"/>
  <c r="C910" i="1"/>
  <c r="C846" i="1"/>
  <c r="C783" i="1"/>
  <c r="C698" i="1"/>
  <c r="C626" i="1"/>
  <c r="C331" i="1"/>
  <c r="C117" i="1"/>
  <c r="C1100" i="1"/>
  <c r="C1068" i="1"/>
  <c r="C1036" i="1"/>
  <c r="C1004" i="1"/>
  <c r="C946" i="1"/>
  <c r="C882" i="1"/>
  <c r="C782" i="1"/>
  <c r="C697" i="1"/>
  <c r="C478" i="1"/>
  <c r="C203" i="1"/>
  <c r="C973" i="1"/>
  <c r="C909" i="1"/>
  <c r="C845" i="1"/>
  <c r="C787" i="1"/>
  <c r="C702" i="1"/>
  <c r="C606" i="1"/>
  <c r="C410" i="1"/>
  <c r="C197" i="1"/>
  <c r="C604" i="1"/>
  <c r="C482" i="1"/>
  <c r="C256" i="1"/>
  <c r="C46" i="1"/>
  <c r="C592" i="1"/>
  <c r="C431" i="1"/>
  <c r="C320" i="1"/>
  <c r="C59" i="1"/>
  <c r="C505" i="1"/>
  <c r="C357" i="1"/>
  <c r="C226" i="1"/>
  <c r="C41" i="1"/>
  <c r="C509" i="1"/>
  <c r="C394" i="1"/>
  <c r="C292" i="1"/>
  <c r="C174" i="1"/>
  <c r="C67" i="1"/>
  <c r="C587" i="1"/>
  <c r="C486" i="1"/>
  <c r="C375" i="1"/>
  <c r="C279" i="1"/>
  <c r="C188" i="1"/>
  <c r="C45" i="1"/>
  <c r="C824" i="1"/>
  <c r="C792" i="1"/>
  <c r="C760" i="1"/>
  <c r="C728" i="1"/>
  <c r="C696" i="1"/>
  <c r="C664" i="1"/>
  <c r="C632" i="1"/>
  <c r="C550" i="1"/>
  <c r="C459" i="1"/>
  <c r="C381" i="1"/>
  <c r="C254" i="1"/>
  <c r="C162" i="1"/>
  <c r="C34" i="1"/>
  <c r="C613" i="1"/>
  <c r="C581" i="1"/>
  <c r="C549" i="1"/>
  <c r="C502" i="1"/>
  <c r="C415" i="1"/>
  <c r="C325" i="1"/>
  <c r="C223" i="1"/>
  <c r="C128" i="1"/>
  <c r="C19" i="1"/>
  <c r="C282" i="1"/>
  <c r="C218" i="1"/>
  <c r="C154" i="1"/>
  <c r="C516" i="1"/>
  <c r="C484" i="1"/>
  <c r="C452" i="1"/>
  <c r="C420" i="1"/>
  <c r="C388" i="1"/>
  <c r="C356" i="1"/>
  <c r="C303" i="1"/>
  <c r="C239" i="1"/>
  <c r="C175" i="1"/>
  <c r="C111" i="1"/>
  <c r="C69" i="1"/>
  <c r="C26" i="1"/>
  <c r="C312" i="1"/>
  <c r="C248" i="1"/>
  <c r="C184" i="1"/>
  <c r="C120" i="1"/>
  <c r="C84" i="1"/>
  <c r="C52" i="1"/>
  <c r="C20" i="1"/>
  <c r="G3291" i="1"/>
  <c r="G3049" i="1"/>
  <c r="G2596" i="1"/>
  <c r="G3130" i="1"/>
  <c r="G2391" i="1"/>
  <c r="G3348" i="1"/>
  <c r="G3305" i="1"/>
  <c r="G3263" i="1"/>
  <c r="G3220" i="1"/>
  <c r="G3177" i="1"/>
  <c r="G3135" i="1"/>
  <c r="G3092" i="1"/>
  <c r="G3048" i="1"/>
  <c r="G2980" i="1"/>
  <c r="G2916" i="1"/>
  <c r="G2852" i="1"/>
  <c r="G2764" i="1"/>
  <c r="G2508" i="1"/>
  <c r="G2322" i="1"/>
  <c r="G2152" i="1"/>
  <c r="G3285" i="1"/>
  <c r="G3061" i="1"/>
  <c r="G2436" i="1"/>
  <c r="G3242" i="1"/>
  <c r="G3166" i="1"/>
  <c r="G2720" i="1"/>
  <c r="G2464" i="1"/>
  <c r="G2126" i="1"/>
  <c r="G3227" i="1"/>
  <c r="G2532" i="1"/>
  <c r="G3357" i="1"/>
  <c r="G3261" i="1"/>
  <c r="G3171" i="1"/>
  <c r="G3123" i="1"/>
  <c r="G3080" i="1"/>
  <c r="G3025" i="1"/>
  <c r="G2961" i="1"/>
  <c r="G2897" i="1"/>
  <c r="G2833" i="1"/>
  <c r="G2676" i="1"/>
  <c r="G2418" i="1"/>
  <c r="G2253" i="1"/>
  <c r="G1841" i="1"/>
  <c r="G3013" i="1"/>
  <c r="G3198" i="1"/>
  <c r="G3293" i="1"/>
  <c r="G3224" i="1"/>
  <c r="G3330" i="1"/>
  <c r="G3202" i="1"/>
  <c r="G3074" i="1"/>
  <c r="G2664" i="1"/>
  <c r="G2359" i="1"/>
  <c r="G3360" i="1"/>
  <c r="G3131" i="1"/>
  <c r="G2837" i="1"/>
  <c r="G3146" i="1"/>
  <c r="G3230" i="1"/>
  <c r="G3335" i="1"/>
  <c r="G3292" i="1"/>
  <c r="G3249" i="1"/>
  <c r="G3207" i="1"/>
  <c r="G3164" i="1"/>
  <c r="G3121" i="1"/>
  <c r="G3079" i="1"/>
  <c r="G3016" i="1"/>
  <c r="G2952" i="1"/>
  <c r="G2888" i="1"/>
  <c r="G2824" i="1"/>
  <c r="G2652" i="1"/>
  <c r="G2397" i="1"/>
  <c r="G2226" i="1"/>
  <c r="G1686" i="1"/>
  <c r="G3211" i="1"/>
  <c r="G2941" i="1"/>
  <c r="G2242" i="1"/>
  <c r="G3366" i="1"/>
  <c r="G3238" i="1"/>
  <c r="G3110" i="1"/>
  <c r="G2736" i="1"/>
  <c r="G2480" i="1"/>
  <c r="G1978" i="1"/>
  <c r="G3011" i="1"/>
  <c r="G2947" i="1"/>
  <c r="G2883" i="1"/>
  <c r="G2823" i="1"/>
  <c r="G2787" i="1"/>
  <c r="G2755" i="1"/>
  <c r="G2719" i="1"/>
  <c r="G2687" i="1"/>
  <c r="G2655" i="1"/>
  <c r="G2623" i="1"/>
  <c r="G2591" i="1"/>
  <c r="G2559" i="1"/>
  <c r="G2527" i="1"/>
  <c r="G2495" i="1"/>
  <c r="G2463" i="1"/>
  <c r="G2431" i="1"/>
  <c r="G2390" i="1"/>
  <c r="G2348" i="1"/>
  <c r="G2305" i="1"/>
  <c r="G2262" i="1"/>
  <c r="G2220" i="1"/>
  <c r="G2177" i="1"/>
  <c r="G2133" i="1"/>
  <c r="G1892" i="1"/>
  <c r="G3051" i="1"/>
  <c r="G2983" i="1"/>
  <c r="G2919" i="1"/>
  <c r="G2855" i="1"/>
  <c r="G2379" i="1"/>
  <c r="G2251" i="1"/>
  <c r="G2125" i="1"/>
  <c r="G1816" i="1"/>
  <c r="G3002" i="1"/>
  <c r="G2930" i="1"/>
  <c r="G2866" i="1"/>
  <c r="G2798" i="1"/>
  <c r="G2738" i="1"/>
  <c r="G2702" i="1"/>
  <c r="G2670" i="1"/>
  <c r="G2634" i="1"/>
  <c r="G2602" i="1"/>
  <c r="G2570" i="1"/>
  <c r="G2538" i="1"/>
  <c r="G2506" i="1"/>
  <c r="G2474" i="1"/>
  <c r="G2442" i="1"/>
  <c r="G2405" i="1"/>
  <c r="G2362" i="1"/>
  <c r="G2320" i="1"/>
  <c r="G2277" i="1"/>
  <c r="G2234" i="1"/>
  <c r="G2192" i="1"/>
  <c r="G2149" i="1"/>
  <c r="G1942" i="1"/>
  <c r="G3030" i="1"/>
  <c r="G2970" i="1"/>
  <c r="G2910" i="1"/>
  <c r="G2846" i="1"/>
  <c r="G2786" i="1"/>
  <c r="G2415" i="1"/>
  <c r="G2287" i="1"/>
  <c r="G2159" i="1"/>
  <c r="G1994" i="1"/>
  <c r="G1701" i="1"/>
  <c r="G2773" i="1"/>
  <c r="G2741" i="1"/>
  <c r="G2709" i="1"/>
  <c r="G2677" i="1"/>
  <c r="G2645" i="1"/>
  <c r="G2613" i="1"/>
  <c r="G2581" i="1"/>
  <c r="G2549" i="1"/>
  <c r="G2517" i="1"/>
  <c r="G2485" i="1"/>
  <c r="G2453" i="1"/>
  <c r="G2420" i="1"/>
  <c r="G2377" i="1"/>
  <c r="G2334" i="1"/>
  <c r="G2292" i="1"/>
  <c r="G2249" i="1"/>
  <c r="G2206" i="1"/>
  <c r="G2164" i="1"/>
  <c r="G2014" i="1"/>
  <c r="G1732" i="1"/>
  <c r="G2371" i="1"/>
  <c r="G2243" i="1"/>
  <c r="G2129" i="1"/>
  <c r="G1825" i="1"/>
  <c r="G1794" i="1"/>
  <c r="G1651" i="1"/>
  <c r="G2117" i="1"/>
  <c r="G2085" i="1"/>
  <c r="G2053" i="1"/>
  <c r="G2021" i="1"/>
  <c r="G1989" i="1"/>
  <c r="G1957" i="1"/>
  <c r="G1925" i="1"/>
  <c r="G1893" i="1"/>
  <c r="G1793" i="1"/>
  <c r="G1629" i="1"/>
  <c r="G2124" i="1"/>
  <c r="G2092" i="1"/>
  <c r="G2060" i="1"/>
  <c r="G2028" i="1"/>
  <c r="G1996" i="1"/>
  <c r="G1964" i="1"/>
  <c r="G1932" i="1"/>
  <c r="G1900" i="1"/>
  <c r="G1815" i="1"/>
  <c r="G1709" i="1"/>
  <c r="G1061" i="1"/>
  <c r="G1814" i="1"/>
  <c r="G1680" i="1"/>
  <c r="G1249" i="1"/>
  <c r="G2119" i="1"/>
  <c r="G2087" i="1"/>
  <c r="G2055" i="1"/>
  <c r="G2023" i="1"/>
  <c r="G1991" i="1"/>
  <c r="G1959" i="1"/>
  <c r="G1927" i="1"/>
  <c r="G1895" i="1"/>
  <c r="G1806" i="1"/>
  <c r="G1688" i="1"/>
  <c r="G1890" i="1"/>
  <c r="G1805" i="1"/>
  <c r="G1678" i="1"/>
  <c r="G1295" i="1"/>
  <c r="G1833" i="1"/>
  <c r="G1769" i="1"/>
  <c r="G1705" i="1"/>
  <c r="G1371" i="1"/>
  <c r="G1795" i="1"/>
  <c r="G1731" i="1"/>
  <c r="G1667" i="1"/>
  <c r="G1593" i="1"/>
  <c r="G1529" i="1"/>
  <c r="G1465" i="1"/>
  <c r="G1327" i="1"/>
  <c r="G1868" i="1"/>
  <c r="G1804" i="1"/>
  <c r="G1740" i="1"/>
  <c r="G1676" i="1"/>
  <c r="G1261" i="1"/>
  <c r="G1398" i="1"/>
  <c r="G1083" i="1"/>
  <c r="G1853" i="1"/>
  <c r="G1789" i="1"/>
  <c r="G1725" i="1"/>
  <c r="G1665" i="1"/>
  <c r="G1229" i="1"/>
  <c r="G1644" i="1"/>
  <c r="G1612" i="1"/>
  <c r="G1580" i="1"/>
  <c r="G1548" i="1"/>
  <c r="G1516" i="1"/>
  <c r="G1484" i="1"/>
  <c r="G1452" i="1"/>
  <c r="G1420" i="1"/>
  <c r="G1356" i="1"/>
  <c r="G1241" i="1"/>
  <c r="G1173" i="1"/>
  <c r="G1008" i="1"/>
  <c r="G1415" i="1"/>
  <c r="G1351" i="1"/>
  <c r="G1309" i="1"/>
  <c r="G1259" i="1"/>
  <c r="G1007" i="1"/>
  <c r="G750" i="1"/>
  <c r="G1627" i="1"/>
  <c r="G1595" i="1"/>
  <c r="G1563" i="1"/>
  <c r="G1531" i="1"/>
  <c r="G1499" i="1"/>
  <c r="G1467" i="1"/>
  <c r="G1435" i="1"/>
  <c r="G1387" i="1"/>
  <c r="G1303" i="1"/>
  <c r="G1218" i="1"/>
  <c r="G1154" i="1"/>
  <c r="G946" i="1"/>
  <c r="G1409" i="1"/>
  <c r="G1345" i="1"/>
  <c r="G1302" i="1"/>
  <c r="G1245" i="1"/>
  <c r="G1022" i="1"/>
  <c r="G766" i="1"/>
  <c r="G1650" i="1"/>
  <c r="G1618" i="1"/>
  <c r="G1586" i="1"/>
  <c r="G1554" i="1"/>
  <c r="G1522" i="1"/>
  <c r="G1490" i="1"/>
  <c r="G1458" i="1"/>
  <c r="G1426" i="1"/>
  <c r="G1363" i="1"/>
  <c r="G1257" i="1"/>
  <c r="G1161" i="1"/>
  <c r="G867" i="1"/>
  <c r="G1376" i="1"/>
  <c r="G1306" i="1"/>
  <c r="G1237" i="1"/>
  <c r="G943" i="1"/>
  <c r="G1264" i="1"/>
  <c r="G1224" i="1"/>
  <c r="G1168" i="1"/>
  <c r="G978" i="1"/>
  <c r="G541" i="1"/>
  <c r="G964" i="1"/>
  <c r="G1211" i="1"/>
  <c r="G912" i="1"/>
  <c r="G886" i="1"/>
  <c r="G1058" i="1"/>
  <c r="G802" i="1"/>
  <c r="G426" i="1"/>
  <c r="G846" i="1"/>
  <c r="G583" i="1"/>
  <c r="G1024" i="1"/>
  <c r="G768" i="1"/>
  <c r="G921" i="1"/>
  <c r="G666" i="1"/>
  <c r="G689" i="1"/>
  <c r="G687" i="1"/>
  <c r="G540" i="1"/>
  <c r="G462" i="1"/>
  <c r="G571" i="1"/>
  <c r="G22" i="1"/>
  <c r="G632" i="1"/>
  <c r="G379" i="1"/>
  <c r="G498" i="1"/>
  <c r="G392" i="1"/>
  <c r="G241" i="1"/>
  <c r="G326" i="1"/>
  <c r="G288" i="1"/>
  <c r="G26" i="1"/>
  <c r="G377" i="1"/>
  <c r="G154" i="1"/>
  <c r="G174" i="1"/>
  <c r="G32" i="1"/>
  <c r="G55" i="1"/>
  <c r="G2668" i="1"/>
  <c r="G3200" i="1"/>
  <c r="G1860" i="1"/>
  <c r="G3155" i="1"/>
  <c r="G2809" i="1"/>
  <c r="G2500" i="1"/>
  <c r="G3282" i="1"/>
  <c r="G2167" i="1"/>
  <c r="G2744" i="1"/>
  <c r="G3233" i="1"/>
  <c r="G2992" i="1"/>
  <c r="G2333" i="1"/>
  <c r="G3318" i="1"/>
  <c r="G2375" i="1"/>
  <c r="G2775" i="1"/>
  <c r="G2643" i="1"/>
  <c r="G2451" i="1"/>
  <c r="G2204" i="1"/>
  <c r="G2959" i="1"/>
  <c r="G1605" i="1"/>
  <c r="G2654" i="1"/>
  <c r="G2494" i="1"/>
  <c r="G2304" i="1"/>
  <c r="G2102" i="1"/>
  <c r="G2822" i="1"/>
  <c r="G2130" i="1"/>
  <c r="G2665" i="1"/>
  <c r="G2473" i="1"/>
  <c r="G2276" i="1"/>
  <c r="G2323" i="1"/>
  <c r="G1739" i="1"/>
  <c r="G1977" i="1"/>
  <c r="G1429" i="1"/>
  <c r="G1952" i="1"/>
  <c r="G1880" i="1"/>
  <c r="G2075" i="1"/>
  <c r="G1947" i="1"/>
  <c r="G1637" i="1"/>
  <c r="G1682" i="1"/>
  <c r="G1505" i="1"/>
  <c r="G1845" i="1"/>
  <c r="G1279" i="1"/>
  <c r="G1702" i="1"/>
  <c r="G1568" i="1"/>
  <c r="G1397" i="1"/>
  <c r="G906" i="1"/>
  <c r="G905" i="1"/>
  <c r="G1551" i="1"/>
  <c r="G1423" i="1"/>
  <c r="G1091" i="1"/>
  <c r="G1329" i="1"/>
  <c r="G587" i="1"/>
  <c r="G1510" i="1"/>
  <c r="G1339" i="1"/>
  <c r="G1285" i="1"/>
  <c r="G1208" i="1"/>
  <c r="G836" i="1"/>
  <c r="G936" i="1"/>
  <c r="G909" i="1"/>
  <c r="G535" i="1"/>
  <c r="G700" i="1"/>
  <c r="G162" i="1"/>
  <c r="G287" i="1"/>
  <c r="G123" i="1"/>
  <c r="C2498" i="1"/>
  <c r="C2947" i="1"/>
  <c r="C2406" i="1"/>
  <c r="C3268" i="1"/>
  <c r="C2864" i="1"/>
  <c r="C3055" i="1"/>
  <c r="C2175" i="1"/>
  <c r="C3112" i="1"/>
  <c r="C2123" i="1"/>
  <c r="C3155" i="1"/>
  <c r="C3011" i="1"/>
  <c r="C2857" i="1"/>
  <c r="C2575" i="1"/>
  <c r="C2195" i="1"/>
  <c r="C1226" i="1"/>
  <c r="C2869" i="1"/>
  <c r="C3316" i="1"/>
  <c r="C2585" i="1"/>
  <c r="C2916" i="1"/>
  <c r="C3299" i="1"/>
  <c r="C2898" i="1"/>
  <c r="C1836" i="1"/>
  <c r="C3248" i="1"/>
  <c r="C3172" i="1"/>
  <c r="C3050" i="1"/>
  <c r="C2892" i="1"/>
  <c r="C2686" i="1"/>
  <c r="C2389" i="1"/>
  <c r="C2116" i="1"/>
  <c r="C551" i="1"/>
  <c r="C3284" i="1"/>
  <c r="C2182" i="1"/>
  <c r="C2713" i="1"/>
  <c r="C3323" i="1"/>
  <c r="C2670" i="1"/>
  <c r="C3296" i="1"/>
  <c r="C3099" i="1"/>
  <c r="C2922" i="1"/>
  <c r="C2684" i="1"/>
  <c r="C2413" i="1"/>
  <c r="C1999" i="1"/>
  <c r="C1188" i="1"/>
  <c r="C2678" i="1"/>
  <c r="C1037" i="1"/>
  <c r="C3188" i="1"/>
  <c r="C2714" i="1"/>
  <c r="C1432" i="1"/>
  <c r="C2397" i="1"/>
  <c r="C3291" i="1"/>
  <c r="C2842" i="1"/>
  <c r="C3367" i="1"/>
  <c r="C3303" i="1"/>
  <c r="C3239" i="1"/>
  <c r="C3171" i="1"/>
  <c r="C3018" i="1"/>
  <c r="C2814" i="1"/>
  <c r="C2567" i="1"/>
  <c r="C2214" i="1"/>
  <c r="C1368" i="1"/>
  <c r="C3016" i="1"/>
  <c r="C2790" i="1"/>
  <c r="C2325" i="1"/>
  <c r="C2171" i="1"/>
  <c r="C2072" i="1"/>
  <c r="C1614" i="1"/>
  <c r="C885" i="1"/>
  <c r="C3306" i="1"/>
  <c r="C3218" i="1"/>
  <c r="C3130" i="1"/>
  <c r="C2994" i="1"/>
  <c r="C2789" i="1"/>
  <c r="C2675" i="1"/>
  <c r="C2555" i="1"/>
  <c r="C3073" i="1"/>
  <c r="C3009" i="1"/>
  <c r="C2945" i="1"/>
  <c r="C2874" i="1"/>
  <c r="C2795" i="1"/>
  <c r="C2710" i="1"/>
  <c r="C2623" i="1"/>
  <c r="C2503" i="1"/>
  <c r="C2383" i="1"/>
  <c r="C2258" i="1"/>
  <c r="C2141" i="1"/>
  <c r="C2014" i="1"/>
  <c r="C1482" i="1"/>
  <c r="C1163" i="1"/>
  <c r="C3021" i="1"/>
  <c r="C2783" i="1"/>
  <c r="C2582" i="1"/>
  <c r="C2335" i="1"/>
  <c r="C1949" i="1"/>
  <c r="C683" i="1"/>
  <c r="C3282" i="1"/>
  <c r="C3174" i="1"/>
  <c r="C3058" i="1"/>
  <c r="C2908" i="1"/>
  <c r="C3353" i="1"/>
  <c r="C3289" i="1"/>
  <c r="C3253" i="1"/>
  <c r="C3221" i="1"/>
  <c r="C3189" i="1"/>
  <c r="C3157" i="1"/>
  <c r="C3125" i="1"/>
  <c r="C3093" i="1"/>
  <c r="C3046" i="1"/>
  <c r="C2982" i="1"/>
  <c r="C2918" i="1"/>
  <c r="C2809" i="1"/>
  <c r="C2724" i="1"/>
  <c r="C2595" i="1"/>
  <c r="C2477" i="1"/>
  <c r="C2357" i="1"/>
  <c r="C2285" i="1"/>
  <c r="C2187" i="1"/>
  <c r="C1941" i="1"/>
  <c r="C1610" i="1"/>
  <c r="C1006" i="1"/>
  <c r="C2875" i="1"/>
  <c r="C2633" i="1"/>
  <c r="C2369" i="1"/>
  <c r="C2075" i="1"/>
  <c r="C1082" i="1"/>
  <c r="C3286" i="1"/>
  <c r="C3186" i="1"/>
  <c r="C3102" i="1"/>
  <c r="C2902" i="1"/>
  <c r="C3349" i="1"/>
  <c r="C3285" i="1"/>
  <c r="C3013" i="1"/>
  <c r="C2949" i="1"/>
  <c r="C2894" i="1"/>
  <c r="C2815" i="1"/>
  <c r="C2723" i="1"/>
  <c r="C2646" i="1"/>
  <c r="C2527" i="1"/>
  <c r="C2407" i="1"/>
  <c r="C2274" i="1"/>
  <c r="C2079" i="1"/>
  <c r="C1768" i="1"/>
  <c r="C1154" i="1"/>
  <c r="C1825" i="1"/>
  <c r="C1594" i="1"/>
  <c r="C1205" i="1"/>
  <c r="C949" i="1"/>
  <c r="C2033" i="1"/>
  <c r="C1799" i="1"/>
  <c r="C1656" i="1"/>
  <c r="C1460" i="1"/>
  <c r="C1057" i="1"/>
  <c r="C612" i="1"/>
  <c r="C2872" i="1"/>
  <c r="C2808" i="1"/>
  <c r="C2744" i="1"/>
  <c r="C2680" i="1"/>
  <c r="C2603" i="1"/>
  <c r="C2514" i="1"/>
  <c r="C2437" i="1"/>
  <c r="C2347" i="1"/>
  <c r="C2242" i="1"/>
  <c r="C2148" i="1"/>
  <c r="C2029" i="1"/>
  <c r="C1877" i="1"/>
  <c r="C1734" i="1"/>
  <c r="C1472" i="1"/>
  <c r="C999" i="1"/>
  <c r="C2866" i="1"/>
  <c r="C2802" i="1"/>
  <c r="C2738" i="1"/>
  <c r="C2673" i="1"/>
  <c r="C2583" i="1"/>
  <c r="C2494" i="1"/>
  <c r="C2417" i="1"/>
  <c r="C2327" i="1"/>
  <c r="C2227" i="1"/>
  <c r="C2132" i="1"/>
  <c r="C1982" i="1"/>
  <c r="C1748" i="1"/>
  <c r="C1338" i="1"/>
  <c r="C1127" i="1"/>
  <c r="C811" i="1"/>
  <c r="C2300" i="1"/>
  <c r="C2236" i="1"/>
  <c r="C2172" i="1"/>
  <c r="C2108" i="1"/>
  <c r="C2028" i="1"/>
  <c r="C1918" i="1"/>
  <c r="C1830" i="1"/>
  <c r="C1592" i="1"/>
  <c r="C1418" i="1"/>
  <c r="C1227" i="1"/>
  <c r="C963" i="1"/>
  <c r="C277" i="1"/>
  <c r="C2648" i="1"/>
  <c r="C2616" i="1"/>
  <c r="C2584" i="1"/>
  <c r="C2552" i="1"/>
  <c r="C2520" i="1"/>
  <c r="C2488" i="1"/>
  <c r="C2456" i="1"/>
  <c r="C2424" i="1"/>
  <c r="C2392" i="1"/>
  <c r="C2360" i="1"/>
  <c r="C2328" i="1"/>
  <c r="C2280" i="1"/>
  <c r="C2216" i="1"/>
  <c r="C2152" i="1"/>
  <c r="C2088" i="1"/>
  <c r="C2003" i="1"/>
  <c r="C1908" i="1"/>
  <c r="C1805" i="1"/>
  <c r="C1670" i="1"/>
  <c r="C1454" i="1"/>
  <c r="C1249" i="1"/>
  <c r="C1094" i="1"/>
  <c r="C954" i="1"/>
  <c r="C528" i="1"/>
  <c r="C2261" i="1"/>
  <c r="C2197" i="1"/>
  <c r="C2133" i="1"/>
  <c r="C2067" i="1"/>
  <c r="C1965" i="1"/>
  <c r="C1863" i="1"/>
  <c r="C1678" i="1"/>
  <c r="C1464" i="1"/>
  <c r="C1290" i="1"/>
  <c r="C1125" i="1"/>
  <c r="C646" i="1"/>
  <c r="C2041" i="1"/>
  <c r="C1977" i="1"/>
  <c r="C1913" i="1"/>
  <c r="C1849" i="1"/>
  <c r="C1783" i="1"/>
  <c r="C1676" i="1"/>
  <c r="C1548" i="1"/>
  <c r="C1420" i="1"/>
  <c r="C1292" i="1"/>
  <c r="C1202" i="1"/>
  <c r="C1043" i="1"/>
  <c r="C922" i="1"/>
  <c r="C738" i="1"/>
  <c r="C2044" i="1"/>
  <c r="C1980" i="1"/>
  <c r="C1916" i="1"/>
  <c r="C1852" i="1"/>
  <c r="C1792" i="1"/>
  <c r="C1654" i="1"/>
  <c r="C1526" i="1"/>
  <c r="C1398" i="1"/>
  <c r="C1270" i="1"/>
  <c r="C1165" i="1"/>
  <c r="C1061" i="1"/>
  <c r="C931" i="1"/>
  <c r="C731" i="1"/>
  <c r="C2057" i="1"/>
  <c r="C1993" i="1"/>
  <c r="C1929" i="1"/>
  <c r="C1865" i="1"/>
  <c r="C1801" i="1"/>
  <c r="C1692" i="1"/>
  <c r="C1564" i="1"/>
  <c r="C1436" i="1"/>
  <c r="C1308" i="1"/>
  <c r="C1173" i="1"/>
  <c r="C1079" i="1"/>
  <c r="C915" i="1"/>
  <c r="C387" i="1"/>
  <c r="C1773" i="1"/>
  <c r="C1741" i="1"/>
  <c r="C1709" i="1"/>
  <c r="C1677" i="1"/>
  <c r="C1645" i="1"/>
  <c r="C1613" i="1"/>
  <c r="C1581" i="1"/>
  <c r="C1549" i="1"/>
  <c r="C1517" i="1"/>
  <c r="C1485" i="1"/>
  <c r="C1453" i="1"/>
  <c r="C1421" i="1"/>
  <c r="C1389" i="1"/>
  <c r="C1357" i="1"/>
  <c r="C1325" i="1"/>
  <c r="C1293" i="1"/>
  <c r="C1261" i="1"/>
  <c r="C1168" i="1"/>
  <c r="C1067" i="1"/>
  <c r="C975" i="1"/>
  <c r="C847" i="1"/>
  <c r="C681" i="1"/>
  <c r="C469" i="1"/>
  <c r="C1251" i="1"/>
  <c r="C1209" i="1"/>
  <c r="C1166" i="1"/>
  <c r="C1117" i="1"/>
  <c r="C1039" i="1"/>
  <c r="C926" i="1"/>
  <c r="C822" i="1"/>
  <c r="C677" i="1"/>
  <c r="C127" i="1"/>
  <c r="C1755" i="1"/>
  <c r="C1723" i="1"/>
  <c r="C1691" i="1"/>
  <c r="C1659" i="1"/>
  <c r="C1627" i="1"/>
  <c r="C1595" i="1"/>
  <c r="C1563" i="1"/>
  <c r="C1531" i="1"/>
  <c r="C1499" i="1"/>
  <c r="C1467" i="1"/>
  <c r="C1435" i="1"/>
  <c r="C1403" i="1"/>
  <c r="C1371" i="1"/>
  <c r="C1339" i="1"/>
  <c r="C1307" i="1"/>
  <c r="C1275" i="1"/>
  <c r="C1208" i="1"/>
  <c r="C1097" i="1"/>
  <c r="C1019" i="1"/>
  <c r="C888" i="1"/>
  <c r="C797" i="1"/>
  <c r="C558" i="1"/>
  <c r="C618" i="1"/>
  <c r="C165" i="1"/>
  <c r="C930" i="1"/>
  <c r="C866" i="1"/>
  <c r="C761" i="1"/>
  <c r="C675" i="1"/>
  <c r="C485" i="1"/>
  <c r="C210" i="1"/>
  <c r="C965" i="1"/>
  <c r="C901" i="1"/>
  <c r="C841" i="1"/>
  <c r="C777" i="1"/>
  <c r="C691" i="1"/>
  <c r="C607" i="1"/>
  <c r="C311" i="1"/>
  <c r="C18" i="1"/>
  <c r="C1096" i="1"/>
  <c r="C1064" i="1"/>
  <c r="C1032" i="1"/>
  <c r="C1000" i="1"/>
  <c r="C937" i="1"/>
  <c r="C873" i="1"/>
  <c r="C770" i="1"/>
  <c r="C685" i="1"/>
  <c r="C437" i="1"/>
  <c r="C181" i="1"/>
  <c r="C968" i="1"/>
  <c r="C904" i="1"/>
  <c r="C839" i="1"/>
  <c r="C775" i="1"/>
  <c r="C690" i="1"/>
  <c r="C584" i="1"/>
  <c r="C395" i="1"/>
  <c r="C155" i="1"/>
  <c r="C586" i="1"/>
  <c r="C466" i="1"/>
  <c r="C242" i="1"/>
  <c r="C30" i="1"/>
  <c r="C574" i="1"/>
  <c r="C422" i="1"/>
  <c r="C293" i="1"/>
  <c r="C27" i="1"/>
  <c r="C497" i="1"/>
  <c r="C332" i="1"/>
  <c r="C185" i="1"/>
  <c r="C7" i="1"/>
  <c r="C467" i="1"/>
  <c r="C389" i="1"/>
  <c r="C283" i="1"/>
  <c r="C158" i="1"/>
  <c r="C49" i="1"/>
  <c r="C578" i="1"/>
  <c r="C481" i="1"/>
  <c r="C361" i="1"/>
  <c r="C272" i="1"/>
  <c r="C171" i="1"/>
  <c r="C25" i="1"/>
  <c r="C820" i="1"/>
  <c r="C788" i="1"/>
  <c r="C756" i="1"/>
  <c r="C724" i="1"/>
  <c r="C692" i="1"/>
  <c r="C660" i="1"/>
  <c r="C623" i="1"/>
  <c r="C536" i="1"/>
  <c r="C454" i="1"/>
  <c r="C367" i="1"/>
  <c r="C246" i="1"/>
  <c r="C137" i="1"/>
  <c r="C14" i="1"/>
  <c r="C609" i="1"/>
  <c r="C577" i="1"/>
  <c r="C545" i="1"/>
  <c r="C493" i="1"/>
  <c r="C406" i="1"/>
  <c r="C318" i="1"/>
  <c r="C215" i="1"/>
  <c r="C121" i="1"/>
  <c r="C337" i="1"/>
  <c r="C273" i="1"/>
  <c r="C209" i="1"/>
  <c r="C145" i="1"/>
  <c r="C512" i="1"/>
  <c r="C480" i="1"/>
  <c r="C448" i="1"/>
  <c r="C416" i="1"/>
  <c r="C384" i="1"/>
  <c r="C352" i="1"/>
  <c r="C294" i="1"/>
  <c r="C230" i="1"/>
  <c r="C166" i="1"/>
  <c r="C106" i="1"/>
  <c r="C63" i="1"/>
  <c r="C21" i="1"/>
  <c r="C307" i="1"/>
  <c r="C243" i="1"/>
  <c r="C179" i="1"/>
  <c r="C115" i="1"/>
  <c r="C80" i="1"/>
  <c r="C48" i="1"/>
  <c r="C16" i="1"/>
  <c r="G3259" i="1"/>
  <c r="G2997" i="1"/>
  <c r="G2468" i="1"/>
  <c r="G3082" i="1"/>
  <c r="G2327" i="1"/>
  <c r="G3343" i="1"/>
  <c r="G3300" i="1"/>
  <c r="G3257" i="1"/>
  <c r="G3215" i="1"/>
  <c r="G3172" i="1"/>
  <c r="G3129" i="1"/>
  <c r="G3087" i="1"/>
  <c r="G3041" i="1"/>
  <c r="G2972" i="1"/>
  <c r="G2908" i="1"/>
  <c r="G2844" i="1"/>
  <c r="G2732" i="1"/>
  <c r="G2476" i="1"/>
  <c r="G2301" i="1"/>
  <c r="G2086" i="1"/>
  <c r="G3253" i="1"/>
  <c r="G3005" i="1"/>
  <c r="G2392" i="1"/>
  <c r="G3210" i="1"/>
  <c r="G3134" i="1"/>
  <c r="G2688" i="1"/>
  <c r="G2432" i="1"/>
  <c r="G2042" i="1"/>
  <c r="G3189" i="1"/>
  <c r="G3162" i="1"/>
  <c r="G3341" i="1"/>
  <c r="G3245" i="1"/>
  <c r="G3165" i="1"/>
  <c r="G3117" i="1"/>
  <c r="G3075" i="1"/>
  <c r="G3017" i="1"/>
  <c r="G2953" i="1"/>
  <c r="G2889" i="1"/>
  <c r="G2825" i="1"/>
  <c r="G2644" i="1"/>
  <c r="G2402" i="1"/>
  <c r="G2232" i="1"/>
  <c r="G3344" i="1"/>
  <c r="G2933" i="1"/>
  <c r="G3363" i="1"/>
  <c r="G3288" i="1"/>
  <c r="G3213" i="1"/>
  <c r="G3314" i="1"/>
  <c r="G3186" i="1"/>
  <c r="G3058" i="1"/>
  <c r="G2632" i="1"/>
  <c r="G2295" i="1"/>
  <c r="G3333" i="1"/>
  <c r="G3099" i="1"/>
  <c r="G2805" i="1"/>
  <c r="G3098" i="1"/>
  <c r="G3070" i="1"/>
  <c r="G3329" i="1"/>
  <c r="G3287" i="1"/>
  <c r="G3244" i="1"/>
  <c r="G3201" i="1"/>
  <c r="G3159" i="1"/>
  <c r="G3116" i="1"/>
  <c r="G3073" i="1"/>
  <c r="G3008" i="1"/>
  <c r="G2944" i="1"/>
  <c r="G2880" i="1"/>
  <c r="G2816" i="1"/>
  <c r="G2620" i="1"/>
  <c r="G2376" i="1"/>
  <c r="G2205" i="1"/>
  <c r="G1294" i="1"/>
  <c r="G3179" i="1"/>
  <c r="G2909" i="1"/>
  <c r="G2157" i="1"/>
  <c r="G3350" i="1"/>
  <c r="G3222" i="1"/>
  <c r="G3094" i="1"/>
  <c r="G2704" i="1"/>
  <c r="G2448" i="1"/>
  <c r="G1273" i="1"/>
  <c r="G3003" i="1"/>
  <c r="G2939" i="1"/>
  <c r="G2875" i="1"/>
  <c r="G2819" i="1"/>
  <c r="G2783" i="1"/>
  <c r="G2751" i="1"/>
  <c r="G2715" i="1"/>
  <c r="G2683" i="1"/>
  <c r="G2651" i="1"/>
  <c r="G2619" i="1"/>
  <c r="G2587" i="1"/>
  <c r="G2555" i="1"/>
  <c r="G2523" i="1"/>
  <c r="G2491" i="1"/>
  <c r="G2459" i="1"/>
  <c r="G2427" i="1"/>
  <c r="G2385" i="1"/>
  <c r="G2342" i="1"/>
  <c r="G2300" i="1"/>
  <c r="G2257" i="1"/>
  <c r="G2214" i="1"/>
  <c r="G2172" i="1"/>
  <c r="G2094" i="1"/>
  <c r="G1855" i="1"/>
  <c r="G3043" i="1"/>
  <c r="G2975" i="1"/>
  <c r="G2911" i="1"/>
  <c r="G2847" i="1"/>
  <c r="G2363" i="1"/>
  <c r="G2235" i="1"/>
  <c r="G2114" i="1"/>
  <c r="G1783" i="1"/>
  <c r="G2994" i="1"/>
  <c r="G2922" i="1"/>
  <c r="G2858" i="1"/>
  <c r="G2790" i="1"/>
  <c r="G2730" i="1"/>
  <c r="G2698" i="1"/>
  <c r="G2662" i="1"/>
  <c r="G2630" i="1"/>
  <c r="G2598" i="1"/>
  <c r="G2566" i="1"/>
  <c r="G2534" i="1"/>
  <c r="G2502" i="1"/>
  <c r="G2470" i="1"/>
  <c r="G2438" i="1"/>
  <c r="G2400" i="1"/>
  <c r="G2357" i="1"/>
  <c r="G2314" i="1"/>
  <c r="G2272" i="1"/>
  <c r="G2229" i="1"/>
  <c r="G2186" i="1"/>
  <c r="G2144" i="1"/>
  <c r="G1910" i="1"/>
  <c r="G3022" i="1"/>
  <c r="G2962" i="1"/>
  <c r="G2902" i="1"/>
  <c r="G2838" i="1"/>
  <c r="G2778" i="1"/>
  <c r="G2399" i="1"/>
  <c r="G2271" i="1"/>
  <c r="G2143" i="1"/>
  <c r="G1962" i="1"/>
  <c r="G1663" i="1"/>
  <c r="G2769" i="1"/>
  <c r="G2737" i="1"/>
  <c r="G2705" i="1"/>
  <c r="G2673" i="1"/>
  <c r="G2641" i="1"/>
  <c r="G2609" i="1"/>
  <c r="G2577" i="1"/>
  <c r="G2545" i="1"/>
  <c r="G2513" i="1"/>
  <c r="G2481" i="1"/>
  <c r="G2449" i="1"/>
  <c r="G2414" i="1"/>
  <c r="G2372" i="1"/>
  <c r="G2329" i="1"/>
  <c r="G2286" i="1"/>
  <c r="G2244" i="1"/>
  <c r="G2201" i="1"/>
  <c r="G2158" i="1"/>
  <c r="G1982" i="1"/>
  <c r="G1695" i="1"/>
  <c r="G2355" i="1"/>
  <c r="G2227" i="1"/>
  <c r="G2098" i="1"/>
  <c r="G1765" i="1"/>
  <c r="G1785" i="1"/>
  <c r="G1589" i="1"/>
  <c r="G2113" i="1"/>
  <c r="G2081" i="1"/>
  <c r="G2049" i="1"/>
  <c r="G2017" i="1"/>
  <c r="G1985" i="1"/>
  <c r="G1953" i="1"/>
  <c r="G1921" i="1"/>
  <c r="G1888" i="1"/>
  <c r="G1784" i="1"/>
  <c r="G1565" i="1"/>
  <c r="G2120" i="1"/>
  <c r="G2088" i="1"/>
  <c r="G2056" i="1"/>
  <c r="G2024" i="1"/>
  <c r="G1992" i="1"/>
  <c r="G1960" i="1"/>
  <c r="G1928" i="1"/>
  <c r="G1896" i="1"/>
  <c r="G1808" i="1"/>
  <c r="G1700" i="1"/>
  <c r="G830" i="1"/>
  <c r="G1771" i="1"/>
  <c r="G1659" i="1"/>
  <c r="G1060" i="1"/>
  <c r="G2115" i="1"/>
  <c r="G2083" i="1"/>
  <c r="G2051" i="1"/>
  <c r="G2019" i="1"/>
  <c r="G1987" i="1"/>
  <c r="G1955" i="1"/>
  <c r="G1923" i="1"/>
  <c r="G1886" i="1"/>
  <c r="G1779" i="1"/>
  <c r="G1597" i="1"/>
  <c r="G1885" i="1"/>
  <c r="G1797" i="1"/>
  <c r="G1669" i="1"/>
  <c r="G694" i="1"/>
  <c r="G1824" i="1"/>
  <c r="G1760" i="1"/>
  <c r="G1696" i="1"/>
  <c r="G1311" i="1"/>
  <c r="G1786" i="1"/>
  <c r="G1722" i="1"/>
  <c r="G1661" i="1"/>
  <c r="G1585" i="1"/>
  <c r="G1521" i="1"/>
  <c r="G1457" i="1"/>
  <c r="G1206" i="1"/>
  <c r="G1863" i="1"/>
  <c r="G1799" i="1"/>
  <c r="G1735" i="1"/>
  <c r="G1671" i="1"/>
  <c r="G1235" i="1"/>
  <c r="G1380" i="1"/>
  <c r="G984" i="1"/>
  <c r="G1844" i="1"/>
  <c r="G1780" i="1"/>
  <c r="G1716" i="1"/>
  <c r="G1416" i="1"/>
  <c r="G983" i="1"/>
  <c r="G1640" i="1"/>
  <c r="G1608" i="1"/>
  <c r="G1576" i="1"/>
  <c r="G1544" i="1"/>
  <c r="G1512" i="1"/>
  <c r="G1480" i="1"/>
  <c r="G1448" i="1"/>
  <c r="G1411" i="1"/>
  <c r="G1347" i="1"/>
  <c r="G1234" i="1"/>
  <c r="G1165" i="1"/>
  <c r="G957" i="1"/>
  <c r="G1410" i="1"/>
  <c r="G1346" i="1"/>
  <c r="G1304" i="1"/>
  <c r="G1253" i="1"/>
  <c r="G982" i="1"/>
  <c r="G686" i="1"/>
  <c r="G1623" i="1"/>
  <c r="G1591" i="1"/>
  <c r="G1559" i="1"/>
  <c r="G1527" i="1"/>
  <c r="G1495" i="1"/>
  <c r="G1463" i="1"/>
  <c r="G1431" i="1"/>
  <c r="G1382" i="1"/>
  <c r="G1287" i="1"/>
  <c r="G1210" i="1"/>
  <c r="G1145" i="1"/>
  <c r="G920" i="1"/>
  <c r="G1400" i="1"/>
  <c r="G1340" i="1"/>
  <c r="G1297" i="1"/>
  <c r="G1238" i="1"/>
  <c r="G996" i="1"/>
  <c r="G726" i="1"/>
  <c r="G1646" i="1"/>
  <c r="G1614" i="1"/>
  <c r="G1582" i="1"/>
  <c r="G1550" i="1"/>
  <c r="G1518" i="1"/>
  <c r="G1486" i="1"/>
  <c r="G1454" i="1"/>
  <c r="G1422" i="1"/>
  <c r="G1358" i="1"/>
  <c r="G1250" i="1"/>
  <c r="G1153" i="1"/>
  <c r="G816" i="1"/>
  <c r="G1367" i="1"/>
  <c r="G1301" i="1"/>
  <c r="G1143" i="1"/>
  <c r="G918" i="1"/>
  <c r="G1260" i="1"/>
  <c r="G1216" i="1"/>
  <c r="G1164" i="1"/>
  <c r="G965" i="1"/>
  <c r="G502" i="1"/>
  <c r="G951" i="1"/>
  <c r="G1183" i="1"/>
  <c r="G797" i="1"/>
  <c r="G783" i="1"/>
  <c r="G1000" i="1"/>
  <c r="G749" i="1"/>
  <c r="G1044" i="1"/>
  <c r="G788" i="1"/>
  <c r="G451" i="1"/>
  <c r="G973" i="1"/>
  <c r="G496" i="1"/>
  <c r="G863" i="1"/>
  <c r="G609" i="1"/>
  <c r="G633" i="1"/>
  <c r="G631" i="1"/>
  <c r="G463" i="1"/>
  <c r="G388" i="1"/>
  <c r="G510" i="1"/>
  <c r="G732" i="1"/>
  <c r="G593" i="1"/>
  <c r="G306" i="1"/>
  <c r="G415" i="1"/>
  <c r="G334" i="1"/>
  <c r="G188" i="1"/>
  <c r="G267" i="1"/>
  <c r="G229" i="1"/>
  <c r="G477" i="1"/>
  <c r="G349" i="1"/>
  <c r="G89" i="1"/>
  <c r="G10" i="1"/>
  <c r="G4" i="1"/>
  <c r="G27" i="1"/>
  <c r="G798" i="1"/>
  <c r="G577" i="1"/>
  <c r="G1207" i="1"/>
  <c r="G1175" i="1"/>
  <c r="G1128" i="1"/>
  <c r="G1027" i="1"/>
  <c r="G899" i="1"/>
  <c r="G771" i="1"/>
  <c r="G1122" i="1"/>
  <c r="G1001" i="1"/>
  <c r="G873" i="1"/>
  <c r="G734" i="1"/>
  <c r="G523" i="1"/>
  <c r="G1097" i="1"/>
  <c r="G1051" i="1"/>
  <c r="G987" i="1"/>
  <c r="G923" i="1"/>
  <c r="G859" i="1"/>
  <c r="G795" i="1"/>
  <c r="G733" i="1"/>
  <c r="G669" i="1"/>
  <c r="G585" i="1"/>
  <c r="G333" i="1"/>
  <c r="G1031" i="1"/>
  <c r="G967" i="1"/>
  <c r="G903" i="1"/>
  <c r="G839" i="1"/>
  <c r="G775" i="1"/>
  <c r="G707" i="1"/>
  <c r="G643" i="1"/>
  <c r="G546" i="1"/>
  <c r="G367" i="1"/>
  <c r="G1112" i="1"/>
  <c r="G1080" i="1"/>
  <c r="G1018" i="1"/>
  <c r="G954" i="1"/>
  <c r="G890" i="1"/>
  <c r="G826" i="1"/>
  <c r="G762" i="1"/>
  <c r="G280" i="1"/>
  <c r="G1036" i="1"/>
  <c r="G972" i="1"/>
  <c r="G908" i="1"/>
  <c r="G844" i="1"/>
  <c r="G780" i="1"/>
  <c r="G722" i="1"/>
  <c r="G658" i="1"/>
  <c r="G591" i="1"/>
  <c r="G444" i="1"/>
  <c r="G745" i="1"/>
  <c r="G681" i="1"/>
  <c r="G617" i="1"/>
  <c r="G505" i="1"/>
  <c r="G743" i="1"/>
  <c r="G679" i="1"/>
  <c r="G615" i="1"/>
  <c r="G412" i="1"/>
  <c r="G595" i="1"/>
  <c r="G531" i="1"/>
  <c r="G450" i="1"/>
  <c r="G276" i="1"/>
  <c r="G126" i="1"/>
  <c r="G443" i="1"/>
  <c r="G372" i="1"/>
  <c r="G275" i="1"/>
  <c r="G61" i="1"/>
  <c r="G566" i="1"/>
  <c r="G480" i="1"/>
  <c r="G328" i="1"/>
  <c r="G199" i="1"/>
  <c r="G756" i="1"/>
  <c r="G724" i="1"/>
  <c r="G692" i="1"/>
  <c r="G660" i="1"/>
  <c r="G628" i="1"/>
  <c r="G575" i="1"/>
  <c r="G515" i="1"/>
  <c r="G454" i="1"/>
  <c r="G371" i="1"/>
  <c r="G274" i="1"/>
  <c r="G53" i="1"/>
  <c r="G565" i="1"/>
  <c r="G479" i="1"/>
  <c r="G324" i="1"/>
  <c r="G180" i="1"/>
  <c r="G459" i="1"/>
  <c r="G384" i="1"/>
  <c r="G302" i="1"/>
  <c r="G109" i="1"/>
  <c r="G300" i="1"/>
  <c r="G236" i="1"/>
  <c r="G172" i="1"/>
  <c r="G394" i="1"/>
  <c r="G362" i="1"/>
  <c r="G315" i="1"/>
  <c r="G251" i="1"/>
  <c r="G187" i="1"/>
  <c r="G341" i="1"/>
  <c r="G277" i="1"/>
  <c r="G213" i="1"/>
  <c r="G142" i="1"/>
  <c r="G82" i="1"/>
  <c r="G18" i="1"/>
  <c r="G469" i="1"/>
  <c r="G437" i="1"/>
  <c r="G405" i="1"/>
  <c r="G373" i="1"/>
  <c r="G335" i="1"/>
  <c r="G271" i="1"/>
  <c r="G207" i="1"/>
  <c r="G148" i="1"/>
  <c r="G73" i="1"/>
  <c r="G169" i="1"/>
  <c r="G227" i="1"/>
  <c r="G163" i="1"/>
  <c r="G124" i="1"/>
  <c r="G92" i="1"/>
  <c r="G60" i="1"/>
  <c r="G28" i="1"/>
  <c r="G147" i="1"/>
  <c r="G115" i="1"/>
  <c r="G83" i="1"/>
  <c r="G51" i="1"/>
  <c r="G19" i="1"/>
  <c r="G1275" i="1"/>
  <c r="G1201" i="1"/>
  <c r="G1090" i="1"/>
  <c r="G842" i="1"/>
  <c r="G1394" i="1"/>
  <c r="G1333" i="1"/>
  <c r="G1290" i="1"/>
  <c r="G1230" i="1"/>
  <c r="G1020" i="1"/>
  <c r="G764" i="1"/>
  <c r="G1252" i="1"/>
  <c r="G1220" i="1"/>
  <c r="G1188" i="1"/>
  <c r="G1156" i="1"/>
  <c r="G1067" i="1"/>
  <c r="G939" i="1"/>
  <c r="G811" i="1"/>
  <c r="G1151" i="1"/>
  <c r="G1041" i="1"/>
  <c r="G913" i="1"/>
  <c r="G785" i="1"/>
  <c r="G501" i="1"/>
  <c r="G1203" i="1"/>
  <c r="G1171" i="1"/>
  <c r="G1106" i="1"/>
  <c r="G1002" i="1"/>
  <c r="G874" i="1"/>
  <c r="G605" i="1"/>
  <c r="G1117" i="1"/>
  <c r="G988" i="1"/>
  <c r="G860" i="1"/>
  <c r="G702" i="1"/>
  <c r="G458" i="1"/>
  <c r="G1093" i="1"/>
  <c r="G1045" i="1"/>
  <c r="G981" i="1"/>
  <c r="G917" i="1"/>
  <c r="G853" i="1"/>
  <c r="G789" i="1"/>
  <c r="G725" i="1"/>
  <c r="G661" i="1"/>
  <c r="G576" i="1"/>
  <c r="G248" i="1"/>
  <c r="G1025" i="1"/>
  <c r="G961" i="1"/>
  <c r="G897" i="1"/>
  <c r="G833" i="1"/>
  <c r="G769" i="1"/>
  <c r="G699" i="1"/>
  <c r="G635" i="1"/>
  <c r="G537" i="1"/>
  <c r="G290" i="1"/>
  <c r="G1108" i="1"/>
  <c r="G1075" i="1"/>
  <c r="G1011" i="1"/>
  <c r="G947" i="1"/>
  <c r="G883" i="1"/>
  <c r="G819" i="1"/>
  <c r="G582" i="1"/>
  <c r="G233" i="1"/>
  <c r="G1030" i="1"/>
  <c r="G966" i="1"/>
  <c r="G902" i="1"/>
  <c r="G838" i="1"/>
  <c r="G774" i="1"/>
  <c r="G714" i="1"/>
  <c r="G650" i="1"/>
  <c r="G554" i="1"/>
  <c r="G419" i="1"/>
  <c r="G737" i="1"/>
  <c r="G673" i="1"/>
  <c r="G608" i="1"/>
  <c r="G490" i="1"/>
  <c r="G735" i="1"/>
  <c r="G671" i="1"/>
  <c r="G578" i="1"/>
  <c r="G383" i="1"/>
  <c r="G590" i="1"/>
  <c r="G526" i="1"/>
  <c r="G431" i="1"/>
  <c r="G265" i="1"/>
  <c r="G94" i="1"/>
  <c r="G436" i="1"/>
  <c r="G364" i="1"/>
  <c r="G254" i="1"/>
  <c r="G29" i="1"/>
  <c r="G557" i="1"/>
  <c r="G474" i="1"/>
  <c r="G317" i="1"/>
  <c r="G184" i="1"/>
  <c r="G752" i="1"/>
  <c r="G720" i="1"/>
  <c r="G688" i="1"/>
  <c r="G656" i="1"/>
  <c r="G624" i="1"/>
  <c r="G570" i="1"/>
  <c r="G509" i="1"/>
  <c r="G435" i="1"/>
  <c r="G363" i="1"/>
  <c r="G263" i="1"/>
  <c r="G21" i="1"/>
  <c r="G556" i="1"/>
  <c r="G472" i="1"/>
  <c r="G313" i="1"/>
  <c r="G110" i="1"/>
  <c r="G452" i="1"/>
  <c r="G376" i="1"/>
  <c r="G291" i="1"/>
  <c r="G77" i="1"/>
  <c r="G289" i="1"/>
  <c r="G225" i="1"/>
  <c r="G161" i="1"/>
  <c r="G390" i="1"/>
  <c r="G358" i="1"/>
  <c r="G310" i="1"/>
  <c r="G246" i="1"/>
  <c r="G182" i="1"/>
  <c r="G336" i="1"/>
  <c r="G272" i="1"/>
  <c r="G208" i="1"/>
  <c r="G136" i="1"/>
  <c r="G74" i="1"/>
  <c r="G497" i="1"/>
  <c r="G465" i="1"/>
  <c r="G433" i="1"/>
  <c r="G401" i="1"/>
  <c r="G369" i="1"/>
  <c r="G330" i="1"/>
  <c r="G266" i="1"/>
  <c r="G202" i="1"/>
  <c r="G141" i="1"/>
  <c r="G65" i="1"/>
  <c r="G164" i="1"/>
  <c r="G222" i="1"/>
  <c r="G158" i="1"/>
  <c r="G120" i="1"/>
  <c r="G88" i="1"/>
  <c r="G56" i="1"/>
  <c r="G24" i="1"/>
  <c r="G143" i="1"/>
  <c r="G111" i="1"/>
  <c r="G79" i="1"/>
  <c r="G47" i="1"/>
  <c r="G15" i="1"/>
  <c r="G1184" i="1"/>
  <c r="G1152" i="1"/>
  <c r="G1042" i="1"/>
  <c r="G914" i="1"/>
  <c r="G786" i="1"/>
  <c r="G1142" i="1"/>
  <c r="G1028" i="1"/>
  <c r="G900" i="1"/>
  <c r="G772" i="1"/>
  <c r="G406" i="1"/>
  <c r="G1199" i="1"/>
  <c r="G1167" i="1"/>
  <c r="G1099" i="1"/>
  <c r="G989" i="1"/>
  <c r="G861" i="1"/>
  <c r="G532" i="1"/>
  <c r="G1111" i="1"/>
  <c r="G975" i="1"/>
  <c r="G847" i="1"/>
  <c r="G670" i="1"/>
  <c r="G522" i="1"/>
  <c r="G1089" i="1"/>
  <c r="G1032" i="1"/>
  <c r="G968" i="1"/>
  <c r="G904" i="1"/>
  <c r="G840" i="1"/>
  <c r="G776" i="1"/>
  <c r="G717" i="1"/>
  <c r="G653" i="1"/>
  <c r="G567" i="1"/>
  <c r="G102" i="1"/>
  <c r="G1012" i="1"/>
  <c r="G948" i="1"/>
  <c r="G884" i="1"/>
  <c r="G820" i="1"/>
  <c r="G755" i="1"/>
  <c r="G691" i="1"/>
  <c r="G627" i="1"/>
  <c r="G528" i="1"/>
  <c r="G247" i="1"/>
  <c r="G1104" i="1"/>
  <c r="G1069" i="1"/>
  <c r="G1005" i="1"/>
  <c r="G941" i="1"/>
  <c r="G877" i="1"/>
  <c r="G813" i="1"/>
  <c r="G573" i="1"/>
  <c r="G178" i="1"/>
  <c r="G1023" i="1"/>
  <c r="G959" i="1"/>
  <c r="G895" i="1"/>
  <c r="G831" i="1"/>
  <c r="G767" i="1"/>
  <c r="G706" i="1"/>
  <c r="G642" i="1"/>
  <c r="G545" i="1"/>
  <c r="G391" i="1"/>
  <c r="G729" i="1"/>
  <c r="G665" i="1"/>
  <c r="G599" i="1"/>
  <c r="G464" i="1"/>
  <c r="G727" i="1"/>
  <c r="G663" i="1"/>
  <c r="G569" i="1"/>
  <c r="G351" i="1"/>
  <c r="G581" i="1"/>
  <c r="G506" i="1"/>
  <c r="G424" i="1"/>
  <c r="G244" i="1"/>
  <c r="G62" i="1"/>
  <c r="G430" i="1"/>
  <c r="G356" i="1"/>
  <c r="G228" i="1"/>
  <c r="G612" i="1"/>
  <c r="G548" i="1"/>
  <c r="G455" i="1"/>
  <c r="G296" i="1"/>
  <c r="G168" i="1"/>
  <c r="G748" i="1"/>
  <c r="G716" i="1"/>
  <c r="G684" i="1"/>
  <c r="G652" i="1"/>
  <c r="G620" i="1"/>
  <c r="G561" i="1"/>
  <c r="G504" i="1"/>
  <c r="G428" i="1"/>
  <c r="G355" i="1"/>
  <c r="G226" i="1"/>
  <c r="G611" i="1"/>
  <c r="G547" i="1"/>
  <c r="G466" i="1"/>
  <c r="G292" i="1"/>
  <c r="G78" i="1"/>
  <c r="G446" i="1"/>
  <c r="G368" i="1"/>
  <c r="G270" i="1"/>
  <c r="G45" i="1"/>
  <c r="G284" i="1"/>
  <c r="G220" i="1"/>
  <c r="G156" i="1"/>
  <c r="G386" i="1"/>
  <c r="G354" i="1"/>
  <c r="G299" i="1"/>
  <c r="G235" i="1"/>
  <c r="G171" i="1"/>
  <c r="G325" i="1"/>
  <c r="G261" i="1"/>
  <c r="G197" i="1"/>
  <c r="G129" i="1"/>
  <c r="G66" i="1"/>
  <c r="G493" i="1"/>
  <c r="G461" i="1"/>
  <c r="G429" i="1"/>
  <c r="G397" i="1"/>
  <c r="G365" i="1"/>
  <c r="G319" i="1"/>
  <c r="G255" i="1"/>
  <c r="G191" i="1"/>
  <c r="G121" i="1"/>
  <c r="G57" i="1"/>
  <c r="G153" i="1"/>
  <c r="G211" i="1"/>
  <c r="G146" i="1"/>
  <c r="G116" i="1"/>
  <c r="G84" i="1"/>
  <c r="G52" i="1"/>
  <c r="G20" i="1"/>
  <c r="G139" i="1"/>
  <c r="G107" i="1"/>
  <c r="G75" i="1"/>
  <c r="G43" i="1"/>
  <c r="G7" i="1"/>
  <c r="G1180" i="1"/>
  <c r="G1147" i="1"/>
  <c r="G1029" i="1"/>
  <c r="G901" i="1"/>
  <c r="G773" i="1"/>
  <c r="G1133" i="1"/>
  <c r="G1015" i="1"/>
  <c r="G887" i="1"/>
  <c r="G759" i="1"/>
  <c r="G258" i="1"/>
  <c r="G1195" i="1"/>
  <c r="G1163" i="1"/>
  <c r="G1086" i="1"/>
  <c r="G976" i="1"/>
  <c r="G848" i="1"/>
  <c r="G205" i="1"/>
  <c r="G1077" i="1"/>
  <c r="G950" i="1"/>
  <c r="G822" i="1"/>
  <c r="G638" i="1"/>
  <c r="G343" i="1"/>
  <c r="G1085" i="1"/>
  <c r="G1026" i="1"/>
  <c r="G962" i="1"/>
  <c r="G898" i="1"/>
  <c r="G834" i="1"/>
  <c r="G770" i="1"/>
  <c r="G709" i="1"/>
  <c r="G645" i="1"/>
  <c r="G530" i="1"/>
  <c r="G1070" i="1"/>
  <c r="G1006" i="1"/>
  <c r="G942" i="1"/>
  <c r="G878" i="1"/>
  <c r="G814" i="1"/>
  <c r="G747" i="1"/>
  <c r="G683" i="1"/>
  <c r="G619" i="1"/>
  <c r="G519" i="1"/>
  <c r="G189" i="1"/>
  <c r="G1100" i="1"/>
  <c r="G1056" i="1"/>
  <c r="G992" i="1"/>
  <c r="G928" i="1"/>
  <c r="G864" i="1"/>
  <c r="G800" i="1"/>
  <c r="G564" i="1"/>
  <c r="G70" i="1"/>
  <c r="G1017" i="1"/>
  <c r="G953" i="1"/>
  <c r="G889" i="1"/>
  <c r="G825" i="1"/>
  <c r="G761" i="1"/>
  <c r="G698" i="1"/>
  <c r="G634" i="1"/>
  <c r="G536" i="1"/>
  <c r="G359" i="1"/>
  <c r="G721" i="1"/>
  <c r="G657" i="1"/>
  <c r="G562" i="1"/>
  <c r="G439" i="1"/>
  <c r="G719" i="1"/>
  <c r="G655" i="1"/>
  <c r="G560" i="1"/>
  <c r="G311" i="1"/>
  <c r="G572" i="1"/>
  <c r="G495" i="1"/>
  <c r="G418" i="1"/>
  <c r="G231" i="1"/>
  <c r="G30" i="1"/>
  <c r="G411" i="1"/>
  <c r="G348" i="1"/>
  <c r="G215" i="1"/>
  <c r="G603" i="1"/>
  <c r="G539" i="1"/>
  <c r="G448" i="1"/>
  <c r="G285" i="1"/>
  <c r="G145" i="1"/>
  <c r="G744" i="1"/>
  <c r="G712" i="1"/>
  <c r="G680" i="1"/>
  <c r="G648" i="1"/>
  <c r="G616" i="1"/>
  <c r="G552" i="1"/>
  <c r="G499" i="1"/>
  <c r="G422" i="1"/>
  <c r="G347" i="1"/>
  <c r="G196" i="1"/>
  <c r="G606" i="1"/>
  <c r="G542" i="1"/>
  <c r="G447" i="1"/>
  <c r="G281" i="1"/>
  <c r="G46" i="1"/>
  <c r="G427" i="1"/>
  <c r="G360" i="1"/>
  <c r="G259" i="1"/>
  <c r="G337" i="1"/>
  <c r="G273" i="1"/>
  <c r="G209" i="1"/>
  <c r="G150" i="1"/>
  <c r="G382" i="1"/>
  <c r="G350" i="1"/>
  <c r="G294" i="1"/>
  <c r="G230" i="1"/>
  <c r="G166" i="1"/>
  <c r="G320" i="1"/>
  <c r="G256" i="1"/>
  <c r="G192" i="1"/>
  <c r="G122" i="1"/>
  <c r="G58" i="1"/>
  <c r="G489" i="1"/>
  <c r="G457" i="1"/>
  <c r="G425" i="1"/>
  <c r="G393" i="1"/>
  <c r="G361" i="1"/>
  <c r="G314" i="1"/>
  <c r="G250" i="1"/>
  <c r="G186" i="1"/>
  <c r="G113" i="1"/>
  <c r="G49" i="1"/>
  <c r="G134" i="1"/>
  <c r="G206" i="1"/>
  <c r="G140" i="1"/>
  <c r="G112" i="1"/>
  <c r="G80" i="1"/>
  <c r="G48" i="1"/>
  <c r="G16" i="1"/>
  <c r="G135" i="1"/>
  <c r="G103" i="1"/>
  <c r="G71" i="1"/>
  <c r="G39" i="1"/>
  <c r="G3" i="1"/>
  <c r="G862" i="1"/>
  <c r="G742" i="1"/>
  <c r="G1223" i="1"/>
  <c r="G1191" i="1"/>
  <c r="G1159" i="1"/>
  <c r="G1078" i="1"/>
  <c r="G963" i="1"/>
  <c r="G835" i="1"/>
  <c r="G1150" i="1"/>
  <c r="G1065" i="1"/>
  <c r="G937" i="1"/>
  <c r="G809" i="1"/>
  <c r="G568" i="1"/>
  <c r="G132" i="1"/>
  <c r="G1081" i="1"/>
  <c r="G1019" i="1"/>
  <c r="G955" i="1"/>
  <c r="G891" i="1"/>
  <c r="G827" i="1"/>
  <c r="G763" i="1"/>
  <c r="G701" i="1"/>
  <c r="G637" i="1"/>
  <c r="G521" i="1"/>
  <c r="G1063" i="1"/>
  <c r="G999" i="1"/>
  <c r="G935" i="1"/>
  <c r="G871" i="1"/>
  <c r="G807" i="1"/>
  <c r="G739" i="1"/>
  <c r="G675" i="1"/>
  <c r="G610" i="1"/>
  <c r="G508" i="1"/>
  <c r="G101" i="1"/>
  <c r="G1096" i="1"/>
  <c r="G1050" i="1"/>
  <c r="G986" i="1"/>
  <c r="G922" i="1"/>
  <c r="G858" i="1"/>
  <c r="G794" i="1"/>
  <c r="G555" i="1"/>
  <c r="G1068" i="1"/>
  <c r="G1004" i="1"/>
  <c r="G940" i="1"/>
  <c r="G876" i="1"/>
  <c r="G812" i="1"/>
  <c r="G754" i="1"/>
  <c r="G690" i="1"/>
  <c r="G626" i="1"/>
  <c r="G527" i="1"/>
  <c r="G322" i="1"/>
  <c r="G713" i="1"/>
  <c r="G649" i="1"/>
  <c r="G553" i="1"/>
  <c r="G312" i="1"/>
  <c r="G711" i="1"/>
  <c r="G647" i="1"/>
  <c r="G551" i="1"/>
  <c r="G217" i="1"/>
  <c r="G563" i="1"/>
  <c r="G488" i="1"/>
  <c r="G340" i="1"/>
  <c r="G216" i="1"/>
  <c r="G494" i="1"/>
  <c r="G404" i="1"/>
  <c r="G339" i="1"/>
  <c r="G200" i="1"/>
  <c r="G598" i="1"/>
  <c r="G534" i="1"/>
  <c r="G442" i="1"/>
  <c r="G264" i="1"/>
  <c r="G118" i="1"/>
  <c r="G740" i="1"/>
  <c r="G708" i="1"/>
  <c r="G676" i="1"/>
  <c r="G644" i="1"/>
  <c r="G607" i="1"/>
  <c r="G543" i="1"/>
  <c r="G492" i="1"/>
  <c r="G403" i="1"/>
  <c r="G338" i="1"/>
  <c r="G183" i="1"/>
  <c r="G597" i="1"/>
  <c r="G533" i="1"/>
  <c r="G440" i="1"/>
  <c r="G260" i="1"/>
  <c r="G13" i="1"/>
  <c r="G420" i="1"/>
  <c r="G352" i="1"/>
  <c r="G221" i="1"/>
  <c r="G332" i="1"/>
  <c r="G268" i="1"/>
  <c r="G204" i="1"/>
  <c r="G144" i="1"/>
  <c r="G378" i="1"/>
  <c r="G346" i="1"/>
  <c r="G283" i="1"/>
  <c r="G219" i="1"/>
  <c r="G155" i="1"/>
  <c r="G309" i="1"/>
  <c r="G245" i="1"/>
  <c r="G181" i="1"/>
  <c r="G114" i="1"/>
  <c r="G50" i="1"/>
  <c r="G485" i="1"/>
  <c r="G453" i="1"/>
  <c r="G421" i="1"/>
  <c r="G389" i="1"/>
  <c r="G357" i="1"/>
  <c r="G303" i="1"/>
  <c r="G239" i="1"/>
  <c r="G175" i="1"/>
  <c r="G105" i="1"/>
  <c r="G41" i="1"/>
  <c r="G128" i="1"/>
  <c r="G195" i="1"/>
  <c r="G133" i="1"/>
  <c r="G108" i="1"/>
  <c r="G76" i="1"/>
  <c r="G44" i="1"/>
  <c r="G12" i="1"/>
  <c r="G131" i="1"/>
  <c r="G99" i="1"/>
  <c r="G67" i="1"/>
  <c r="G35" i="1"/>
  <c r="G11" i="1"/>
  <c r="G1231" i="1"/>
  <c r="G1169" i="1"/>
  <c r="G970" i="1"/>
  <c r="G301" i="1"/>
  <c r="G1362" i="1"/>
  <c r="G1312" i="1"/>
  <c r="G1269" i="1"/>
  <c r="G1114" i="1"/>
  <c r="G892" i="1"/>
  <c r="G1268" i="1"/>
  <c r="G1236" i="1"/>
  <c r="G1204" i="1"/>
  <c r="G1172" i="1"/>
  <c r="G1129" i="1"/>
  <c r="G1003" i="1"/>
  <c r="G875" i="1"/>
  <c r="G614" i="1"/>
  <c r="G1118" i="1"/>
  <c r="G977" i="1"/>
  <c r="G849" i="1"/>
  <c r="G710" i="1"/>
  <c r="G1219" i="1"/>
  <c r="G1187" i="1"/>
  <c r="G1155" i="1"/>
  <c r="G1066" i="1"/>
  <c r="G938" i="1"/>
  <c r="G810" i="1"/>
  <c r="G1141" i="1"/>
  <c r="G1052" i="1"/>
  <c r="G924" i="1"/>
  <c r="G796" i="1"/>
  <c r="G483" i="1"/>
  <c r="G1109" i="1"/>
  <c r="G1076" i="1"/>
  <c r="G1013" i="1"/>
  <c r="G949" i="1"/>
  <c r="G885" i="1"/>
  <c r="G821" i="1"/>
  <c r="G757" i="1"/>
  <c r="G693" i="1"/>
  <c r="G629" i="1"/>
  <c r="G511" i="1"/>
  <c r="G1057" i="1"/>
  <c r="G993" i="1"/>
  <c r="G929" i="1"/>
  <c r="G865" i="1"/>
  <c r="G801" i="1"/>
  <c r="G731" i="1"/>
  <c r="G667" i="1"/>
  <c r="G601" i="1"/>
  <c r="G476" i="1"/>
  <c r="G1124" i="1"/>
  <c r="G1092" i="1"/>
  <c r="G1043" i="1"/>
  <c r="G979" i="1"/>
  <c r="G915" i="1"/>
  <c r="G851" i="1"/>
  <c r="G787" i="1"/>
  <c r="G518" i="1"/>
  <c r="G1062" i="1"/>
  <c r="G998" i="1"/>
  <c r="G934" i="1"/>
  <c r="G870" i="1"/>
  <c r="G806" i="1"/>
  <c r="G746" i="1"/>
  <c r="G682" i="1"/>
  <c r="G618" i="1"/>
  <c r="G517" i="1"/>
  <c r="G279" i="1"/>
  <c r="G705" i="1"/>
  <c r="G641" i="1"/>
  <c r="G544" i="1"/>
  <c r="G269" i="1"/>
  <c r="G703" i="1"/>
  <c r="G639" i="1"/>
  <c r="G513" i="1"/>
  <c r="G37" i="1"/>
  <c r="G558" i="1"/>
  <c r="G482" i="1"/>
  <c r="G329" i="1"/>
  <c r="G201" i="1"/>
  <c r="G475" i="1"/>
  <c r="G396" i="1"/>
  <c r="G318" i="1"/>
  <c r="G185" i="1"/>
  <c r="G589" i="1"/>
  <c r="G525" i="1"/>
  <c r="G423" i="1"/>
  <c r="G253" i="1"/>
  <c r="G86" i="1"/>
  <c r="G736" i="1"/>
  <c r="G704" i="1"/>
  <c r="G672" i="1"/>
  <c r="G640" i="1"/>
  <c r="G602" i="1"/>
  <c r="G538" i="1"/>
  <c r="G486" i="1"/>
  <c r="G395" i="1"/>
  <c r="G327" i="1"/>
  <c r="G167" i="1"/>
  <c r="G588" i="1"/>
  <c r="G524" i="1"/>
  <c r="G434" i="1"/>
  <c r="G249" i="1"/>
  <c r="G491" i="1"/>
  <c r="G414" i="1"/>
  <c r="G344" i="1"/>
  <c r="G194" i="1"/>
  <c r="G321" i="1"/>
  <c r="G257" i="1"/>
  <c r="G193" i="1"/>
  <c r="G137" i="1"/>
  <c r="G374" i="1"/>
  <c r="G342" i="1"/>
  <c r="G278" i="1"/>
  <c r="G214" i="1"/>
  <c r="G149" i="1"/>
  <c r="G304" i="1"/>
  <c r="G240" i="1"/>
  <c r="G176" i="1"/>
  <c r="G106" i="1"/>
  <c r="G42" i="1"/>
  <c r="G481" i="1"/>
  <c r="G449" i="1"/>
  <c r="G417" i="1"/>
  <c r="G385" i="1"/>
  <c r="G353" i="1"/>
  <c r="G298" i="1"/>
  <c r="G234" i="1"/>
  <c r="G170" i="1"/>
  <c r="G97" i="1"/>
  <c r="G33" i="1"/>
  <c r="G5" i="1"/>
  <c r="G190" i="1"/>
  <c r="G14" i="1"/>
  <c r="G104" i="1"/>
  <c r="G72" i="1"/>
  <c r="G40" i="1"/>
  <c r="G8" i="1"/>
  <c r="G127" i="1"/>
  <c r="G95" i="1"/>
  <c r="G63" i="1"/>
  <c r="G31" i="1"/>
  <c r="C340" i="1"/>
  <c r="C11" i="1"/>
  <c r="C12" i="1"/>
  <c r="L639" i="1" a="1"/>
  <c r="L3149" i="1" a="1"/>
  <c r="L114" i="1" a="1"/>
  <c r="L3281" i="1" a="1"/>
  <c r="L1014" i="1" a="1"/>
  <c r="L2637" i="1" a="1"/>
  <c r="L1246" i="1" a="1"/>
  <c r="L1866" i="1" a="1"/>
  <c r="L2630" i="1" a="1"/>
  <c r="L651" i="1" a="1"/>
  <c r="L2740" i="1" a="1"/>
  <c r="L123" i="1" a="1"/>
  <c r="L3" i="1" a="1"/>
  <c r="L1276" i="1" a="1"/>
  <c r="L3339" i="1" a="1"/>
  <c r="L1791" i="1" a="1"/>
  <c r="L765" i="1" a="1"/>
  <c r="L2480" i="1" a="1"/>
  <c r="L2612" i="1" a="1"/>
  <c r="L108" i="1" a="1"/>
  <c r="L449" i="1" a="1"/>
  <c r="L1899" i="1" a="1"/>
  <c r="L1107" i="1" a="1"/>
  <c r="L3072" i="1" a="1"/>
  <c r="L2850" i="1" a="1"/>
  <c r="L2944" i="1" a="1"/>
  <c r="L2276" i="1" a="1"/>
  <c r="L258" i="1" a="1"/>
  <c r="L2702" i="1" a="1"/>
  <c r="L112" i="1" a="1"/>
  <c r="L2484" i="1" a="1"/>
  <c r="L390" i="1" a="1"/>
  <c r="L1516" i="1" a="1"/>
  <c r="L1880" i="1" a="1"/>
  <c r="L959" i="1" a="1"/>
  <c r="L2921" i="1" a="1"/>
  <c r="L2798" i="1" a="1"/>
  <c r="L2658" i="1" a="1"/>
  <c r="L445" i="1" a="1"/>
  <c r="L1005" i="1" a="1"/>
  <c r="L274" i="1" a="1"/>
  <c r="L1031" i="1" a="1"/>
  <c r="L444" i="1" a="1"/>
  <c r="L2207" i="1" a="1"/>
  <c r="L537" i="1" a="1"/>
  <c r="L2356" i="1" a="1"/>
  <c r="L752" i="1" a="1"/>
  <c r="L2138" i="1" a="1"/>
  <c r="L2077" i="1" a="1"/>
  <c r="L837" i="1" a="1"/>
  <c r="L2292" i="1" a="1"/>
  <c r="L3113" i="1" a="1"/>
  <c r="L2800" i="1" a="1"/>
  <c r="L1765" i="1" a="1"/>
  <c r="L2339" i="1" a="1"/>
  <c r="L363" i="1" a="1"/>
  <c r="L2019" i="1" a="1"/>
  <c r="L6" i="1" a="1"/>
  <c r="L2709" i="1" a="1"/>
  <c r="L159" i="1" a="1"/>
  <c r="L1562" i="1" a="1"/>
  <c r="L105" i="1" a="1"/>
  <c r="L2168" i="1" a="1"/>
  <c r="L141" i="1" a="1"/>
  <c r="L2580" i="1" a="1"/>
  <c r="L2185" i="1" a="1"/>
  <c r="L2530" i="1" a="1"/>
  <c r="L2382" i="1" a="1"/>
  <c r="L2348" i="1" a="1"/>
  <c r="L1793" i="1" a="1"/>
  <c r="L878" i="1" a="1"/>
  <c r="L461" i="1" a="1"/>
  <c r="L3163" i="1" a="1"/>
  <c r="L3237" i="1" a="1"/>
  <c r="L1636" i="1" a="1"/>
  <c r="L2073" i="1" a="1"/>
  <c r="L1187" i="1" a="1"/>
  <c r="L515" i="1" a="1"/>
  <c r="L64" i="1" a="1"/>
  <c r="L2402" i="1" a="1"/>
  <c r="L3134" i="1" a="1"/>
  <c r="L1448" i="1" a="1"/>
  <c r="L790" i="1" a="1"/>
  <c r="L1051" i="1" a="1"/>
  <c r="L736" i="1" a="1"/>
  <c r="L2938" i="1" a="1"/>
  <c r="L2617" i="1" a="1"/>
  <c r="L2760" i="1" a="1"/>
  <c r="L2279" i="1" a="1"/>
  <c r="L1333" i="1" a="1"/>
  <c r="L576" i="1" a="1"/>
  <c r="L308" i="1" a="1"/>
  <c r="L3180" i="1" a="1"/>
  <c r="L1114" i="1" a="1"/>
  <c r="L2309" i="1" a="1"/>
  <c r="L1797" i="1" a="1"/>
  <c r="L1439" i="1" a="1"/>
  <c r="L486" i="1" a="1"/>
  <c r="L1652" i="1" a="1"/>
  <c r="L343" i="1" a="1"/>
  <c r="L1193" i="1" a="1"/>
  <c r="L531" i="1" a="1"/>
  <c r="L68" i="1" a="1"/>
  <c r="L2410" i="1" a="1"/>
  <c r="L3142" i="1" a="1"/>
  <c r="L1510" i="1" a="1"/>
  <c r="L827" i="1" a="1"/>
  <c r="L1058" i="1" a="1"/>
  <c r="L740" i="1" a="1"/>
  <c r="L1662" i="1" a="1"/>
  <c r="L2739" i="1" a="1"/>
  <c r="L1742" i="1" a="1"/>
  <c r="L2179" i="1" a="1"/>
  <c r="L1689" i="1" a="1"/>
  <c r="L642" i="1" a="1"/>
  <c r="L142" i="1" a="1"/>
  <c r="L2885" i="1" a="1"/>
  <c r="L2998" i="1" a="1"/>
  <c r="L2609" i="1" a="1"/>
  <c r="L1580" i="1" a="1"/>
  <c r="L301" i="1" a="1"/>
  <c r="L75" i="1" a="1"/>
  <c r="L2282" i="1" a="1"/>
  <c r="L2817" i="1" a="1"/>
  <c r="L2655" i="1" a="1"/>
  <c r="L2492" i="1" a="1"/>
  <c r="L1314" i="1" a="1"/>
  <c r="L682" i="1" a="1"/>
  <c r="L34" i="1" a="1"/>
  <c r="L2413" i="1" a="1"/>
  <c r="L3125" i="1" a="1"/>
  <c r="L2802" i="1" a="1"/>
  <c r="L1849" i="1" a="1"/>
  <c r="L926" i="1" a="1"/>
  <c r="L574" i="1" a="1"/>
  <c r="L2482" i="1" a="1"/>
  <c r="L2031" i="1" a="1"/>
  <c r="L1113" i="1" a="1"/>
  <c r="L877" i="1" a="1"/>
  <c r="L90" i="1" a="1"/>
  <c r="L3119" i="1" a="1"/>
  <c r="L3005" i="1" a="1"/>
  <c r="L2268" i="1" a="1"/>
  <c r="L1718" i="1" a="1"/>
  <c r="L1419" i="1" a="1"/>
  <c r="L423" i="1" a="1"/>
  <c r="L3060" i="1" a="1"/>
  <c r="L2649" i="1" a="1"/>
  <c r="L1284" i="1" a="1"/>
  <c r="L2115" i="1" a="1"/>
  <c r="L1657" i="1" a="1"/>
  <c r="L373" i="1" a="1"/>
  <c r="L54" i="1" a="1"/>
  <c r="L1997" i="1" a="1"/>
  <c r="L200" i="1" a="1"/>
  <c r="L717" i="1" a="1"/>
  <c r="L1946" i="1" a="1"/>
  <c r="L1904" i="1" a="1"/>
  <c r="L2969" i="1" a="1"/>
  <c r="L50" i="1" a="1"/>
  <c r="L3270" i="1" a="1"/>
  <c r="L784" i="1" a="1"/>
  <c r="L2122" i="1" a="1"/>
  <c r="L2804" i="1" a="1"/>
  <c r="L3117" i="1" a="1"/>
  <c r="L560" i="1" a="1"/>
  <c r="L2391" i="1" a="1"/>
  <c r="L1572" i="1" a="1"/>
  <c r="L2295" i="1" a="1"/>
  <c r="L3076" i="1" a="1"/>
  <c r="L2647" i="1" a="1"/>
  <c r="L2275" i="1" a="1"/>
  <c r="L1522" i="1" a="1"/>
  <c r="L2943" i="1" a="1"/>
  <c r="L1023" i="1" a="1"/>
  <c r="L1992" i="1" a="1"/>
  <c r="L785" i="1" a="1"/>
  <c r="L2153" i="1" a="1"/>
  <c r="L2451" i="1" a="1"/>
  <c r="L3340" i="1" a="1"/>
  <c r="L1747" i="1" a="1"/>
  <c r="L838" i="1" a="1"/>
  <c r="L259" i="1" a="1"/>
  <c r="L2733" i="1" a="1"/>
  <c r="L285" i="1" a="1"/>
  <c r="L1788" i="1" a="1"/>
  <c r="L194" i="1" a="1"/>
  <c r="L2219" i="1" a="1"/>
  <c r="L2677" i="1" a="1"/>
  <c r="L1754" i="1" a="1"/>
  <c r="L131" i="1" a="1"/>
  <c r="L594" i="1" a="1"/>
  <c r="L3228" i="1" a="1"/>
  <c r="L2478" i="1" a="1"/>
  <c r="L735" i="1" a="1"/>
  <c r="L1782" i="1" a="1"/>
  <c r="L1537" i="1" a="1"/>
  <c r="L1052" i="1" a="1"/>
  <c r="L122" i="1" a="1"/>
  <c r="L3276" i="1" a="1"/>
  <c r="L2852" i="1" a="1"/>
  <c r="L2455" i="1" a="1"/>
  <c r="L1356" i="1" a="1"/>
  <c r="L1739" i="1" a="1"/>
  <c r="L430" i="1" a="1"/>
  <c r="L1696" i="1" a="1"/>
  <c r="L3063" i="1" a="1"/>
  <c r="L2758" i="1" a="1"/>
  <c r="L2532" i="1" a="1"/>
  <c r="L1474" i="1" a="1"/>
  <c r="L791" i="1" a="1"/>
  <c r="L187" i="1" a="1"/>
  <c r="L1764" i="1" a="1"/>
  <c r="L2445" i="1" a="1"/>
  <c r="L2065" i="1" a="1"/>
  <c r="L1310" i="1" a="1"/>
  <c r="L548" i="1" a="1"/>
  <c r="L425" i="1" a="1"/>
  <c r="L193" i="1" a="1"/>
  <c r="L2333" i="1" a="1"/>
  <c r="L3114" i="1" a="1"/>
  <c r="L1428" i="1" a="1"/>
  <c r="L750" i="1" a="1"/>
  <c r="L1026" i="1" a="1"/>
  <c r="L728" i="1" a="1"/>
  <c r="L2462" i="1" a="1"/>
  <c r="L1362" i="1" a="1"/>
  <c r="L1743" i="1" a="1"/>
  <c r="L455" i="1" a="1"/>
  <c r="L1909" i="1" a="1"/>
  <c r="L3082" i="1" a="1"/>
  <c r="L2766" i="1" a="1"/>
  <c r="L2536" i="1" a="1"/>
  <c r="L1500" i="1" a="1"/>
  <c r="L803" i="1" a="1"/>
  <c r="L196" i="1" a="1"/>
  <c r="L3288" i="1" a="1"/>
  <c r="L1318" i="1" a="1"/>
  <c r="L726" i="1" a="1"/>
  <c r="L1167" i="1" a="1"/>
  <c r="L1433" i="1" a="1"/>
  <c r="L900" i="1" a="1"/>
  <c r="L428" i="1" a="1"/>
  <c r="L2281" i="1" a="1"/>
  <c r="L2217" i="1" a="1"/>
  <c r="L1470" i="1" a="1"/>
  <c r="L1998" i="1" a="1"/>
  <c r="L1539" i="1" a="1"/>
  <c r="L191" i="1" a="1"/>
  <c r="L1304" i="1" a="1"/>
  <c r="L2718" i="1" a="1"/>
  <c r="L1626" i="1" a="1"/>
  <c r="L1716" i="1" a="1"/>
  <c r="L2531" i="1" a="1"/>
  <c r="L2512" i="1" a="1"/>
  <c r="L573" i="1" a="1"/>
  <c r="L1282" i="1" a="1"/>
  <c r="L2473" i="1" a="1"/>
  <c r="L33" i="1" a="1"/>
  <c r="L2597" i="1" a="1"/>
  <c r="L157" i="1" a="1"/>
  <c r="L2732" i="1" a="1"/>
  <c r="L2569" i="1" a="1"/>
  <c r="L2510" i="1" a="1"/>
  <c r="L601" i="1" a="1"/>
  <c r="L2266" i="1" a="1"/>
  <c r="L304" i="1" a="1"/>
  <c r="L1236" i="1" a="1"/>
  <c r="L2046" i="1" a="1"/>
  <c r="L2384" i="1" a="1"/>
  <c r="L44" i="1" a="1"/>
  <c r="L231" i="1" a="1"/>
  <c r="L695" i="1" a="1"/>
  <c r="L1669" i="1" a="1"/>
  <c r="L3042" i="1" a="1"/>
  <c r="L678" i="1" a="1"/>
  <c r="L2736" i="1" a="1"/>
  <c r="L2574" i="1" a="1"/>
  <c r="L2929" i="1" a="1"/>
  <c r="L830" i="1" a="1"/>
  <c r="L1923" i="1" a="1"/>
  <c r="L2821" i="1" a="1"/>
  <c r="L2020" i="1" a="1"/>
  <c r="L1582" i="1" a="1"/>
  <c r="L2308" i="1" a="1"/>
  <c r="L3038" i="1" a="1"/>
  <c r="L2147" i="1" a="1"/>
  <c r="L2420" i="1" a="1"/>
  <c r="L1288" i="1" a="1"/>
  <c r="L2676" i="1" a="1"/>
  <c r="L1666" i="1" a="1"/>
  <c r="L2995" i="1" a="1"/>
  <c r="L2698" i="1" a="1"/>
  <c r="L2661" i="1" a="1"/>
  <c r="L2174" i="1" a="1"/>
  <c r="L1281" i="1" a="1"/>
  <c r="L94" i="1" a="1"/>
  <c r="L207" i="1" a="1"/>
  <c r="L3271" i="1" a="1"/>
  <c r="L1846" i="1" a="1"/>
  <c r="L997" i="1" a="1"/>
  <c r="L1884" i="1" a="1"/>
  <c r="L1483" i="1" a="1"/>
  <c r="L619" i="1" a="1"/>
  <c r="L2346" i="1" a="1"/>
  <c r="L2831" i="1" a="1"/>
  <c r="L1895" i="1" a="1"/>
  <c r="L2243" i="1" a="1"/>
  <c r="L1721" i="1" a="1"/>
  <c r="L722" i="1" a="1"/>
  <c r="L252" i="1" a="1"/>
  <c r="L1560" i="1" a="1"/>
  <c r="L3062" i="1" a="1"/>
  <c r="L2690" i="1" a="1"/>
  <c r="L1708" i="1" a="1"/>
  <c r="L701" i="1" a="1"/>
  <c r="L334" i="1" a="1"/>
  <c r="L3115" i="1" a="1"/>
  <c r="L3010" i="1" a="1"/>
  <c r="L2730" i="1" a="1"/>
  <c r="L2524" i="1" a="1"/>
  <c r="L1442" i="1" a="1"/>
  <c r="L767" i="1" a="1"/>
  <c r="L162" i="1" a="1"/>
  <c r="L1022" i="1" a="1"/>
  <c r="L1893" i="1" a="1"/>
  <c r="L1487" i="1" a="1"/>
  <c r="L628" i="1" a="1"/>
  <c r="L2395" i="1" a="1"/>
  <c r="L2838" i="1" a="1"/>
  <c r="L2023" i="1" a="1"/>
  <c r="L2248" i="1" a="1"/>
  <c r="L1725" i="1" a="1"/>
  <c r="L734" i="1" a="1"/>
  <c r="L260" i="1" a="1"/>
  <c r="L2212" i="1" a="1"/>
  <c r="L3214" i="1" a="1"/>
  <c r="L2379" i="1" a="1"/>
  <c r="L1900" i="1" a="1"/>
  <c r="L1010" i="1" a="1"/>
  <c r="L806" i="1" a="1"/>
  <c r="L37" i="1" a="1"/>
  <c r="L1928" i="1" a="1"/>
  <c r="L1358" i="1" a="1"/>
  <c r="L1962" i="1" a="1"/>
  <c r="L1199" i="1" a="1"/>
  <c r="L1283" i="1" a="1"/>
  <c r="L828" i="1" a="1"/>
  <c r="L3256" i="1" a="1"/>
  <c r="L1210" i="1" a="1"/>
  <c r="L153" i="1" a="1"/>
  <c r="L1109" i="1" a="1"/>
  <c r="L1425" i="1" a="1"/>
  <c r="L882" i="1" a="1"/>
  <c r="L420" i="1" a="1"/>
  <c r="L2814" i="1" a="1"/>
  <c r="L2633" i="1" a="1"/>
  <c r="L2172" i="1" a="1"/>
  <c r="L1526" i="1" a="1"/>
  <c r="L1371" i="1" a="1"/>
  <c r="L272" i="1" a="1"/>
  <c r="L2385" i="1" a="1"/>
  <c r="L1245" i="1" a="1"/>
  <c r="L1711" i="1" a="1"/>
  <c r="L278" i="1" a="1"/>
  <c r="L2729" i="1" a="1"/>
  <c r="L2896" i="1" a="1"/>
  <c r="L2687" i="1" a="1"/>
  <c r="L2504" i="1" a="1"/>
  <c r="L1372" i="1" a="1"/>
  <c r="L718" i="1" a="1"/>
  <c r="L93" i="1" a="1"/>
  <c r="L2827" i="1" a="1"/>
  <c r="L3098" i="1" a="1"/>
  <c r="L2294" i="1" a="1"/>
  <c r="L1780" i="1" a="1"/>
  <c r="L902" i="1" a="1"/>
  <c r="L721" i="1" a="1"/>
  <c r="L330" i="1" a="1"/>
  <c r="L1886" i="1" a="1"/>
  <c r="L2548" i="1" a="1"/>
  <c r="L1963" i="1" a="1"/>
  <c r="L2662" i="1" a="1"/>
  <c r="L1021" i="1" a="1"/>
  <c r="L2993" i="1" a="1"/>
  <c r="L887" i="1" a="1"/>
  <c r="L1816" i="1" a="1"/>
  <c r="L3148" i="1" a="1"/>
  <c r="L2665" i="1" a="1"/>
  <c r="L1512" i="1" a="1"/>
  <c r="L2786" i="1" a="1"/>
  <c r="L759" i="1" a="1"/>
  <c r="L1260" i="1" a="1"/>
  <c r="L1955" i="1" a="1"/>
  <c r="L1776" i="1" a="1"/>
  <c r="L237" i="1" a="1"/>
  <c r="L1644" i="1" a="1"/>
  <c r="L2542" i="1" a="1"/>
  <c r="L82" i="1" a="1"/>
  <c r="L3043" i="1" a="1"/>
  <c r="L1651" i="1" a="1"/>
  <c r="L3341" i="1" a="1"/>
  <c r="L656" i="1" a="1"/>
  <c r="L1898" i="1" a="1"/>
  <c r="L3329" i="1" a="1"/>
  <c r="L2873" i="1" a="1"/>
  <c r="L463" i="1" a="1"/>
  <c r="L1988" i="1" a="1"/>
  <c r="L450" i="1" a="1"/>
  <c r="L2252" i="1" a="1"/>
  <c r="L719" i="1" a="1"/>
  <c r="L2202" i="1" a="1"/>
  <c r="L2032" i="1" a="1"/>
  <c r="L1034" i="1" a="1"/>
  <c r="L476" i="1" a="1"/>
  <c r="L1790" i="1" a="1"/>
  <c r="L3280" i="1" a="1"/>
  <c r="L1203" i="1" a="1"/>
  <c r="L2203" i="1" a="1"/>
  <c r="L2825" i="1" a="1"/>
  <c r="L1843" i="1" a="1"/>
  <c r="L1075" i="1" a="1"/>
  <c r="L1235" i="1" a="1"/>
  <c r="L66" i="1" a="1"/>
  <c r="L100" i="1" a="1"/>
  <c r="L2925" i="1" a="1"/>
  <c r="L3234" i="1" a="1"/>
  <c r="L1694" i="1" a="1"/>
  <c r="L989" i="1" a="1"/>
  <c r="L1144" i="1" a="1"/>
  <c r="L772" i="1" a="1"/>
  <c r="L2329" i="1" a="1"/>
  <c r="L1873" i="1" a="1"/>
  <c r="L1158" i="1" a="1"/>
  <c r="L1332" i="1" a="1"/>
  <c r="L1465" i="1" a="1"/>
  <c r="L964" i="1" a="1"/>
  <c r="L460" i="1" a="1"/>
  <c r="L3070" i="1" a="1"/>
  <c r="L2305" i="1" a="1"/>
  <c r="L1853" i="1" a="1"/>
  <c r="L2062" i="1" a="1"/>
  <c r="L1571" i="1" a="1"/>
  <c r="L300" i="1" a="1"/>
  <c r="L2223" i="1" a="1"/>
  <c r="L2803" i="1" a="1"/>
  <c r="L1848" i="1" a="1"/>
  <c r="L2225" i="1" a="1"/>
  <c r="L1713" i="1" a="1"/>
  <c r="L698" i="1" a="1"/>
  <c r="L223" i="1" a="1"/>
  <c r="L1704" i="1" a="1"/>
  <c r="L1030" i="1" a="1"/>
  <c r="L1160" i="1" a="1"/>
  <c r="L776" i="1" a="1"/>
  <c r="L2465" i="1" a="1"/>
  <c r="L1919" i="1" a="1"/>
  <c r="L1178" i="1" a="1"/>
  <c r="L1342" i="1" a="1"/>
  <c r="L1469" i="1" a="1"/>
  <c r="L969" i="1" a="1"/>
  <c r="L464" i="1" a="1"/>
  <c r="L2757" i="1" a="1"/>
  <c r="L3169" i="1" a="1"/>
  <c r="L2887" i="1" a="1"/>
  <c r="L1936" i="1" a="1"/>
  <c r="L1071" i="1" a="1"/>
  <c r="L77" i="1" a="1"/>
  <c r="L2653" i="1" a="1"/>
  <c r="L3330" i="1" a="1"/>
  <c r="L2965" i="1" a="1"/>
  <c r="L2624" i="1" a="1"/>
  <c r="L1819" i="1" a="1"/>
  <c r="L249" i="1" a="1"/>
  <c r="L475" i="1" a="1"/>
  <c r="L3324" i="1" a="1"/>
  <c r="L3190" i="1" a="1"/>
  <c r="L2354" i="1" a="1"/>
  <c r="L1885" i="1" a="1"/>
  <c r="L990" i="1" a="1"/>
  <c r="L787" i="1" a="1"/>
  <c r="L26" i="1" a="1"/>
  <c r="L2072" i="1" a="1"/>
  <c r="L3349" i="1" a="1"/>
  <c r="L963" i="1" a="1"/>
  <c r="L1993" i="1" a="1"/>
  <c r="L797" i="1" a="1"/>
  <c r="L660" i="1" a="1"/>
  <c r="L658" i="1" a="1"/>
  <c r="L1829" i="1" a="1"/>
  <c r="L1455" i="1" a="1"/>
  <c r="L546" i="1" a="1"/>
  <c r="L1953" i="1" a="1"/>
  <c r="L2746" i="1" a="1"/>
  <c r="L1758" i="1" a="1"/>
  <c r="L2184" i="1" a="1"/>
  <c r="L1693" i="1" a="1"/>
  <c r="L649" i="1" a="1"/>
  <c r="L150" i="1" a="1"/>
  <c r="L2549" i="1" a="1"/>
  <c r="L3137" i="1" a="1"/>
  <c r="L2823" i="1" a="1"/>
  <c r="L1872" i="1" a="1"/>
  <c r="L980" i="1" a="1"/>
  <c r="L616" i="1" a="1"/>
  <c r="L3332" i="1" a="1"/>
  <c r="L2039" i="1" a="1"/>
  <c r="L378" i="1" a="1"/>
  <c r="L1404" i="1" a="1"/>
  <c r="L2753" i="1" a="1"/>
  <c r="L663" i="1" a="1"/>
  <c r="L2966" i="1" a="1"/>
  <c r="L603" i="1" a="1"/>
  <c r="L2124" i="1" a="1"/>
  <c r="L3224" i="1" a="1"/>
  <c r="L1015" i="1" a="1"/>
  <c r="L2794" i="1" a="1"/>
  <c r="L2448" i="1" a="1"/>
  <c r="L264" i="1" a="1"/>
  <c r="L1733" i="1" a="1"/>
  <c r="L3360" i="1" a="1"/>
  <c r="L1449" i="1" a="1"/>
  <c r="L3123" i="1" a="1"/>
  <c r="L729" i="1" a="1"/>
  <c r="L3004" i="1" a="1"/>
  <c r="L896" i="1" a="1"/>
  <c r="L2682" i="1" a="1"/>
  <c r="L556" i="1" a="1"/>
  <c r="L2235" i="1" a="1"/>
  <c r="L298" i="1" a="1"/>
  <c r="L2650" i="1" a="1"/>
  <c r="L2502" i="1" a="1"/>
  <c r="L1540" i="1" a="1"/>
  <c r="L383" i="1" a="1"/>
  <c r="L570" i="1" a="1"/>
  <c r="L3260" i="1" a="1"/>
  <c r="L1264" i="1" a="1"/>
  <c r="L234" i="1" a="1"/>
  <c r="L1169" i="1" a="1"/>
  <c r="L3075" i="1" a="1"/>
  <c r="L1673" i="1" a="1"/>
  <c r="L2337" i="1" a="1"/>
  <c r="L1966" i="1" a="1"/>
  <c r="L3206" i="1" a="1"/>
  <c r="L921" i="1" a="1"/>
  <c r="L1811" i="1" a="1"/>
  <c r="L3081" i="1" a="1"/>
  <c r="L2551" i="1" a="1"/>
  <c r="L1490" i="1" a="1"/>
  <c r="L1775" i="1" a="1"/>
  <c r="L579" i="1" a="1"/>
  <c r="L3127" i="1" a="1"/>
  <c r="L3170" i="1" a="1"/>
  <c r="L2851" i="1" a="1"/>
  <c r="L2568" i="1" a="1"/>
  <c r="L1628" i="1" a="1"/>
  <c r="L898" i="1" a="1"/>
  <c r="L295" i="1" a="1"/>
  <c r="L1396" i="1" a="1"/>
  <c r="L3314" i="1" a="1"/>
  <c r="L2469" i="1" a="1"/>
  <c r="L2017" i="1" a="1"/>
  <c r="L1099" i="1" a="1"/>
  <c r="L863" i="1" a="1"/>
  <c r="L79" i="1" a="1"/>
  <c r="L2291" i="1" a="1"/>
  <c r="L2192" i="1" a="1"/>
  <c r="L2042" i="1" a="1"/>
  <c r="L1302" i="1" a="1"/>
  <c r="L1315" i="1" a="1"/>
  <c r="L55" i="1" a="1"/>
  <c r="L2022" i="1" a="1"/>
  <c r="L1514" i="1" a="1"/>
  <c r="L1086" i="1" a="1"/>
  <c r="L1312" i="1" a="1"/>
  <c r="L1457" i="1" a="1"/>
  <c r="L946" i="1" a="1"/>
  <c r="L452" i="1" a="1"/>
  <c r="L2572" i="1" a="1"/>
  <c r="L1634" i="1" a="1"/>
  <c r="L907" i="1" a="1"/>
  <c r="L313" i="1" a="1"/>
  <c r="L1814" i="1" a="1"/>
  <c r="L3322" i="1" a="1"/>
  <c r="L2475" i="1" a="1"/>
  <c r="L2024" i="1" a="1"/>
  <c r="L1106" i="1" a="1"/>
  <c r="L872" i="1" a="1"/>
  <c r="L85" i="1" a="1"/>
  <c r="L1976" i="1" a="1"/>
  <c r="L2621" i="1" a="1"/>
  <c r="L2264" i="1" a="1"/>
  <c r="L1126" i="1" a="1"/>
  <c r="L1671" i="1" a="1"/>
  <c r="L89" i="1" a="1"/>
  <c r="L3054" i="1" a="1"/>
  <c r="L3025" i="1" a="1"/>
  <c r="L2099" i="1" a="1"/>
  <c r="L2368" i="1" a="1"/>
  <c r="L547" i="1" a="1"/>
  <c r="L919" i="1" a="1"/>
  <c r="L511" i="1" a="1"/>
  <c r="L2700" i="1" a="1"/>
  <c r="L3161" i="1" a="1"/>
  <c r="L2871" i="1" a="1"/>
  <c r="L1922" i="1" a="1"/>
  <c r="L1046" i="1" a="1"/>
  <c r="L46" i="1" a="1"/>
  <c r="L3112" i="1" a="1"/>
  <c r="L2675" i="1" a="1"/>
  <c r="L2527" i="1" a="1"/>
  <c r="L2456" i="1" a="1"/>
  <c r="L1173" i="1" a="1"/>
  <c r="L485" i="1" a="1"/>
  <c r="L609" i="1" a="1"/>
  <c r="L1530" i="1" a="1"/>
  <c r="L858" i="1" a="1"/>
  <c r="L1065" i="1" a="1"/>
  <c r="L744" i="1" a="1"/>
  <c r="L3304" i="1" a="1"/>
  <c r="L1350" i="1" a="1"/>
  <c r="L899" i="1" a="1"/>
  <c r="L1180" i="1" a="1"/>
  <c r="L1437" i="1" a="1"/>
  <c r="L905" i="1" a="1"/>
  <c r="L432" i="1" a="1"/>
  <c r="L2785" i="1" a="1"/>
  <c r="L2554" i="1" a="1"/>
  <c r="L2154" i="1" a="1"/>
  <c r="L981" i="1" a="1"/>
  <c r="L1639" i="1" a="1"/>
  <c r="L519" i="1" a="1"/>
  <c r="L2897" i="1" a="1"/>
  <c r="L1577" i="1" a="1"/>
  <c r="L2891" i="1" a="1"/>
  <c r="L1103" i="1" a="1"/>
  <c r="L3153" i="1" a="1"/>
  <c r="L645" i="1" a="1"/>
  <c r="L2008" i="1" a="1"/>
  <c r="L470" i="1" a="1"/>
  <c r="L1050" i="1" a="1"/>
  <c r="L3071" i="1" a="1"/>
  <c r="L3122" i="1" a="1"/>
  <c r="L535" i="1" a="1"/>
  <c r="L1835" i="1" a="1"/>
  <c r="L3104" i="1" a="1"/>
  <c r="L1715" i="1" a="1"/>
  <c r="L3160" i="1" a="1"/>
  <c r="L1431" i="1" a="1"/>
  <c r="L3107" i="1" a="1"/>
  <c r="L602" i="1" a="1"/>
  <c r="L2971" i="1" a="1"/>
  <c r="L627" i="1" a="1"/>
  <c r="L2579" i="1" a="1"/>
  <c r="L552" i="1" a="1"/>
  <c r="L913" i="1" a="1"/>
  <c r="L2517" i="1" a="1"/>
  <c r="L2598" i="1" a="1"/>
  <c r="L1142" i="1" a="1"/>
  <c r="L2481" i="1" a="1"/>
  <c r="L1996" i="1" a="1"/>
  <c r="L1605" i="1" a="1"/>
  <c r="L2876" i="1" a="1"/>
  <c r="L1321" i="1" a="1"/>
  <c r="L2145" i="1" a="1"/>
  <c r="L1701" i="1" a="1"/>
  <c r="L3124" i="1" a="1"/>
  <c r="L1655" i="1" a="1"/>
  <c r="L2515" i="1" a="1"/>
  <c r="L1541" i="1" a="1"/>
  <c r="L3249" i="1" a="1"/>
  <c r="L580" i="1" a="1"/>
  <c r="L3203" i="1" a="1"/>
  <c r="L2331" i="1" a="1"/>
  <c r="L1256" i="1" a="1"/>
  <c r="L1957" i="1" a="1"/>
  <c r="L1519" i="1" a="1"/>
  <c r="L124" i="1" a="1"/>
  <c r="L2763" i="1" a="1"/>
  <c r="L2913" i="1" a="1"/>
  <c r="L1376" i="1" a="1"/>
  <c r="L2312" i="1" a="1"/>
  <c r="L1757" i="1" a="1"/>
  <c r="L819" i="1" a="1"/>
  <c r="L359" i="1" a="1"/>
  <c r="L2991" i="1" a="1"/>
  <c r="L3201" i="1" a="1"/>
  <c r="L1196" i="1" a="1"/>
  <c r="L2000" i="1" a="1"/>
  <c r="L1139" i="1" a="1"/>
  <c r="L309" i="1" a="1"/>
  <c r="L28" i="1" a="1"/>
  <c r="L1073" i="1" a="1"/>
  <c r="L3029" i="1" a="1"/>
  <c r="L2656" i="1" a="1"/>
  <c r="L1883" i="1" a="1"/>
  <c r="L78" i="1" a="1"/>
  <c r="L559" i="1" a="1"/>
  <c r="L1087" i="1" a="1"/>
  <c r="L3294" i="1" a="1"/>
  <c r="L2443" i="1" a="1"/>
  <c r="L1973" i="1" a="1"/>
  <c r="L1074" i="1" a="1"/>
  <c r="L845" i="1" a="1"/>
  <c r="L69" i="1" a="1"/>
  <c r="L2316" i="1" a="1"/>
  <c r="L1761" i="1" a="1"/>
  <c r="L825" i="1" a="1"/>
  <c r="L366" i="1" a="1"/>
  <c r="L3022" i="1" a="1"/>
  <c r="L3205" i="1" a="1"/>
  <c r="L1258" i="1" a="1"/>
  <c r="L2009" i="1" a="1"/>
  <c r="L1145" i="1" a="1"/>
  <c r="L336" i="1" a="1"/>
  <c r="L32" i="1" a="1"/>
  <c r="L3096" i="1" a="1"/>
  <c r="L2973" i="1" a="1"/>
  <c r="L2263" i="1" a="1"/>
  <c r="L1712" i="1" a="1"/>
  <c r="L1415" i="1" a="1"/>
  <c r="L418" i="1" a="1"/>
  <c r="L3092" i="1" a="1"/>
  <c r="L2287" i="1" a="1"/>
  <c r="L1891" i="1" a="1"/>
  <c r="L1827" i="1" a="1"/>
  <c r="L1557" i="1" a="1"/>
  <c r="L1072" i="1" a="1"/>
  <c r="L163" i="1" a="1"/>
  <c r="L1528" i="1" a="1"/>
  <c r="L2605" i="1" a="1"/>
  <c r="L2249" i="1" a="1"/>
  <c r="L1054" i="1" a="1"/>
  <c r="L1663" i="1" a="1"/>
  <c r="L41" i="1" a="1"/>
  <c r="L2869" i="1" a="1"/>
  <c r="L2623" i="1" a="1"/>
  <c r="L1205" i="1" a="1"/>
  <c r="L2088" i="1" a="1"/>
  <c r="L1645" i="1" a="1"/>
  <c r="L311" i="1" a="1"/>
  <c r="L337" i="1" a="1"/>
  <c r="L2540" i="1" a="1"/>
  <c r="L1506" i="1" a="1"/>
  <c r="L810" i="1" a="1"/>
  <c r="L204" i="1" a="1"/>
  <c r="L2429" i="1" a="1"/>
  <c r="L3226" i="1" a="1"/>
  <c r="L2386" i="1" a="1"/>
  <c r="L1907" i="1" a="1"/>
  <c r="L1017" i="1" a="1"/>
  <c r="L818" i="1" a="1"/>
  <c r="L42" i="1" a="1"/>
  <c r="L2870" i="1" a="1"/>
  <c r="L2747" i="1" a="1"/>
  <c r="L2199" i="1" a="1"/>
  <c r="L1584" i="1" a="1"/>
  <c r="L1383" i="1" a="1"/>
  <c r="L297" i="1" a="1"/>
  <c r="L3363" i="1" a="1"/>
  <c r="L1092" i="1" a="1"/>
  <c r="L3181" i="1" a="1"/>
  <c r="L176" i="1" a="1"/>
  <c r="L2855" i="1" a="1"/>
  <c r="L2797" i="1" a="1"/>
  <c r="L2352" i="1" a="1"/>
  <c r="L2989" i="1" a="1"/>
  <c r="L1192" i="1" a="1"/>
  <c r="L2931" i="1" a="1"/>
  <c r="L2570" i="1" a="1"/>
  <c r="L2319" i="1" a="1"/>
  <c r="L880" i="1" a="1"/>
  <c r="L2788" i="1" a="1"/>
  <c r="L306" i="1" a="1"/>
  <c r="L236" i="1" a="1"/>
  <c r="L465" i="1" a="1"/>
  <c r="L3030" i="1" a="1"/>
  <c r="L268" i="1" a="1"/>
  <c r="L2577" i="1" a="1"/>
  <c r="L2398" i="1" a="1"/>
  <c r="L2205" i="1" a="1"/>
  <c r="L3231" i="1" a="1"/>
  <c r="L1984" i="1" a="1"/>
  <c r="L3176" i="1" a="1"/>
  <c r="L2999" i="1" a="1"/>
  <c r="L996" i="1" a="1"/>
  <c r="L1388" i="1" a="1"/>
  <c r="L2486" i="1" a="1"/>
  <c r="L1120" i="1" a="1"/>
  <c r="L2566" i="1" a="1"/>
  <c r="L426" i="1" a="1"/>
  <c r="L2774" i="1" a="1"/>
  <c r="L667" i="1" a="1"/>
  <c r="L2587" i="1" a="1"/>
  <c r="L566" i="1" a="1"/>
  <c r="L2209" i="1" a="1"/>
  <c r="L1056" i="1" a="1"/>
  <c r="L1702" i="1" a="1"/>
  <c r="L76" i="1" a="1"/>
  <c r="L1354" i="1" a="1"/>
  <c r="L3056" i="1" a="1"/>
  <c r="L2604" i="1" a="1"/>
  <c r="L1762" i="1" a="1"/>
  <c r="L971" i="1" a="1"/>
  <c r="L407" i="1" a="1"/>
  <c r="L2273" i="1" a="1"/>
  <c r="L1326" i="1" a="1"/>
  <c r="L2565" i="1" a="1"/>
  <c r="L2101" i="1" a="1"/>
  <c r="L1232" i="1" a="1"/>
  <c r="L936" i="1" a="1"/>
  <c r="L134" i="1" a="1"/>
  <c r="L3199" i="1" a="1"/>
  <c r="L1348" i="1" a="1"/>
  <c r="L284" i="1" a="1"/>
  <c r="L1815" i="1" a="1"/>
  <c r="L1447" i="1" a="1"/>
  <c r="L507" i="1" a="1"/>
  <c r="L3095" i="1" a="1"/>
  <c r="L2401" i="1" a="1"/>
  <c r="L409" i="1" a="1"/>
  <c r="L1937" i="1" a="1"/>
  <c r="L1589" i="1" a="1"/>
  <c r="L1104" i="1" a="1"/>
  <c r="L227" i="1" a="1"/>
  <c r="L2771" i="1" a="1"/>
  <c r="L2737" i="1" a="1"/>
  <c r="L2334" i="1" a="1"/>
  <c r="L1211" i="1" a="1"/>
  <c r="L1695" i="1" a="1"/>
  <c r="L226" i="1" a="1"/>
  <c r="L2571" i="1" a="1"/>
  <c r="L2110" i="1" a="1"/>
  <c r="L1248" i="1" a="1"/>
  <c r="L941" i="1" a="1"/>
  <c r="L143" i="1" a="1"/>
  <c r="L3207" i="1" a="1"/>
  <c r="L1380" i="1" a="1"/>
  <c r="L575" i="1" a="1"/>
  <c r="L1820" i="1" a="1"/>
  <c r="L1451" i="1" a="1"/>
  <c r="L532" i="1" a="1"/>
  <c r="L2559" i="1" a="1"/>
  <c r="L2868" i="1" a="1"/>
  <c r="L2671" i="1" a="1"/>
  <c r="L2500" i="1" a="1"/>
  <c r="L1346" i="1" a="1"/>
  <c r="L706" i="1" a="1"/>
  <c r="L73" i="1" a="1"/>
  <c r="L2915" i="1" a="1"/>
  <c r="L3301" i="1" a="1"/>
  <c r="L1924" i="1" a="1"/>
  <c r="L1179" i="1" a="1"/>
  <c r="L144" i="1" a="1"/>
  <c r="L219" i="1" a="1"/>
  <c r="L129" i="1" a="1"/>
  <c r="L2230" i="1" a="1"/>
  <c r="L2919" i="1" a="1"/>
  <c r="L1239" i="1" a="1"/>
  <c r="L151" i="1" a="1"/>
  <c r="L925" i="1" a="1"/>
  <c r="L696" i="1" a="1"/>
  <c r="L2182" i="1" a="1"/>
  <c r="L3058" i="1" a="1"/>
  <c r="L2242" i="1" a="1"/>
  <c r="L1678" i="1" a="1"/>
  <c r="L847" i="1" a="1"/>
  <c r="L690" i="1" a="1"/>
  <c r="L307" i="1" a="1"/>
  <c r="L1352" i="1" a="1"/>
  <c r="L1473" i="1" a="1"/>
  <c r="L978" i="1" a="1"/>
  <c r="L468" i="1" a="1"/>
  <c r="L2105" i="1" a="1"/>
  <c r="L2681" i="1" a="1"/>
  <c r="L2271" i="1" a="1"/>
  <c r="L1151" i="1" a="1"/>
  <c r="L1675" i="1" a="1"/>
  <c r="L118" i="1" a="1"/>
  <c r="L3251" i="1" a="1"/>
  <c r="L2704" i="1" a="1"/>
  <c r="L2553" i="1" a="1"/>
  <c r="L2468" i="1" a="1"/>
  <c r="L1215" i="1" a="1"/>
  <c r="L571" i="1" a="1"/>
  <c r="L621" i="1" a="1"/>
  <c r="L3328" i="1" a="1"/>
  <c r="L1559" i="1" a="1"/>
  <c r="L2618" i="1" a="1"/>
  <c r="L3057" i="1" a="1"/>
  <c r="L2957" i="1" a="1"/>
  <c r="L1683" i="1" a="1"/>
  <c r="L2326" i="1" a="1"/>
  <c r="L1578" i="1" a="1"/>
  <c r="L1703" i="1" a="1"/>
  <c r="L553" i="1" a="1"/>
  <c r="L1588" i="1" a="1"/>
  <c r="L1707" i="1" a="1"/>
  <c r="L704" i="1" a="1"/>
  <c r="L3033" i="1" a="1"/>
  <c r="L375" i="1" a="1"/>
  <c r="L954" i="1" a="1"/>
  <c r="L2257" i="1" a="1"/>
  <c r="L2778" i="1" a="1"/>
  <c r="L1078" i="1" a="1"/>
  <c r="L2435" i="1" a="1"/>
  <c r="L672" i="1" a="1"/>
  <c r="L2159" i="1" a="1"/>
  <c r="L1688" i="1" a="1"/>
  <c r="L1710" i="1" a="1"/>
  <c r="L1525" i="1" a="1"/>
  <c r="L1040" i="1" a="1"/>
  <c r="L520" i="1" a="1"/>
  <c r="L2602" i="1" a="1"/>
  <c r="L2485" i="1" a="1"/>
  <c r="L2139" i="1" a="1"/>
  <c r="L938" i="1" a="1"/>
  <c r="L1631" i="1" a="1"/>
  <c r="L509" i="1" a="1"/>
  <c r="L2123" i="1" a="1"/>
  <c r="L2555" i="1" a="1"/>
  <c r="L2407" i="1" a="1"/>
  <c r="L2424" i="1" a="1"/>
  <c r="L1079" i="1" a="1"/>
  <c r="L210" i="1" a="1"/>
  <c r="L577" i="1" a="1"/>
  <c r="L1316" i="1" a="1"/>
  <c r="L653" i="1" a="1"/>
  <c r="L986" i="1" a="1"/>
  <c r="L712" i="1" a="1"/>
  <c r="L3116" i="1" a="1"/>
  <c r="L2657" i="1" a="1"/>
  <c r="L1480" i="1" a="1"/>
  <c r="L2120" i="1" a="1"/>
  <c r="L1661" i="1" a="1"/>
  <c r="L453" i="1" a="1"/>
  <c r="L62" i="1" a="1"/>
  <c r="L2114" i="1" a="1"/>
  <c r="L3105" i="1" a="1"/>
  <c r="L2759" i="1" a="1"/>
  <c r="L1808" i="1" a="1"/>
  <c r="L853" i="1" a="1"/>
  <c r="L498" i="1" a="1"/>
  <c r="L2986" i="1" a="1"/>
  <c r="L3146" i="1" a="1"/>
  <c r="L2830" i="1" a="1"/>
  <c r="L2560" i="1" a="1"/>
  <c r="L1596" i="1" a="1"/>
  <c r="L884" i="1" a="1"/>
  <c r="L270" i="1" a="1"/>
  <c r="L2769" i="1" a="1"/>
  <c r="L2935" i="1" a="1"/>
  <c r="L2162" i="1" a="1"/>
  <c r="L1536" i="1" a="1"/>
  <c r="L730" i="1" a="1"/>
  <c r="L606" i="1" a="1"/>
  <c r="L248" i="1" a="1"/>
  <c r="L2214" i="1" a="1"/>
  <c r="L2075" i="1" a="1"/>
  <c r="L2028" i="1" a="1"/>
  <c r="L1270" i="1" a="1"/>
  <c r="L1307" i="1" a="1"/>
  <c r="L25" i="1" a="1"/>
  <c r="L2839" i="1" a="1"/>
  <c r="L1890" i="1" a="1"/>
  <c r="L1007" i="1" a="1"/>
  <c r="L634" i="1" a="1"/>
  <c r="L2805" i="1" a="1"/>
  <c r="L1875" i="1" a="1"/>
  <c r="L3321" i="1" a="1"/>
  <c r="L755" i="1" a="1"/>
  <c r="L1961" i="1" a="1"/>
  <c r="L711" i="1" a="1"/>
  <c r="L644" i="1" a="1"/>
  <c r="L2953" i="1" a="1"/>
  <c r="L2625" i="1" a="1"/>
  <c r="L2765" i="1" a="1"/>
  <c r="L2284" i="1" a="1"/>
  <c r="L1337" i="1" a="1"/>
  <c r="L595" i="1" a="1"/>
  <c r="L317" i="1" a="1"/>
  <c r="L3191" i="1" a="1"/>
  <c r="L1204" i="1" a="1"/>
  <c r="L35" i="1" a="1"/>
  <c r="L1806" i="1" a="1"/>
  <c r="L1443" i="1" a="1"/>
  <c r="L491" i="1" a="1"/>
  <c r="L2848" i="1" a="1"/>
  <c r="L2393" i="1" a="1"/>
  <c r="L2056" i="1" a="1"/>
  <c r="L1930" i="1" a="1"/>
  <c r="L1585" i="1" a="1"/>
  <c r="L1100" i="1" a="1"/>
  <c r="L218" i="1" a="1"/>
  <c r="L2678" i="1" a="1"/>
  <c r="L2982" i="1" a="1"/>
  <c r="L2583" i="1" a="1"/>
  <c r="L1548" i="1" a="1"/>
  <c r="L127" i="1" a="1"/>
  <c r="L27" i="1" a="1"/>
  <c r="L2221" i="1" a="1"/>
  <c r="L1576" i="1" a="1"/>
  <c r="L815" i="1" a="1"/>
  <c r="L659" i="1" a="1"/>
  <c r="L280" i="1" a="1"/>
  <c r="L2387" i="1" a="1"/>
  <c r="L2269" i="1" a="1"/>
  <c r="L2076" i="1" a="1"/>
  <c r="L1334" i="1" a="1"/>
  <c r="L1323" i="1" a="1"/>
  <c r="L83" i="1" a="1"/>
  <c r="L3147" i="1" a="1"/>
  <c r="L2342" i="1" a="1"/>
  <c r="L1927" i="1" a="1"/>
  <c r="L1857" i="1" a="1"/>
  <c r="L2930" i="1" a="1"/>
  <c r="L3145" i="1" a="1"/>
  <c r="L951" i="1" a="1"/>
  <c r="L2118" i="1" a="1"/>
  <c r="L2703" i="1" a="1"/>
  <c r="L1896" i="1" a="1"/>
  <c r="L1501" i="1" a="1"/>
  <c r="L251" i="1" a="1"/>
  <c r="L2937" i="1" a="1"/>
  <c r="L1505" i="1" a="1"/>
  <c r="L265" i="1" a="1"/>
  <c r="L2721" i="1" a="1"/>
  <c r="L2920" i="1" a="1"/>
  <c r="L128" i="1" a="1"/>
  <c r="L922" i="1" a="1"/>
  <c r="L2018" i="1" a="1"/>
  <c r="L2288" i="1" a="1"/>
  <c r="L952" i="1" a="1"/>
  <c r="L2893" i="1" a="1"/>
  <c r="L396" i="1" a="1"/>
  <c r="L2134" i="1" a="1"/>
  <c r="L2629" i="1" a="1"/>
  <c r="L2151" i="1" a="1"/>
  <c r="L1269" i="1" a="1"/>
  <c r="L982" i="1" a="1"/>
  <c r="L180" i="1" a="1"/>
  <c r="L2833" i="1" a="1"/>
  <c r="L2691" i="1" a="1"/>
  <c r="L2181" i="1" a="1"/>
  <c r="L1552" i="1" a="1"/>
  <c r="L1375" i="1" a="1"/>
  <c r="L279" i="1" a="1"/>
  <c r="L3316" i="1" a="1"/>
  <c r="L2503" i="1" a="1"/>
  <c r="L949" i="1" a="1"/>
  <c r="L2003" i="1" a="1"/>
  <c r="L1613" i="1" a="1"/>
  <c r="L18" i="1" a="1"/>
  <c r="L273" i="1" a="1"/>
  <c r="L2508" i="1" a="1"/>
  <c r="L1378" i="1" a="1"/>
  <c r="L725" i="1" a="1"/>
  <c r="L102" i="1" a="1"/>
  <c r="L3216" i="1" a="1"/>
  <c r="L956" i="1" a="1"/>
  <c r="L2904" i="1" a="1"/>
  <c r="L1027" i="1" a="1"/>
  <c r="L1405" i="1" a="1"/>
  <c r="L813" i="1" a="1"/>
  <c r="L400" i="1" a="1"/>
  <c r="L1905" i="1" a="1"/>
  <c r="L2434" i="1" a="1"/>
  <c r="L2051" i="1" a="1"/>
  <c r="L817" i="1" a="1"/>
  <c r="L1607" i="1" a="1"/>
  <c r="L441" i="1" a="1"/>
  <c r="L2669" i="1" a="1"/>
  <c r="L2901" i="1" a="1"/>
  <c r="L1243" i="1" a="1"/>
  <c r="L2298" i="1" a="1"/>
  <c r="L1749" i="1" a="1"/>
  <c r="L795" i="1" a="1"/>
  <c r="L333" i="1" a="1"/>
  <c r="L2049" i="1" a="1"/>
  <c r="L3097" i="1" a="1"/>
  <c r="L2743" i="1" a="1"/>
  <c r="L1794" i="1" a="1"/>
  <c r="L833" i="1" a="1"/>
  <c r="L431" i="1" a="1"/>
  <c r="L2947" i="1" a="1"/>
  <c r="L885" i="1" a="1"/>
  <c r="L3013" i="1" a="1"/>
  <c r="L2648" i="1" a="1"/>
  <c r="L1865" i="1" a="1"/>
  <c r="L618" i="1" a="1"/>
  <c r="L536" i="1" a="1"/>
  <c r="L2198" i="1" a="1"/>
  <c r="L1013" i="1" a="1"/>
  <c r="L1647" i="1" a="1"/>
  <c r="L543" i="1" a="1"/>
  <c r="L2645" i="1" a="1"/>
  <c r="L2589" i="1" a="1"/>
  <c r="L2441" i="1" a="1"/>
  <c r="L2440" i="1" a="1"/>
  <c r="L1138" i="1" a="1"/>
  <c r="L377" i="1" a="1"/>
  <c r="L593" i="1" a="1"/>
  <c r="L1956" i="1" a="1"/>
  <c r="L2761" i="1" a="1"/>
  <c r="L2089" i="1" a="1"/>
  <c r="L1320" i="1" a="1"/>
  <c r="L608" i="1" a="1"/>
  <c r="L477" i="1" a="1"/>
  <c r="L202" i="1" a="1"/>
  <c r="L2394" i="1" a="1"/>
  <c r="L3126" i="1" a="1"/>
  <c r="L1438" i="1" a="1"/>
  <c r="L769" i="1" a="1"/>
  <c r="L1033" i="1" a="1"/>
  <c r="L732" i="1" a="1"/>
  <c r="L2926" i="1" a="1"/>
  <c r="L2599" i="1" a="1"/>
  <c r="L2749" i="1" a="1"/>
  <c r="L2270" i="1" a="1"/>
  <c r="L1329" i="1" a="1"/>
  <c r="L478" i="1" a="1"/>
  <c r="L303" i="1" a="1"/>
  <c r="L3367" i="1" a="1"/>
  <c r="L2187" i="1" a="1"/>
  <c r="L1338" i="1" a="1"/>
  <c r="L1980" i="1" a="1"/>
  <c r="L1531" i="1" a="1"/>
  <c r="L158" i="1" a="1"/>
  <c r="L2775" i="1" a="1"/>
  <c r="L1826" i="1" a="1"/>
  <c r="L871" i="1" a="1"/>
  <c r="L538" i="1" a="1"/>
  <c r="L2954" i="1" a="1"/>
  <c r="L1212" i="1" a="1"/>
  <c r="L3045" i="1" a="1"/>
  <c r="L2664" i="1" a="1"/>
  <c r="L1897" i="1" a="1"/>
  <c r="L403" i="1" a="1"/>
  <c r="L582" i="1" a="1"/>
  <c r="L2742" i="1" a="1"/>
  <c r="L2446" i="1" a="1"/>
  <c r="L2701" i="1" a="1"/>
  <c r="L737" i="1" a="1"/>
  <c r="L2970" i="1" a="1"/>
  <c r="L2069" i="1" a="1"/>
  <c r="L2320" i="1" a="1"/>
  <c r="L588" i="1" a="1"/>
  <c r="L1140" i="1" a="1"/>
  <c r="L1016" i="1" a="1"/>
  <c r="L3175" i="1" a="1"/>
  <c r="L3193" i="1" a="1"/>
  <c r="L1020" i="1" a="1"/>
  <c r="L3002" i="1" a="1"/>
  <c r="L2377" i="1" a="1"/>
  <c r="L2245" i="1" a="1"/>
  <c r="L3172" i="1" a="1"/>
  <c r="L1389" i="1" a="1"/>
  <c r="L1729" i="1" a="1"/>
  <c r="L3173" i="1" a="1"/>
  <c r="L91" i="1" a="1"/>
  <c r="L1132" i="1" a="1"/>
  <c r="L2458" i="1" a="1"/>
  <c r="L3261" i="1" a="1"/>
  <c r="L1807" i="1" a="1"/>
  <c r="L802" i="1" a="1"/>
  <c r="L1219" i="1" a="1"/>
  <c r="L611" i="1" a="1"/>
  <c r="L88" i="1" a="1"/>
  <c r="L2084" i="1" a="1"/>
  <c r="L3357" i="1" a="1"/>
  <c r="L984" i="1" a="1"/>
  <c r="L2002" i="1" a="1"/>
  <c r="L809" i="1" a="1"/>
  <c r="L664" i="1" a="1"/>
  <c r="L3050" i="1" a="1"/>
  <c r="L2783" i="1" a="1"/>
  <c r="L2808" i="1" a="1"/>
  <c r="L528" i="1" a="1"/>
  <c r="L1357" i="1" a="1"/>
  <c r="L685" i="1" a="1"/>
  <c r="L352" i="1" a="1"/>
  <c r="L2193" i="1" a="1"/>
  <c r="L1697" i="1" a="1"/>
  <c r="L655" i="1" a="1"/>
  <c r="L172" i="1" a="1"/>
  <c r="L2903" i="1" a="1"/>
  <c r="L3110" i="1" a="1"/>
  <c r="L2301" i="1" a="1"/>
  <c r="L1812" i="1" a="1"/>
  <c r="L911" i="1" a="1"/>
  <c r="L733" i="1" a="1"/>
  <c r="L339" i="1" a="1"/>
  <c r="L2699" i="1" a="1"/>
  <c r="L2471" i="1" a="1"/>
  <c r="L2135" i="1" a="1"/>
  <c r="L1456" i="1" a="1"/>
  <c r="L1351" i="1" a="1"/>
  <c r="L213" i="1" a="1"/>
  <c r="L3012" i="1" a="1"/>
  <c r="L2058" i="1" a="1"/>
  <c r="L1524" i="1" a="1"/>
  <c r="L1496" i="1" a="1"/>
  <c r="L1493" i="1" a="1"/>
  <c r="L1008" i="1" a="1"/>
  <c r="L488" i="1" a="1"/>
  <c r="L3315" i="1" a="1"/>
  <c r="L2365" i="1" a="1"/>
  <c r="L2005" i="1" a="1"/>
  <c r="L757" i="1" a="1"/>
  <c r="L1599" i="1" a="1"/>
  <c r="L394" i="1" a="1"/>
  <c r="L3155" i="1" a="1"/>
  <c r="L3073" i="1" a="1"/>
  <c r="L2274" i="1" a="1"/>
  <c r="L2392" i="1" a="1"/>
  <c r="L915" i="1" a="1"/>
  <c r="L965" i="1" a="1"/>
  <c r="L545" i="1" a="1"/>
  <c r="L2213" i="1" a="1"/>
  <c r="L1616" i="1" a="1"/>
  <c r="L1391" i="1" a="1"/>
  <c r="L338" i="1" a="1"/>
  <c r="L2362" i="1" a="1"/>
  <c r="L2537" i="1" a="1"/>
  <c r="L1118" i="1" a="1"/>
  <c r="L2061" i="1" a="1"/>
  <c r="L1629" i="1" a="1"/>
  <c r="L182" i="1" a="1"/>
  <c r="L305" i="1" a="1"/>
  <c r="L1632" i="1" a="1"/>
  <c r="L3067" i="1" a="1"/>
  <c r="L2695" i="1" a="1"/>
  <c r="L1714" i="1" a="1"/>
  <c r="L713" i="1" a="1"/>
  <c r="L347" i="1" a="1"/>
  <c r="L3156" i="1" a="1"/>
  <c r="L3047" i="1" a="1"/>
  <c r="L2751" i="1" a="1"/>
  <c r="L2528" i="1" a="1"/>
  <c r="L1468" i="1" a="1"/>
  <c r="L779" i="1" a="1"/>
  <c r="L178" i="1" a="1"/>
  <c r="L3355" i="1" a="1"/>
  <c r="L3361" i="1" a="1"/>
  <c r="L2052" i="1" a="1"/>
  <c r="L1300" i="1" a="1"/>
  <c r="L495" i="1" a="1"/>
  <c r="L410" i="1" a="1"/>
  <c r="L184" i="1" a="1"/>
  <c r="L1368" i="1" a="1"/>
  <c r="L1082" i="1" a="1"/>
  <c r="L1918" i="1" a="1"/>
  <c r="L1165" i="1" a="1"/>
  <c r="L1275" i="1" a="1"/>
  <c r="L820" i="1" a="1"/>
  <c r="L2081" i="1" a="1"/>
  <c r="L865" i="1" a="1"/>
  <c r="L1615" i="1" a="1"/>
  <c r="L451" i="1" a="1"/>
  <c r="L1498" i="1" a="1"/>
  <c r="L2522" i="1" a="1"/>
  <c r="L2374" i="1" a="1"/>
  <c r="L2408" i="1" a="1"/>
  <c r="L1018" i="1" a="1"/>
  <c r="L51" i="1" a="1"/>
  <c r="L561" i="1" a="1"/>
  <c r="L3039" i="1" a="1"/>
  <c r="L3309" i="1" a="1"/>
  <c r="L1935" i="1" a="1"/>
  <c r="L1206" i="1" a="1"/>
  <c r="L2638" i="1" a="1"/>
  <c r="L1156" i="1" a="1"/>
  <c r="L479" i="1" a="1"/>
  <c r="L3227" i="1" a="1"/>
  <c r="L3351" i="1" a="1"/>
  <c r="L1263" i="1" a="1"/>
  <c r="L496" i="1" a="1"/>
  <c r="L2453" i="1" a="1"/>
  <c r="L1025" i="1" a="1"/>
  <c r="L500" i="1" a="1"/>
  <c r="L2259" i="1" a="1"/>
  <c r="L2696" i="1" a="1"/>
  <c r="L2161" i="1" a="1"/>
  <c r="L2397" i="1" a="1"/>
  <c r="L1627" i="1" a="1"/>
  <c r="L1150" i="1" a="1"/>
  <c r="L3015" i="1" a="1"/>
  <c r="L708" i="1" a="1"/>
  <c r="L1011" i="1" a="1"/>
  <c r="L1978" i="1" a="1"/>
  <c r="L2934" i="1" a="1"/>
  <c r="L2519" i="1" a="1"/>
  <c r="L1452" i="1" a="1"/>
  <c r="L1763" i="1" a="1"/>
  <c r="L530" i="1" a="1"/>
  <c r="L3195" i="1" a="1"/>
  <c r="L2689" i="1" a="1"/>
  <c r="L2535" i="1" a="1"/>
  <c r="L2460" i="1" a="1"/>
  <c r="L1181" i="1" a="1"/>
  <c r="L526" i="1" a="1"/>
  <c r="L613" i="1" a="1"/>
  <c r="L2713" i="1" a="1"/>
  <c r="L2908" i="1" a="1"/>
  <c r="L2148" i="1" a="1"/>
  <c r="L1464" i="1" a="1"/>
  <c r="L681" i="1" a="1"/>
  <c r="L584" i="1" a="1"/>
  <c r="L243" i="1" a="1"/>
  <c r="L1195" i="1" a="1"/>
  <c r="L1441" i="1" a="1"/>
  <c r="L914" i="1" a="1"/>
  <c r="L436" i="1" a="1"/>
  <c r="L2593" i="1" a="1"/>
  <c r="L3141" i="1" a="1"/>
  <c r="L2834" i="1" a="1"/>
  <c r="L1881" i="1" a="1"/>
  <c r="L988" i="1" a="1"/>
  <c r="L622" i="1" a="1"/>
  <c r="L3307" i="1" a="1"/>
  <c r="L1828" i="1" a="1"/>
  <c r="L3313" i="1" a="1"/>
  <c r="L662" i="1" a="1"/>
  <c r="L1952" i="1" a="1"/>
  <c r="L699" i="1" a="1"/>
  <c r="L640" i="1" a="1"/>
  <c r="L2166" i="1" a="1"/>
  <c r="L1133" i="1" a="1"/>
  <c r="L2539" i="1" a="1"/>
  <c r="L2087" i="1" a="1"/>
  <c r="L1200" i="1" a="1"/>
  <c r="L918" i="1" a="1"/>
  <c r="L116" i="1" a="1"/>
  <c r="L2611" i="1" a="1"/>
  <c r="L2438" i="1" a="1"/>
  <c r="L2117" i="1" a="1"/>
  <c r="L1424" i="1" a="1"/>
  <c r="L1343" i="1" a="1"/>
  <c r="L188" i="1" a="1"/>
  <c r="L2585" i="1" a="1"/>
  <c r="L2383" i="1" a="1"/>
  <c r="L2033" i="1" a="1"/>
  <c r="L1908" i="1" a="1"/>
  <c r="L1581" i="1" a="1"/>
  <c r="L1096" i="1" a="1"/>
  <c r="L209" i="1" a="1"/>
  <c r="L1186" i="1" a="1"/>
  <c r="L2034" i="1" a="1"/>
  <c r="L861" i="1" a="1"/>
  <c r="L680" i="1" a="1"/>
  <c r="L3111" i="1" a="1"/>
  <c r="L2936" i="1" a="1"/>
  <c r="L2840" i="1" a="1"/>
  <c r="L860" i="1" a="1"/>
  <c r="L1373" i="1" a="1"/>
  <c r="L727" i="1" a="1"/>
  <c r="L368" i="1" a="1"/>
  <c r="L3103" i="1" a="1"/>
  <c r="L2314" i="1" a="1"/>
  <c r="L1876" i="1" a="1"/>
  <c r="L2071" i="1" a="1"/>
  <c r="L1575" i="1" a="1"/>
  <c r="L316" i="1" a="1"/>
  <c r="L2251" i="1" a="1"/>
  <c r="L2810" i="1" a="1"/>
  <c r="L1860" i="1" a="1"/>
  <c r="L2234" i="1" a="1"/>
  <c r="L1717" i="1" a="1"/>
  <c r="L710" i="1" a="1"/>
  <c r="L245" i="1" a="1"/>
  <c r="L1466" i="1" a="1"/>
  <c r="L3051" i="1" a="1"/>
  <c r="L2679" i="1" a="1"/>
  <c r="L1682" i="1" a="1"/>
  <c r="L689" i="1" a="1"/>
  <c r="L320" i="1" a="1"/>
  <c r="L2406" i="1" a="1"/>
  <c r="L3306" i="1" a="1"/>
  <c r="L2949" i="1" a="1"/>
  <c r="L2616" i="1" a="1"/>
  <c r="L1801" i="1" a="1"/>
  <c r="L165" i="1" a="1"/>
  <c r="L454" i="1" a="1"/>
  <c r="L2149" i="1" a="1"/>
  <c r="L1488" i="1" a="1"/>
  <c r="L1359" i="1" a="1"/>
  <c r="L238" i="1" a="1"/>
  <c r="L3196" i="1" a="1"/>
  <c r="L2470" i="1" a="1"/>
  <c r="L686" i="1" a="1"/>
  <c r="L1959" i="1" a="1"/>
  <c r="L1597" i="1" a="1"/>
  <c r="L1112" i="1" a="1"/>
  <c r="L241" i="1" a="1"/>
  <c r="L2975" i="1" a="1"/>
  <c r="L3003" i="1" a="1"/>
  <c r="L2615" i="1" a="1"/>
  <c r="L23" i="1" a="1"/>
  <c r="L2859" i="1" a="1"/>
  <c r="L1544" i="1" a="1"/>
  <c r="L1587" i="1" a="1"/>
  <c r="L1523" i="1" a="1"/>
  <c r="L808" i="1" a="1"/>
  <c r="L2959" i="1" a="1"/>
  <c r="L2304" i="1" a="1"/>
  <c r="L1986" i="1" a="1"/>
  <c r="L3001" i="1" a="1"/>
  <c r="L2967" i="1" a="1"/>
  <c r="L2215" i="1" a="1"/>
  <c r="L1680" i="1" a="1"/>
  <c r="L3021" i="1" a="1"/>
  <c r="L770" i="1" a="1"/>
  <c r="L741" i="1" a="1"/>
  <c r="L474" i="1" a="1"/>
  <c r="L2127" i="1" a="1"/>
  <c r="L2016" i="1" a="1"/>
  <c r="L3319" i="1" a="1"/>
  <c r="L2055" i="1" a="1"/>
  <c r="L1170" i="1" a="1"/>
  <c r="L1934" i="1" a="1"/>
  <c r="L1507" i="1" a="1"/>
  <c r="L87" i="1" a="1"/>
  <c r="L2948" i="1" a="1"/>
  <c r="L2631" i="1" a="1"/>
  <c r="L1229" i="1" a="1"/>
  <c r="L2097" i="1" a="1"/>
  <c r="L1649" i="1" a="1"/>
  <c r="L331" i="1" a="1"/>
  <c r="L19" i="1" a="1"/>
  <c r="L1999" i="1" a="1"/>
  <c r="L3093" i="1" a="1"/>
  <c r="L2738" i="1" a="1"/>
  <c r="L1783" i="1" a="1"/>
  <c r="L822" i="1" a="1"/>
  <c r="L422" i="1" a="1"/>
  <c r="L2405" i="1" a="1"/>
  <c r="L1914" i="1" a="1"/>
  <c r="L1035" i="1" a="1"/>
  <c r="L823" i="1" a="1"/>
  <c r="L47" i="1" a="1"/>
  <c r="L2863" i="1" a="1"/>
  <c r="L2562" i="1" a="1"/>
  <c r="L2176" i="1" a="1"/>
  <c r="L993" i="1" a="1"/>
  <c r="L1643" i="1" a="1"/>
  <c r="L534" i="1" a="1"/>
  <c r="L2534" i="1" a="1"/>
  <c r="L2581" i="1" a="1"/>
  <c r="L2433" i="1" a="1"/>
  <c r="L2436" i="1" a="1"/>
  <c r="L1130" i="1" a="1"/>
  <c r="L362" i="1" a="1"/>
  <c r="L589" i="1" a="1"/>
  <c r="L3131" i="1" a="1"/>
  <c r="L3229" i="1" a="1"/>
  <c r="L1604" i="1" a="1"/>
  <c r="L2059" i="1" a="1"/>
  <c r="L1177" i="1" a="1"/>
  <c r="L490" i="1" a="1"/>
  <c r="L56" i="1" a="1"/>
  <c r="L1646" i="1" a="1"/>
  <c r="L3297" i="1" a="1"/>
  <c r="L563" i="1" a="1"/>
  <c r="L1938" i="1" a="1"/>
  <c r="L637" i="1" a="1"/>
  <c r="L632" i="1" a="1"/>
  <c r="L2892" i="1" a="1"/>
  <c r="L2582" i="1" a="1"/>
  <c r="L2744" i="1" a="1"/>
  <c r="L2261" i="1" a="1"/>
  <c r="L1325" i="1" a="1"/>
  <c r="L437" i="1" a="1"/>
  <c r="L294" i="1" a="1"/>
  <c r="L2476" i="1" a="1"/>
  <c r="L1233" i="1" a="1"/>
  <c r="L620" i="1" a="1"/>
  <c r="L629" i="1" a="1"/>
  <c r="L3083" i="1" a="1"/>
  <c r="L2983" i="1" a="1"/>
  <c r="L2191" i="1" a="1"/>
  <c r="L1566" i="1" a="1"/>
  <c r="L766" i="1" a="1"/>
  <c r="L647" i="1" a="1"/>
  <c r="L275" i="1" a="1"/>
  <c r="L2338" i="1" a="1"/>
  <c r="L2210" i="1" a="1"/>
  <c r="L2070" i="1" a="1"/>
  <c r="L1328" i="1" a="1"/>
  <c r="L1319" i="1" a="1"/>
  <c r="L65" i="1" a="1"/>
  <c r="L2224" i="1" a="1"/>
  <c r="L1850" i="1" a="1"/>
  <c r="L1135" i="1" a="1"/>
  <c r="L1322" i="1" a="1"/>
  <c r="L1461" i="1" a="1"/>
  <c r="L955" i="1" a="1"/>
  <c r="L456" i="1" a="1"/>
  <c r="L2927" i="1" a="1"/>
  <c r="L2296" i="1" a="1"/>
  <c r="L1779" i="1" a="1"/>
  <c r="L2053" i="1" a="1"/>
  <c r="L1567" i="1" a="1"/>
  <c r="L292" i="1" a="1"/>
  <c r="L3011" i="1" a="1"/>
  <c r="L3009" i="1" a="1"/>
  <c r="L2079" i="1" a="1"/>
  <c r="L2360" i="1" a="1"/>
  <c r="L387" i="1" a="1"/>
  <c r="L901" i="1" a="1"/>
  <c r="L493" i="1" a="1"/>
  <c r="L867" i="1" a="1"/>
  <c r="L1970" i="1" a="1"/>
  <c r="L723" i="1" a="1"/>
  <c r="L648" i="1" a="1"/>
  <c r="L2980" i="1" a="1"/>
  <c r="L2683" i="1" a="1"/>
  <c r="L2776" i="1" a="1"/>
  <c r="L2293" i="1" a="1"/>
  <c r="L1341" i="1" a="1"/>
  <c r="L615" i="1" a="1"/>
  <c r="L326" i="1" a="1"/>
  <c r="L2371" i="1" a="1"/>
  <c r="L2226" i="1" a="1"/>
  <c r="L1486" i="1" a="1"/>
  <c r="L2558" i="1" a="1"/>
  <c r="L753" i="1" a="1"/>
  <c r="L97" i="1" a="1"/>
  <c r="L2186" i="1" a="1"/>
  <c r="L2886" i="1" a="1"/>
  <c r="L3135" i="1" a="1"/>
  <c r="L2752" i="1" a="1"/>
  <c r="L2400" i="1" a="1"/>
  <c r="L1129" i="1" a="1"/>
  <c r="L2773" i="1" a="1"/>
  <c r="L1274" i="1" a="1"/>
  <c r="L1301" i="1" a="1"/>
  <c r="L1681" i="1" a="1"/>
  <c r="L2477" i="1" a="1"/>
  <c r="L467" i="1" a="1"/>
  <c r="L371" i="1" a="1"/>
  <c r="L1294" i="1" a="1"/>
  <c r="L3208" i="1" a="1"/>
  <c r="L1401" i="1" a="1"/>
  <c r="L3048" i="1" a="1"/>
  <c r="L3326" i="1" a="1"/>
  <c r="L1845" i="1" a="1"/>
  <c r="L1091" i="1" a="1"/>
  <c r="L1240" i="1" a="1"/>
  <c r="L796" i="1" a="1"/>
  <c r="L3192" i="1" a="1"/>
  <c r="L3069" i="1" a="1"/>
  <c r="L2877" i="1" a="1"/>
  <c r="L977" i="1" a="1"/>
  <c r="L1393" i="1" a="1"/>
  <c r="L782" i="1" a="1"/>
  <c r="L388" i="1" a="1"/>
  <c r="L3291" i="1" a="1"/>
  <c r="L2357" i="1" a="1"/>
  <c r="L1982" i="1" a="1"/>
  <c r="L738" i="1" a="1"/>
  <c r="L1595" i="1" a="1"/>
  <c r="L389" i="1" a="1"/>
  <c r="L665" i="1" a="1"/>
  <c r="L1954" i="1" a="1"/>
  <c r="L1085" i="1" a="1"/>
  <c r="L109" i="1" a="1"/>
  <c r="L3238" i="1" a="1"/>
  <c r="L2905" i="1" a="1"/>
  <c r="L2762" i="1" a="1"/>
  <c r="L2204" i="1" a="1"/>
  <c r="L1590" i="1" a="1"/>
  <c r="L1387" i="1" a="1"/>
  <c r="L322" i="1" a="1"/>
  <c r="L2262" i="1" a="1"/>
  <c r="L2529" i="1" a="1"/>
  <c r="L1089" i="1" a="1"/>
  <c r="L2054" i="1" a="1"/>
  <c r="L1625" i="1" a="1"/>
  <c r="L164" i="1" a="1"/>
  <c r="L296" i="1" a="1"/>
  <c r="L3236" i="1" a="1"/>
  <c r="L2837" i="1" a="1"/>
  <c r="L2430" i="1" a="1"/>
  <c r="L1324" i="1" a="1"/>
  <c r="L1731" i="1" a="1"/>
  <c r="L369" i="1" a="1"/>
  <c r="L2253" i="1" a="1"/>
  <c r="L2563" i="1" a="1"/>
  <c r="L2415" i="1" a="1"/>
  <c r="L2428" i="1" a="1"/>
  <c r="L1101" i="1" a="1"/>
  <c r="L299" i="1" a="1"/>
  <c r="L581" i="1" a="1"/>
  <c r="L3323" i="1" a="1"/>
  <c r="L3353" i="1" a="1"/>
  <c r="L2029" i="1" a="1"/>
  <c r="L1290" i="1" a="1"/>
  <c r="L469" i="1" a="1"/>
  <c r="L395" i="1" a="1"/>
  <c r="L179" i="1" a="1"/>
  <c r="L2129" i="1" a="1"/>
  <c r="L1665" i="1" a="1"/>
  <c r="L494" i="1" a="1"/>
  <c r="L71" i="1" a="1"/>
  <c r="L2244" i="1" a="1"/>
  <c r="L3109" i="1" a="1"/>
  <c r="L2770" i="1" a="1"/>
  <c r="L1817" i="1" a="1"/>
  <c r="L862" i="1" a="1"/>
  <c r="L523" i="1" a="1"/>
  <c r="L3100" i="1" a="1"/>
  <c r="L1123" i="1" a="1"/>
  <c r="L3040" i="1" a="1"/>
  <c r="L2660" i="1" a="1"/>
  <c r="L1888" i="1" a="1"/>
  <c r="L167" i="1" a="1"/>
  <c r="L568" i="1" a="1"/>
  <c r="L1189" i="1" a="1"/>
  <c r="L3302" i="1" a="1"/>
  <c r="L2450" i="1" a="1"/>
  <c r="L1987" i="1" a="1"/>
  <c r="L1081" i="1" a="1"/>
  <c r="L854" i="1" a="1"/>
  <c r="L74" i="1" a="1"/>
  <c r="L2241" i="1" a="1"/>
  <c r="L2143" i="1" a="1"/>
  <c r="L2035" i="1" a="1"/>
  <c r="L1296" i="1" a="1"/>
  <c r="L1311" i="1" a="1"/>
  <c r="L45" i="1" a="1"/>
  <c r="L2916" i="1" a="1"/>
  <c r="L2258" i="1" a="1"/>
  <c r="L1799" i="1" a="1"/>
  <c r="L1805" i="1" a="1"/>
  <c r="L1549" i="1" a="1"/>
  <c r="L1064" i="1" a="1"/>
  <c r="L145" i="1" a="1"/>
  <c r="L2444" i="1" a="1"/>
  <c r="L1147" i="1" a="1"/>
  <c r="L393" i="1" a="1"/>
  <c r="L597" i="1" a="1"/>
  <c r="L2098" i="1" a="1"/>
  <c r="L2796" i="1" a="1"/>
  <c r="L2096" i="1" a="1"/>
  <c r="L1382" i="1" a="1"/>
  <c r="L630" i="1" a="1"/>
  <c r="L503" i="1" a="1"/>
  <c r="L211" i="1" a="1"/>
  <c r="L2047" i="1" a="1"/>
  <c r="L1809" i="1" a="1"/>
  <c r="L1969" i="1" a="1"/>
  <c r="L2370" i="1" a="1"/>
  <c r="L1450" i="1" a="1"/>
  <c r="L1658" i="1" a="1"/>
  <c r="L1303" i="1" a="1"/>
  <c r="L345" i="1" a="1"/>
  <c r="L2091" i="1" a="1"/>
  <c r="L2359" i="1" a="1"/>
  <c r="L998" i="1" a="1"/>
  <c r="L256" i="1" a="1"/>
  <c r="L2366" i="1" a="1"/>
  <c r="L324" i="1" a="1"/>
  <c r="L222" i="1" a="1"/>
  <c r="L1407" i="1" a="1"/>
  <c r="L2872" i="1" a="1"/>
  <c r="L384" i="1" a="1"/>
  <c r="L267" i="1" a="1"/>
  <c r="L1945" i="1" a="1"/>
  <c r="L2102" i="1" a="1"/>
  <c r="L831" i="1" a="1"/>
  <c r="L3242" i="1" a="1"/>
  <c r="L2906" i="1" a="1"/>
  <c r="L2592" i="1" a="1"/>
  <c r="L1724" i="1" a="1"/>
  <c r="L948" i="1" a="1"/>
  <c r="L386" i="1" a="1"/>
  <c r="L2447" i="1" a="1"/>
  <c r="L3074" i="1" a="1"/>
  <c r="L2250" i="1" a="1"/>
  <c r="L1700" i="1" a="1"/>
  <c r="L856" i="1" a="1"/>
  <c r="L702" i="1" a="1"/>
  <c r="L312" i="1" a="1"/>
  <c r="L2567" i="1" a="1"/>
  <c r="L2369" i="1" a="1"/>
  <c r="L2108" i="1" a="1"/>
  <c r="L1398" i="1" a="1"/>
  <c r="L1339" i="1" a="1"/>
  <c r="L171" i="1" a="1"/>
  <c r="L2278" i="1" a="1"/>
  <c r="L1159" i="1" a="1"/>
  <c r="L1679" i="1" a="1"/>
  <c r="L132" i="1" a="1"/>
  <c r="L3179" i="1" a="1"/>
  <c r="L2113" i="1" a="1"/>
  <c r="L2768" i="1" a="1"/>
  <c r="L1172" i="1" a="1"/>
  <c r="L2025" i="1" a="1"/>
  <c r="L842" i="1" a="1"/>
  <c r="L676" i="1" a="1"/>
  <c r="L3088" i="1" a="1"/>
  <c r="L2890" i="1" a="1"/>
  <c r="L2829" i="1" a="1"/>
  <c r="L805" i="1" a="1"/>
  <c r="L1369" i="1" a="1"/>
  <c r="L715" i="1" a="1"/>
  <c r="L364" i="1" a="1"/>
  <c r="L3255" i="1" a="1"/>
  <c r="L1800" i="1" a="1"/>
  <c r="L890" i="1" a="1"/>
  <c r="L1870" i="1" a="1"/>
  <c r="L1475" i="1" a="1"/>
  <c r="L596" i="1" a="1"/>
  <c r="L3348" i="1" a="1"/>
  <c r="L2511" i="1" a="1"/>
  <c r="L985" i="1" a="1"/>
  <c r="L2010" i="1" a="1"/>
  <c r="L1617" i="1" a="1"/>
  <c r="L117" i="1" a="1"/>
  <c r="L282" i="1" a="1"/>
  <c r="L1188" i="1" a="1"/>
  <c r="L3046" i="1" a="1"/>
  <c r="L2673" i="1" a="1"/>
  <c r="L1676" i="1" a="1"/>
  <c r="L677" i="1" a="1"/>
  <c r="L293" i="1" a="1"/>
  <c r="L2909" i="1" a="1"/>
  <c r="L1045" i="1" a="1"/>
  <c r="L1409" i="1" a="1"/>
  <c r="L850" i="1" a="1"/>
  <c r="L404" i="1" a="1"/>
  <c r="L2026" i="1" a="1"/>
  <c r="L2442" i="1" a="1"/>
  <c r="L2063" i="1" a="1"/>
  <c r="L849" i="1" a="1"/>
  <c r="L1611" i="1" a="1"/>
  <c r="L446" i="1" a="1"/>
  <c r="L3184" i="1" a="1"/>
  <c r="L2461" i="1" a="1"/>
  <c r="L2313" i="1" a="1"/>
  <c r="L1257" i="1" a="1"/>
  <c r="L932" i="1" a="1"/>
  <c r="L3120" i="1" a="1"/>
  <c r="L2541" i="1" a="1"/>
  <c r="L2431" i="1" a="1"/>
  <c r="L1574" i="1" a="1"/>
  <c r="L1228" i="1" a="1"/>
  <c r="L983" i="1" a="1"/>
  <c r="L20" i="1" a="1"/>
  <c r="L1237" i="1" a="1"/>
  <c r="L943" i="1" a="1"/>
  <c r="L244" i="1" a="1"/>
  <c r="L626" i="1" a="1"/>
  <c r="L2132" i="1" a="1"/>
  <c r="L1374" i="1" a="1"/>
  <c r="L36" i="1" a="1"/>
  <c r="L631" i="1" a="1"/>
  <c r="L876" i="1" a="1"/>
  <c r="L801" i="1" a="1"/>
  <c r="L2961" i="1" a="1"/>
  <c r="L1821" i="1" a="1"/>
  <c r="L2336" i="1" a="1"/>
  <c r="L1781" i="1" a="1"/>
  <c r="L855" i="1" a="1"/>
  <c r="L429" i="1" a="1"/>
  <c r="L2457" i="1" a="1"/>
  <c r="L3129" i="1" a="1"/>
  <c r="L2807" i="1" a="1"/>
  <c r="L1858" i="1" a="1"/>
  <c r="L935" i="1" a="1"/>
  <c r="L592" i="1" a="1"/>
  <c r="L2498" i="1" a="1"/>
  <c r="L1614" i="1" a="1"/>
  <c r="L3285" i="1" a="1"/>
  <c r="L277" i="1" a="1"/>
  <c r="L1929" i="1" a="1"/>
  <c r="L558" i="1" a="1"/>
  <c r="L623" i="1" a="1"/>
  <c r="L2277" i="1" a="1"/>
  <c r="L1744" i="1" a="1"/>
  <c r="L1423" i="1" a="1"/>
  <c r="L434" i="1" a="1"/>
  <c r="L3275" i="1" a="1"/>
  <c r="L2725" i="1" a="1"/>
  <c r="L2561" i="1" a="1"/>
  <c r="L2472" i="1" a="1"/>
  <c r="L1223" i="1" a="1"/>
  <c r="L590" i="1" a="1"/>
  <c r="L625" i="1" a="1"/>
  <c r="L2974" i="1" a="1"/>
  <c r="L2962" i="1" a="1"/>
  <c r="L2177" i="1" a="1"/>
  <c r="L1556" i="1" a="1"/>
  <c r="L754" i="1" a="1"/>
  <c r="L641" i="1" a="1"/>
  <c r="L266" i="1" a="1"/>
  <c r="L2862" i="1" a="1"/>
  <c r="L3210" i="1" a="1"/>
  <c r="L1674" i="1" a="1"/>
  <c r="L961" i="1" a="1"/>
  <c r="L1122" i="1" a="1"/>
  <c r="L764" i="1" a="1"/>
  <c r="L3065" i="1" a="1"/>
  <c r="L2811" i="1" a="1"/>
  <c r="L2813" i="1" a="1"/>
  <c r="L714" i="1" a="1"/>
  <c r="L1361" i="1" a="1"/>
  <c r="L697" i="1" a="1"/>
  <c r="L356" i="1" a="1"/>
  <c r="L2842" i="1" a="1"/>
  <c r="L2285" i="1" a="1"/>
  <c r="L1748" i="1" a="1"/>
  <c r="L2044" i="1" a="1"/>
  <c r="L1563" i="1" a="1"/>
  <c r="L283" i="1" a="1"/>
  <c r="L2315" i="1" a="1"/>
  <c r="L1834" i="1" a="1"/>
  <c r="L920" i="1" a="1"/>
  <c r="L745" i="1" a="1"/>
  <c r="L5" i="1" a="1"/>
  <c r="L2720" i="1" a="1"/>
  <c r="L2497" i="1" a="1"/>
  <c r="L2140" i="1" a="1"/>
  <c r="L1462" i="1" a="1"/>
  <c r="L1355" i="1" a="1"/>
  <c r="L229" i="1" a="1"/>
  <c r="L3159" i="1" a="1"/>
  <c r="L2409" i="1" a="1"/>
  <c r="L540" i="1" a="1"/>
  <c r="L1951" i="1" a="1"/>
  <c r="L1593" i="1" a="1"/>
  <c r="L1108" i="1" a="1"/>
  <c r="L232" i="1" a="1"/>
  <c r="L2932" i="1" a="1"/>
  <c r="L2745" i="1" a="1"/>
  <c r="L2353" i="1" a="1"/>
  <c r="L1220" i="1" a="1"/>
  <c r="L1699" i="1" a="1"/>
  <c r="L240" i="1" a="1"/>
  <c r="L3164" i="1" a="1"/>
  <c r="L2427" i="1" a="1"/>
  <c r="L2283" i="1" a="1"/>
  <c r="L2396" i="1" a="1"/>
  <c r="L945" i="1" a="1"/>
  <c r="L974" i="1" a="1"/>
  <c r="L549" i="1" a="1"/>
  <c r="L2670" i="1" a="1"/>
  <c r="L3289" i="1" a="1"/>
  <c r="L1877" i="1" a="1"/>
  <c r="L1125" i="1" a="1"/>
  <c r="L1251" i="1" a="1"/>
  <c r="L155" i="1" a="1"/>
  <c r="L2845" i="1" a="1"/>
  <c r="L883" i="1" a="1"/>
  <c r="L1377" i="1" a="1"/>
  <c r="L739" i="1" a="1"/>
  <c r="L372" i="1" a="1"/>
  <c r="L3144" i="1" a="1"/>
  <c r="L2323" i="1" a="1"/>
  <c r="L1887" i="1" a="1"/>
  <c r="L183" i="1" a="1"/>
  <c r="L1579" i="1" a="1"/>
  <c r="L342" i="1" a="1"/>
  <c r="L3066" i="1" a="1"/>
  <c r="L3036" i="1" a="1"/>
  <c r="L2128" i="1" a="1"/>
  <c r="L2372" i="1" a="1"/>
  <c r="L2404" i="1" a="1"/>
  <c r="L1134" i="1" a="1"/>
  <c r="L550" i="1" a="1"/>
  <c r="L2068" i="1" a="1"/>
  <c r="L762" i="1" a="1"/>
  <c r="L2007" i="1" a="1"/>
  <c r="L1543" i="1" a="1"/>
  <c r="L199" i="1" a="1"/>
  <c r="L2104" i="1" a="1"/>
  <c r="L1402" i="1" a="1"/>
  <c r="L643" i="1" a="1"/>
  <c r="L518" i="1" a="1"/>
  <c r="L216" i="1" a="1"/>
  <c r="L2107" i="1" a="1"/>
  <c r="L1832" i="1" a="1"/>
  <c r="L1983" i="1" a="1"/>
  <c r="L1217" i="1" a="1"/>
  <c r="L1291" i="1" a="1"/>
  <c r="L836" i="1" a="1"/>
  <c r="L1231" i="1" a="1"/>
  <c r="L2180" i="1" a="1"/>
  <c r="L1706" i="1" a="1"/>
  <c r="L1732" i="1" a="1"/>
  <c r="L1529" i="1" a="1"/>
  <c r="L1044" i="1" a="1"/>
  <c r="L524" i="1" a="1"/>
  <c r="L2750" i="1" a="1"/>
  <c r="L2493" i="1" a="1"/>
  <c r="L2146" i="1" a="1"/>
  <c r="L967" i="1" a="1"/>
  <c r="L1635" i="1" a="1"/>
  <c r="L514" i="1" a="1"/>
  <c r="L3331" i="1" a="1"/>
  <c r="L2150" i="1" a="1"/>
  <c r="L1672" i="1" a="1"/>
  <c r="L1690" i="1" a="1"/>
  <c r="L1521" i="1" a="1"/>
  <c r="L1036" i="1" a="1"/>
  <c r="L516" i="1" a="1"/>
  <c r="L3188" i="1" a="1"/>
  <c r="L1162" i="1" a="1"/>
  <c r="L323" i="1" a="1"/>
  <c r="L705" i="1" a="1"/>
  <c r="L3168" i="1" a="1"/>
  <c r="L1408" i="1" a="1"/>
  <c r="L2755" i="1" a="1"/>
  <c r="L1878" i="1" a="1"/>
  <c r="L1920" i="1" a="1"/>
  <c r="L1975" i="1" a="1"/>
  <c r="L1137" i="1" a="1"/>
  <c r="L1622" i="1" a="1"/>
  <c r="L2666" i="1" a="1"/>
  <c r="L471" i="1" a="1"/>
  <c r="L2626" i="1" a="1"/>
  <c r="L2246" i="1" a="1"/>
  <c r="L1518" i="1" a="1"/>
  <c r="L2021" i="1" a="1"/>
  <c r="L1551" i="1" a="1"/>
  <c r="L217" i="1" a="1"/>
  <c r="L2942" i="1" a="1"/>
  <c r="L2977" i="1" a="1"/>
  <c r="L1868" i="1" a="1"/>
  <c r="L2344" i="1" a="1"/>
  <c r="L1789" i="1" a="1"/>
  <c r="L869" i="1" a="1"/>
  <c r="L113" i="1" a="1"/>
  <c r="L3252" i="1" a="1"/>
  <c r="L2844" i="1" a="1"/>
  <c r="L2449" i="1" a="1"/>
  <c r="L1330" i="1" a="1"/>
  <c r="L1735" i="1" a="1"/>
  <c r="L405" i="1" a="1"/>
  <c r="L2509" i="1" a="1"/>
  <c r="L2573" i="1" a="1"/>
  <c r="L2425" i="1" a="1"/>
  <c r="L2432" i="1" a="1"/>
  <c r="L1121" i="1" a="1"/>
  <c r="L341" i="1" a="1"/>
  <c r="L585" i="1" a="1"/>
  <c r="L3108" i="1" a="1"/>
  <c r="L3225" i="1" a="1"/>
  <c r="L1504" i="1" a="1"/>
  <c r="L2050" i="1" a="1"/>
  <c r="L1171" i="1" a="1"/>
  <c r="L482" i="1" a="1"/>
  <c r="L52" i="1" a="1"/>
  <c r="L2325" i="1" a="1"/>
  <c r="L3102" i="1" a="1"/>
  <c r="L1418" i="1" a="1"/>
  <c r="L731" i="1" a="1"/>
  <c r="L1019" i="1" a="1"/>
  <c r="L724" i="1" a="1"/>
  <c r="L3248" i="1" a="1"/>
  <c r="L1163" i="1" a="1"/>
  <c r="L612" i="1" a="1"/>
  <c r="L1094" i="1" a="1"/>
  <c r="L1421" i="1" a="1"/>
  <c r="L873" i="1" a="1"/>
  <c r="L416" i="1" a="1"/>
  <c r="L3272" i="1" a="1"/>
  <c r="L1286" i="1" a="1"/>
  <c r="L674" i="1" a="1"/>
  <c r="L1141" i="1" a="1"/>
  <c r="L1429" i="1" a="1"/>
  <c r="L891" i="1" a="1"/>
  <c r="L424" i="1" a="1"/>
  <c r="L1630" i="1" a="1"/>
  <c r="L1218" i="1" a="1"/>
  <c r="L1940" i="1" a="1"/>
  <c r="L1174" i="1" a="1"/>
  <c r="L1279" i="1" a="1"/>
  <c r="L824" i="1" a="1"/>
  <c r="L3299" i="1" a="1"/>
  <c r="L2141" i="1" a="1"/>
  <c r="L1656" i="1" a="1"/>
  <c r="L1670" i="1" a="1"/>
  <c r="L1517" i="1" a="1"/>
  <c r="L1032" i="1" a="1"/>
  <c r="L512" i="1" a="1"/>
  <c r="L3221" i="1" a="1"/>
  <c r="L1472" i="1" a="1"/>
  <c r="L2041" i="1" a="1"/>
  <c r="L1166" i="1" a="1"/>
  <c r="L466" i="1" a="1"/>
  <c r="L48" i="1" a="1"/>
  <c r="L1009" i="1" a="1"/>
  <c r="L269" i="1" a="1"/>
  <c r="L2686" i="1" a="1"/>
  <c r="L1633" i="1" a="1"/>
  <c r="L358" i="1" a="1"/>
  <c r="L1207" i="1" a="1"/>
  <c r="L1287" i="1" a="1"/>
  <c r="L832" i="1" a="1"/>
  <c r="L2711" i="1" a="1"/>
  <c r="L1746" i="1" a="1"/>
  <c r="L774" i="1" a="1"/>
  <c r="L370" i="1" a="1"/>
  <c r="L2963" i="1" a="1"/>
  <c r="L3350" i="1" a="1"/>
  <c r="L2981" i="1" a="1"/>
  <c r="L2632" i="1" a="1"/>
  <c r="L1833" i="1" a="1"/>
  <c r="L401" i="1" a="1"/>
  <c r="L506" i="1" a="1"/>
  <c r="L2506" i="1" a="1"/>
  <c r="L2163" i="1" a="1"/>
  <c r="L2635" i="1" a="1"/>
  <c r="L2156" i="1" a="1"/>
  <c r="L1273" i="1" a="1"/>
  <c r="L991" i="1" a="1"/>
  <c r="L189" i="1" a="1"/>
  <c r="L2849" i="1" a="1"/>
  <c r="L2719" i="1" a="1"/>
  <c r="L2190" i="1" a="1"/>
  <c r="L1558" i="1" a="1"/>
  <c r="L1379" i="1" a="1"/>
  <c r="L288" i="1" a="1"/>
  <c r="L2414" i="1" a="1"/>
  <c r="L2060" i="1" a="1"/>
  <c r="L2610" i="1" a="1"/>
  <c r="L2142" i="1" a="1"/>
  <c r="L1265" i="1" a="1"/>
  <c r="L973" i="1" a="1"/>
  <c r="L175" i="1" a="1"/>
  <c r="L3239" i="1" a="1"/>
  <c r="L2095" i="1" a="1"/>
  <c r="L3292" i="1" a="1"/>
  <c r="L1414" i="1" a="1"/>
  <c r="L1847" i="1" a="1"/>
  <c r="L1958" i="1" a="1"/>
  <c r="L1059" i="1" a="1"/>
  <c r="L2030" i="1" a="1"/>
  <c r="L2996" i="1" a="1"/>
  <c r="L1545" i="1" a="1"/>
  <c r="L3232" i="1" a="1"/>
  <c r="L1413" i="1" a="1"/>
  <c r="L3121" i="1" a="1"/>
  <c r="L567" i="1" a="1"/>
  <c r="L2136" i="1" a="1"/>
  <c r="L1926" i="1" a="1"/>
  <c r="L1991" i="1" a="1"/>
  <c r="L1242" i="1" a="1"/>
  <c r="L1295" i="1" a="1"/>
  <c r="L840" i="1" a="1"/>
  <c r="L2310" i="1" a="1"/>
  <c r="L2189" i="1" a="1"/>
  <c r="L1722" i="1" a="1"/>
  <c r="L1752" i="1" a="1"/>
  <c r="L1533" i="1" a="1"/>
  <c r="L1048" i="1" a="1"/>
  <c r="L198" i="1" a="1"/>
  <c r="L3263" i="1" a="1"/>
  <c r="L1823" i="1" a="1"/>
  <c r="L924" i="1" a="1"/>
  <c r="L1879" i="1" a="1"/>
  <c r="L1479" i="1" a="1"/>
  <c r="L610" i="1" a="1"/>
  <c r="L2045" i="1" a="1"/>
  <c r="L2521" i="1" a="1"/>
  <c r="L1066" i="1" a="1"/>
  <c r="L2040" i="1" a="1"/>
  <c r="L1621" i="1" a="1"/>
  <c r="L140" i="1" a="1"/>
  <c r="L291" i="1" a="1"/>
  <c r="L3204" i="1" a="1"/>
  <c r="L2816" i="1" a="1"/>
  <c r="L2423" i="1" a="1"/>
  <c r="L1298" i="1" a="1"/>
  <c r="L1727" i="1" a="1"/>
  <c r="L357" i="1" a="1"/>
  <c r="L3055" i="1" a="1"/>
  <c r="L2994" i="1" a="1"/>
  <c r="L2723" i="1" a="1"/>
  <c r="L2520" i="1" a="1"/>
  <c r="L1436" i="1" a="1"/>
  <c r="L761" i="1" a="1"/>
  <c r="L137" i="1" a="1"/>
  <c r="L3284" i="1" a="1"/>
  <c r="L3174" i="1" a="1"/>
  <c r="L2347" i="1" a="1"/>
  <c r="L1863" i="1" a="1"/>
  <c r="L975" i="1" a="1"/>
  <c r="L775" i="1" a="1"/>
  <c r="L21" i="1" a="1"/>
  <c r="L1268" i="1" a="1"/>
  <c r="L3202" i="1" a="1"/>
  <c r="L2373" i="1" a="1"/>
  <c r="L1892" i="1" a="1"/>
  <c r="L1003" i="1" a="1"/>
  <c r="L794" i="1" a="1"/>
  <c r="L31" i="1" a="1"/>
  <c r="L3318" i="1" a="1"/>
  <c r="L2960" i="1" a="1"/>
  <c r="L2620" i="1" a="1"/>
  <c r="L1810" i="1" a="1"/>
  <c r="L206" i="1" a="1"/>
  <c r="L459" i="1" a="1"/>
  <c r="L2389" i="1" a="1"/>
  <c r="L1949" i="1" a="1"/>
  <c r="L2603" i="1" a="1"/>
  <c r="L2133" i="1" a="1"/>
  <c r="L1261" i="1" a="1"/>
  <c r="L968" i="1" a="1"/>
  <c r="L166" i="1" a="1"/>
  <c r="L2809" i="1" a="1"/>
  <c r="L2417" i="1" a="1"/>
  <c r="L1292" i="1" a="1"/>
  <c r="L1723" i="1" a="1"/>
  <c r="L332" i="1" a="1"/>
  <c r="L992" i="1" a="1"/>
  <c r="L24" i="1" a="1"/>
  <c r="L2335" i="1" a="1"/>
  <c r="L224" i="1" a="1"/>
  <c r="L2828" i="1" a="1"/>
  <c r="L1824" i="1" a="1"/>
  <c r="L374" i="1" a="1"/>
  <c r="L501" i="1" a="1"/>
  <c r="L1912" i="1" a="1"/>
  <c r="L521" i="1" a="1"/>
  <c r="L1583" i="1" a="1"/>
  <c r="L349" i="1" a="1"/>
  <c r="L3091" i="1" a="1"/>
  <c r="L3041" i="1" a="1"/>
  <c r="L2137" i="1" a="1"/>
  <c r="L2376" i="1" a="1"/>
  <c r="L670" i="1" a="1"/>
  <c r="L933" i="1" a="1"/>
  <c r="L529" i="1" a="1"/>
  <c r="L3344" i="1" a="1"/>
  <c r="L3265" i="1" a="1"/>
  <c r="L1818" i="1" a="1"/>
  <c r="L881" i="1" a="1"/>
  <c r="L1225" i="1" a="1"/>
  <c r="L13" i="1" a="1"/>
  <c r="L92" i="1" a="1"/>
  <c r="L2093" i="1" a="1"/>
  <c r="L3365" i="1" a="1"/>
  <c r="L1002" i="1" a="1"/>
  <c r="L2011" i="1" a="1"/>
  <c r="L821" i="1" a="1"/>
  <c r="L668" i="1" a="1"/>
  <c r="L3312" i="1" a="1"/>
  <c r="L3257" i="1" a="1"/>
  <c r="L1795" i="1" a="1"/>
  <c r="L771" i="1" a="1"/>
  <c r="L1214" i="1" a="1"/>
  <c r="L604" i="1" a="1"/>
  <c r="L84" i="1" a="1"/>
  <c r="L2103" i="1" a="1"/>
  <c r="L2074" i="1" a="1"/>
  <c r="L1778" i="1" a="1"/>
  <c r="L1838" i="1" a="1"/>
  <c r="L2708" i="1" a="1"/>
  <c r="L693" i="1" a="1"/>
  <c r="L2155" i="1" a="1"/>
  <c r="L1573" i="1" a="1"/>
  <c r="L3359" i="1" a="1"/>
  <c r="L1527" i="1" a="1"/>
  <c r="L2964" i="1" a="1"/>
  <c r="L1395" i="1" a="1"/>
  <c r="L2518" i="1" a="1"/>
  <c r="L605" i="1" a="1"/>
  <c r="L3358" i="1" a="1"/>
  <c r="L2992" i="1" a="1"/>
  <c r="L2636" i="1" a="1"/>
  <c r="L1842" i="1" a="1"/>
  <c r="L427" i="1" a="1"/>
  <c r="L517" i="1" a="1"/>
  <c r="L2525" i="1" a="1"/>
  <c r="L2201" i="1" a="1"/>
  <c r="L2642" i="1" a="1"/>
  <c r="L2165" i="1" a="1"/>
  <c r="L1277" i="1" a="1"/>
  <c r="L38" i="1" a="1"/>
  <c r="L96" i="1" a="1"/>
  <c r="L2883" i="1" a="1"/>
  <c r="L3222" i="1" a="1"/>
  <c r="L1684" i="1" a="1"/>
  <c r="L976" i="1" a="1"/>
  <c r="L1128" i="1" a="1"/>
  <c r="L768" i="1" a="1"/>
  <c r="L3079" i="1" a="1"/>
  <c r="L2847" i="1" a="1"/>
  <c r="L2824" i="1" a="1"/>
  <c r="L743" i="1" a="1"/>
  <c r="L1365" i="1" a="1"/>
  <c r="L703" i="1" a="1"/>
  <c r="L360" i="1" a="1"/>
  <c r="L3247" i="1" a="1"/>
  <c r="L1642" i="1" a="1"/>
  <c r="L851" i="1" a="1"/>
  <c r="L1861" i="1" a="1"/>
  <c r="L1471" i="1" a="1"/>
  <c r="L587" i="1" a="1"/>
  <c r="L2195" i="1" a="1"/>
  <c r="L2795" i="1" a="1"/>
  <c r="L1825" i="1" a="1"/>
  <c r="L2216" i="1" a="1"/>
  <c r="L1709" i="1" a="1"/>
  <c r="L691" i="1" a="1"/>
  <c r="L215" i="1" a="1"/>
  <c r="L2684" i="1" a="1"/>
  <c r="L3157" i="1" a="1"/>
  <c r="L2866" i="1" a="1"/>
  <c r="L1913" i="1" a="1"/>
  <c r="L1039" i="1" a="1"/>
  <c r="L30" i="1" a="1"/>
  <c r="L340" i="1" a="1"/>
  <c r="L2741" i="1" a="1"/>
  <c r="L3165" i="1" a="1"/>
  <c r="L2882" i="1" a="1"/>
  <c r="L1931" i="1" a="1"/>
  <c r="L1053" i="1" a="1"/>
  <c r="L61" i="1" a="1"/>
  <c r="L3023" i="1" a="1"/>
  <c r="L3020" i="1" a="1"/>
  <c r="L2090" i="1" a="1"/>
  <c r="L2364" i="1" a="1"/>
  <c r="L442" i="1" a="1"/>
  <c r="L910" i="1" a="1"/>
  <c r="L502" i="1" a="1"/>
  <c r="L3296" i="1" a="1"/>
  <c r="L3253" i="1" a="1"/>
  <c r="L1734" i="1" a="1"/>
  <c r="L646" i="1" a="1"/>
  <c r="L1209" i="1" a="1"/>
  <c r="L586" i="1" a="1"/>
  <c r="L80" i="1" a="1"/>
  <c r="L1610" i="1" a="1"/>
  <c r="L811" i="1" a="1"/>
  <c r="L1852" i="1" a="1"/>
  <c r="L1467" i="1" a="1"/>
  <c r="L578" i="1" a="1"/>
  <c r="L557" i="1" a="1"/>
  <c r="L958" i="1" a="1"/>
  <c r="L2680" i="1" a="1"/>
  <c r="L314" i="1" a="1"/>
  <c r="L3338" i="1" a="1"/>
  <c r="L650" i="1" a="1"/>
  <c r="L928" i="1" a="1"/>
  <c r="L525" i="1" a="1"/>
  <c r="L2085" i="1" a="1"/>
  <c r="L1360" i="1" a="1"/>
  <c r="L1327" i="1" a="1"/>
  <c r="L103" i="1" a="1"/>
  <c r="L1143" i="1" a="1"/>
  <c r="L2350" i="1" a="1"/>
  <c r="L1939" i="1" a="1"/>
  <c r="L1864" i="1" a="1"/>
  <c r="L1565" i="1" a="1"/>
  <c r="L1080" i="1" a="1"/>
  <c r="L177" i="1" a="1"/>
  <c r="L2157" i="1" a="1"/>
  <c r="L2939" i="1" a="1"/>
  <c r="L2526" i="1" a="1"/>
  <c r="L1458" i="1" a="1"/>
  <c r="L1767" i="1" a="1"/>
  <c r="L544" i="1" a="1"/>
  <c r="L3219" i="1" a="1"/>
  <c r="L2697" i="1" a="1"/>
  <c r="L2543" i="1" a="1"/>
  <c r="L2464" i="1" a="1"/>
  <c r="L1190" i="1" a="1"/>
  <c r="L562" i="1" a="1"/>
  <c r="L617" i="1" a="1"/>
  <c r="L1364" i="1" a="1"/>
  <c r="L2923" i="1" a="1"/>
  <c r="L2513" i="1" a="1"/>
  <c r="L1426" i="1" a="1"/>
  <c r="L1759" i="1" a="1"/>
  <c r="L505" i="1" a="1"/>
  <c r="L2864" i="1" a="1"/>
  <c r="L414" i="1" a="1"/>
  <c r="L894" i="1" a="1"/>
  <c r="L2483" i="1" a="1"/>
  <c r="L1477" i="1" a="1"/>
  <c r="L2812" i="1" a="1"/>
  <c r="L1049" i="1" a="1"/>
  <c r="L2692" i="1" a="1"/>
  <c r="L1555" i="1" a="1"/>
  <c r="L2218" i="1" a="1"/>
  <c r="L1060" i="1" a="1"/>
  <c r="L1069" i="1" a="1"/>
  <c r="L859" i="1" a="1"/>
  <c r="L2791" i="1" a="1"/>
  <c r="L2884" i="1" a="1"/>
  <c r="L3052" i="1" a="1"/>
  <c r="L2196" i="1" a="1"/>
  <c r="L2380" i="1" a="1"/>
  <c r="L707" i="1" a="1"/>
  <c r="L942" i="1" a="1"/>
  <c r="L533" i="1" a="1"/>
  <c r="L1098" i="1" a="1"/>
  <c r="L3269" i="1" a="1"/>
  <c r="L1831" i="1" a="1"/>
  <c r="L972" i="1" a="1"/>
  <c r="L1230" i="1" a="1"/>
  <c r="L572" i="1" a="1"/>
  <c r="L3044" i="1" a="1"/>
  <c r="L3158" i="1" a="1"/>
  <c r="L2843" i="1" a="1"/>
  <c r="L2564" i="1" a="1"/>
  <c r="L1602" i="1" a="1"/>
  <c r="L889" i="1" a="1"/>
  <c r="L287" i="1" a="1"/>
  <c r="L2899" i="1" a="1"/>
  <c r="L2951" i="1" a="1"/>
  <c r="L2169" i="1" a="1"/>
  <c r="L1546" i="1" a="1"/>
  <c r="L742" i="1" a="1"/>
  <c r="L633" i="1" a="1"/>
  <c r="L257" i="1" a="1"/>
  <c r="L2826" i="1" a="1"/>
  <c r="L3198" i="1" a="1"/>
  <c r="L1664" i="1" a="1"/>
  <c r="L947" i="1" a="1"/>
  <c r="L1115" i="1" a="1"/>
  <c r="L760" i="1" a="1"/>
  <c r="L1836" i="1" a="1"/>
  <c r="L1482" i="1" a="1"/>
  <c r="L1057" i="1" a="1"/>
  <c r="L1249" i="1" a="1"/>
  <c r="L1453" i="1" a="1"/>
  <c r="L937" i="1" a="1"/>
  <c r="L448" i="1" a="1"/>
  <c r="L1432" i="1" a="1"/>
  <c r="L2595" i="1" a="1"/>
  <c r="L2227" i="1" a="1"/>
  <c r="L1043" i="1" a="1"/>
  <c r="L1659" i="1" a="1"/>
  <c r="L7" i="1" a="1"/>
  <c r="L11" i="1" a="1"/>
  <c r="L1787" i="1" a="1"/>
  <c r="L2613" i="1" a="1"/>
  <c r="L2256" i="1" a="1"/>
  <c r="L1063" i="1" a="1"/>
  <c r="L1667" i="1" a="1"/>
  <c r="L57" i="1" a="1"/>
  <c r="L2985" i="1" a="1"/>
  <c r="L2267" i="1" a="1"/>
  <c r="L1822" i="1" a="1"/>
  <c r="L1813" i="1" a="1"/>
  <c r="L1553" i="1" a="1"/>
  <c r="L1068" i="1" a="1"/>
  <c r="L154" i="1" a="1"/>
  <c r="L1037" i="1" a="1"/>
  <c r="L2918" i="1" a="1"/>
  <c r="L2494" i="1" a="1"/>
  <c r="L1420" i="1" a="1"/>
  <c r="L1755" i="1" a="1"/>
  <c r="L497" i="1" a="1"/>
  <c r="L2790" i="1" a="1"/>
  <c r="L3186" i="1" a="1"/>
  <c r="L1592" i="1" a="1"/>
  <c r="L931" i="1" a="1"/>
  <c r="L1097" i="1" a="1"/>
  <c r="L756" i="1" a="1"/>
  <c r="L2979" i="1" a="1"/>
  <c r="L3024" i="1" a="1"/>
  <c r="L2197" i="1" a="1"/>
  <c r="L1728" i="1" a="1"/>
  <c r="L2976" i="1" a="1"/>
  <c r="L1561" i="1" a="1"/>
  <c r="L1076" i="1" a="1"/>
  <c r="L168" i="1" a="1"/>
  <c r="L2668" i="1" a="1"/>
  <c r="L1906" i="1" a="1"/>
  <c r="L458" i="1" a="1"/>
  <c r="L591" i="1" a="1"/>
  <c r="L2799" i="1" a="1"/>
  <c r="L2463" i="1" a="1"/>
  <c r="L2712" i="1" a="1"/>
  <c r="L2229" i="1" a="1"/>
  <c r="L1309" i="1" a="1"/>
  <c r="L310" i="1" a="1"/>
  <c r="L262" i="1" a="1"/>
  <c r="L3327" i="1" a="1"/>
  <c r="L2080" i="1" a="1"/>
  <c r="L1191" i="1" a="1"/>
  <c r="L1943" i="1" a="1"/>
  <c r="L1511" i="1" a="1"/>
  <c r="L98" i="1" a="1"/>
  <c r="L2990" i="1" a="1"/>
  <c r="L2639" i="1" a="1"/>
  <c r="L1252" i="1" a="1"/>
  <c r="L2106" i="1" a="1"/>
  <c r="L1653" i="1" a="1"/>
  <c r="L351" i="1" a="1"/>
  <c r="L29" i="1" a="1"/>
  <c r="L3311" i="1" a="1"/>
  <c r="L1964" i="1" a="1"/>
  <c r="L1149" i="1" a="1"/>
  <c r="L1925" i="1" a="1"/>
  <c r="L1503" i="1" a="1"/>
  <c r="L67" i="1" a="1"/>
  <c r="L2575" i="1" a="1"/>
  <c r="L2586" i="1" a="1"/>
  <c r="L1637" i="1" a="1"/>
  <c r="L3223" i="1" a="1"/>
  <c r="L1459" i="1" a="1"/>
  <c r="L2317" i="1" a="1"/>
  <c r="L1001" i="1" a="1"/>
  <c r="L2367" i="1" a="1"/>
  <c r="L1088" i="1" a="1"/>
  <c r="L2178" i="1" a="1"/>
  <c r="L149" i="1" a="1"/>
  <c r="L2819" i="1" a="1"/>
  <c r="L346" i="1" a="1"/>
  <c r="L2452" i="1" a="1"/>
  <c r="L1839" i="1" a="1"/>
  <c r="L2358" i="1" a="1"/>
  <c r="L1950" i="1" a="1"/>
  <c r="L1871" i="1" a="1"/>
  <c r="L1569" i="1" a="1"/>
  <c r="L1084" i="1" a="1"/>
  <c r="L186" i="1" a="1"/>
  <c r="L2233" i="1" a="1"/>
  <c r="L2950" i="1" a="1"/>
  <c r="L2545" i="1" a="1"/>
  <c r="L1484" i="1" a="1"/>
  <c r="L1771" i="1" a="1"/>
  <c r="L107" i="1" a="1"/>
  <c r="L2707" i="1" a="1"/>
  <c r="L2907" i="1" a="1"/>
  <c r="L1344" i="1" a="1"/>
  <c r="L2307" i="1" a="1"/>
  <c r="L1753" i="1" a="1"/>
  <c r="L807" i="1" a="1"/>
  <c r="L353" i="1" a="1"/>
  <c r="L2086" i="1" a="1"/>
  <c r="L3101" i="1" a="1"/>
  <c r="L2754" i="1" a="1"/>
  <c r="L1803" i="1" a="1"/>
  <c r="L843" i="1" a="1"/>
  <c r="L473" i="1" a="1"/>
  <c r="L3300" i="1" a="1"/>
  <c r="L3138" i="1" a="1"/>
  <c r="L2822" i="1" a="1"/>
  <c r="L2556" i="1" a="1"/>
  <c r="L1570" i="1" a="1"/>
  <c r="L875" i="1" a="1"/>
  <c r="L254" i="1" a="1"/>
  <c r="L551" i="1" a="1"/>
  <c r="L3282" i="1" a="1"/>
  <c r="L2437" i="1" a="1"/>
  <c r="L1965" i="1" a="1"/>
  <c r="L1067" i="1" a="1"/>
  <c r="L839" i="1" a="1"/>
  <c r="L63" i="1" a="1"/>
  <c r="L3018" i="1" a="1"/>
  <c r="L2875" i="1" a="1"/>
  <c r="L2236" i="1" a="1"/>
  <c r="L1654" i="1" a="1"/>
  <c r="L1403" i="1" a="1"/>
  <c r="L361" i="1" a="1"/>
  <c r="L12" i="1" a="1"/>
  <c r="L3087" i="1" a="1"/>
  <c r="L2941" i="1" a="1"/>
  <c r="L2254" i="1" a="1"/>
  <c r="L1686" i="1" a="1"/>
  <c r="L1411" i="1" a="1"/>
  <c r="L413" i="1" a="1"/>
  <c r="L2705" i="1" a="1"/>
  <c r="L2351" i="1" a="1"/>
  <c r="L2685" i="1" a="1"/>
  <c r="L2206" i="1" a="1"/>
  <c r="L1297" i="1" a="1"/>
  <c r="L203" i="1" a="1"/>
  <c r="L239" i="1" a="1"/>
  <c r="L3303" i="1" a="1"/>
  <c r="L1941" i="1" a="1"/>
  <c r="L1127" i="1" a="1"/>
  <c r="L1916" i="1" a="1"/>
  <c r="L1499" i="1" a="1"/>
  <c r="L49" i="1" a="1"/>
  <c r="L3130" i="1" a="1"/>
  <c r="L2815" i="1" a="1"/>
  <c r="L2552" i="1" a="1"/>
  <c r="L1564" i="1" a="1"/>
  <c r="L866" i="1" a="1"/>
  <c r="L246" i="1" a="1"/>
  <c r="L3197" i="1" a="1"/>
  <c r="L2652" i="1" a="1"/>
  <c r="L1293" i="1" a="1"/>
  <c r="L3077" i="1" a="1"/>
  <c r="L2628" i="1" a="1"/>
  <c r="L1305" i="1" a="1"/>
  <c r="L286" i="1" a="1"/>
  <c r="L253" i="1" a="1"/>
  <c r="L2412" i="1" a="1"/>
  <c r="L1029" i="1" a="1"/>
  <c r="L81" i="1" a="1"/>
  <c r="L565" i="1" a="1"/>
  <c r="L3167" i="1" a="1"/>
  <c r="L3317" i="1" a="1"/>
  <c r="L1960" i="1" a="1"/>
  <c r="L1221" i="1" a="1"/>
  <c r="L315" i="1" a="1"/>
  <c r="L302" i="1" a="1"/>
  <c r="L147" i="1" a="1"/>
  <c r="L3064" i="1" a="1"/>
  <c r="L3342" i="1" a="1"/>
  <c r="L1859" i="1" a="1"/>
  <c r="L1111" i="1" a="1"/>
  <c r="L1255" i="1" a="1"/>
  <c r="L800" i="1" a="1"/>
  <c r="L3200" i="1" a="1"/>
  <c r="L781" i="1" a="1"/>
  <c r="L2888" i="1" a="1"/>
  <c r="L995" i="1" a="1"/>
  <c r="L1397" i="1" a="1"/>
  <c r="L789" i="1" a="1"/>
  <c r="L392" i="1" a="1"/>
  <c r="L3032" i="1" a="1"/>
  <c r="L3310" i="1" a="1"/>
  <c r="L1837" i="1" a="1"/>
  <c r="L1070" i="1" a="1"/>
  <c r="L1224" i="1" a="1"/>
  <c r="L792" i="1" a="1"/>
  <c r="L2898" i="1" a="1"/>
  <c r="L2232" i="1" a="1"/>
  <c r="L1619" i="1" a="1"/>
  <c r="L1967" i="1" a="1"/>
  <c r="L987" i="1" a="1"/>
  <c r="L3274" i="1" a="1"/>
  <c r="L834" i="1" a="1"/>
  <c r="L2255" i="1" a="1"/>
  <c r="L233" i="1" a="1"/>
  <c r="L1770" i="1" a="1"/>
  <c r="L136" i="1" a="1"/>
  <c r="L110" i="1" a="1"/>
  <c r="L408" i="1" a="1"/>
  <c r="L1840" i="1" a="1"/>
  <c r="L2820" i="1" a="1"/>
  <c r="L2489" i="1" a="1"/>
  <c r="L2717" i="1" a="1"/>
  <c r="L2238" i="1" a="1"/>
  <c r="L1313" i="1" a="1"/>
  <c r="L385" i="1" a="1"/>
  <c r="L271" i="1" a="1"/>
  <c r="L3335" i="1" a="1"/>
  <c r="L2100" i="1" a="1"/>
  <c r="L1238" i="1" a="1"/>
  <c r="L1948" i="1" a="1"/>
  <c r="L1515" i="1" a="1"/>
  <c r="L804" i="1" a="1"/>
  <c r="L3080" i="1" a="1"/>
  <c r="L2082" i="1" a="1"/>
  <c r="L1542" i="1" a="1"/>
  <c r="L1568" i="1" a="1"/>
  <c r="L1497" i="1" a="1"/>
  <c r="L1012" i="1" a="1"/>
  <c r="L492" i="1" a="1"/>
  <c r="L3347" i="1" a="1"/>
  <c r="L2426" i="1" a="1"/>
  <c r="L2015" i="1" a="1"/>
  <c r="L778" i="1" a="1"/>
  <c r="L1603" i="1" a="1"/>
  <c r="L399" i="1" a="1"/>
  <c r="L2619" i="1" a="1"/>
  <c r="L2895" i="1" a="1"/>
  <c r="L1197" i="1" a="1"/>
  <c r="L2289" i="1" a="1"/>
  <c r="L1745" i="1" a="1"/>
  <c r="L783" i="1" a="1"/>
  <c r="L325" i="1" a="1"/>
  <c r="L2922" i="1" a="1"/>
  <c r="L3189" i="1" a="1"/>
  <c r="L999" i="1" a="1"/>
  <c r="L1977" i="1" a="1"/>
  <c r="L1117" i="1" a="1"/>
  <c r="L242" i="1" a="1"/>
  <c r="L16" i="1" a="1"/>
  <c r="L2171" i="1" a="1"/>
  <c r="L2902" i="1" a="1"/>
  <c r="L1227" i="1" a="1"/>
  <c r="L2057" i="1" a="1"/>
  <c r="L888" i="1" a="1"/>
  <c r="L692" i="1" a="1"/>
  <c r="L115" i="1" a="1"/>
  <c r="L2239" i="1" a="1"/>
  <c r="L2946" i="1" a="1"/>
  <c r="L1254" i="1" a="1"/>
  <c r="L235" i="1" a="1"/>
  <c r="L934" i="1" a="1"/>
  <c r="L700" i="1" a="1"/>
  <c r="L2764" i="1" a="1"/>
  <c r="L3293" i="1" a="1"/>
  <c r="L1901" i="1" a="1"/>
  <c r="L1153" i="1" a="1"/>
  <c r="L99" i="1" a="1"/>
  <c r="L197" i="1" a="1"/>
  <c r="L120" i="1" a="1"/>
  <c r="L3016" i="1" a="1"/>
  <c r="L3286" i="1" a="1"/>
  <c r="L1830" i="1" a="1"/>
  <c r="L1061" i="1" a="1"/>
  <c r="L1208" i="1" a="1"/>
  <c r="L788" i="1" a="1"/>
  <c r="L2874" i="1" a="1"/>
  <c r="L1154" i="1" a="1"/>
  <c r="L2280" i="1" a="1"/>
  <c r="L1741" i="1" a="1"/>
  <c r="L777" i="1" a="1"/>
  <c r="L318" i="1" a="1"/>
  <c r="L1105" i="1" a="1"/>
  <c r="L1874" i="1" a="1"/>
  <c r="L181" i="1" a="1"/>
  <c r="L2706" i="1" a="1"/>
  <c r="L2220" i="1" a="1"/>
  <c r="L190" i="1" a="1"/>
  <c r="L261" i="1" a="1"/>
  <c r="L138" i="1" a="1"/>
  <c r="L1981" i="1" a="1"/>
  <c r="L1601" i="1" a="1"/>
  <c r="L1116" i="1" a="1"/>
  <c r="L250" i="1" a="1"/>
  <c r="L3017" i="1" a="1"/>
  <c r="L3014" i="1" a="1"/>
  <c r="L2622" i="1" a="1"/>
  <c r="L1612" i="1" a="1"/>
  <c r="L513" i="1" a="1"/>
  <c r="L160" i="1" a="1"/>
  <c r="L3356" i="1" a="1"/>
  <c r="L3254" i="1" a="1"/>
  <c r="L2912" i="1" a="1"/>
  <c r="L2596" i="1" a="1"/>
  <c r="L1730" i="1" a="1"/>
  <c r="L953" i="1" a="1"/>
  <c r="L391" i="1" a="1"/>
  <c r="L2693" i="1" a="1"/>
  <c r="L3086" i="1" a="1"/>
  <c r="L2272" i="1" a="1"/>
  <c r="L1720" i="1" a="1"/>
  <c r="L893" i="1" a="1"/>
  <c r="L709" i="1" a="1"/>
  <c r="L321" i="1" a="1"/>
  <c r="L3230" i="1" a="1"/>
  <c r="L2900" i="1" a="1"/>
  <c r="L2588" i="1" a="1"/>
  <c r="L1698" i="1" a="1"/>
  <c r="L939" i="1" a="1"/>
  <c r="L381" i="1" a="1"/>
  <c r="L2116" i="1" a="1"/>
  <c r="L2606" i="1" a="1"/>
  <c r="L247" i="1" a="1"/>
  <c r="L1446" i="1" a="1"/>
  <c r="L555" i="1" a="1"/>
  <c r="L3090" i="1" a="1"/>
  <c r="L720" i="1" a="1"/>
  <c r="L1974" i="1" a="1"/>
  <c r="L195" i="1" a="1"/>
  <c r="L1306" i="1" a="1"/>
  <c r="L2001" i="1" a="1"/>
  <c r="L2222" i="1" a="1"/>
  <c r="L1161" i="1" a="1"/>
  <c r="L1164" i="1" a="1"/>
  <c r="L3211" i="1" a="1"/>
  <c r="L3325" i="1" a="1"/>
  <c r="L1971" i="1" a="1"/>
  <c r="L1234" i="1" a="1"/>
  <c r="L355" i="1" a="1"/>
  <c r="L327" i="1" a="1"/>
  <c r="L152" i="1" a="1"/>
  <c r="L421" i="1" a="1"/>
  <c r="L3354" i="1" a="1"/>
  <c r="L1889" i="1" a="1"/>
  <c r="L1131" i="1" a="1"/>
  <c r="L1259" i="1" a="1"/>
  <c r="L402" i="1" a="1"/>
  <c r="L2194" i="1" a="1"/>
  <c r="L1175" i="1" a="1"/>
  <c r="L2546" i="1" a="1"/>
  <c r="L2092" i="1" a="1"/>
  <c r="L1216" i="1" a="1"/>
  <c r="L927" i="1" a="1"/>
  <c r="L125" i="1" a="1"/>
  <c r="L2659" i="1" a="1"/>
  <c r="L2454" i="1" a="1"/>
  <c r="L2126" i="1" a="1"/>
  <c r="L1430" i="1" a="1"/>
  <c r="L1347" i="1" a="1"/>
  <c r="L205" i="1" a="1"/>
  <c r="L2958" i="1" a="1"/>
  <c r="L2037" i="1" a="1"/>
  <c r="L1492" i="1" a="1"/>
  <c r="L1476" i="1" a="1"/>
  <c r="L1489" i="1" a="1"/>
  <c r="L1004" i="1" a="1"/>
  <c r="L484" i="1" a="1"/>
  <c r="L2714" i="1" a="1"/>
  <c r="L2724" i="1" a="1"/>
  <c r="L2327" i="1" a="1"/>
  <c r="L1202" i="1" a="1"/>
  <c r="L1691" i="1" a="1"/>
  <c r="L185" i="1" a="1"/>
  <c r="L2175" i="1" a="1"/>
  <c r="L2789" i="1" a="1"/>
  <c r="L2646" i="1" a="1"/>
  <c r="L2488" i="1" a="1"/>
  <c r="L1308" i="1" a="1"/>
  <c r="L675" i="1" a="1"/>
  <c r="L14" i="1" a="1"/>
  <c r="L2422" i="1" a="1"/>
  <c r="L2832" i="1" a="1"/>
  <c r="L2663" i="1" a="1"/>
  <c r="L2496" i="1" a="1"/>
  <c r="L1340" i="1" a="1"/>
  <c r="L694" i="1" a="1"/>
  <c r="L43" i="1" a="1"/>
  <c r="L2756" i="1" a="1"/>
  <c r="L2987" i="1" a="1"/>
  <c r="L2590" i="1" a="1"/>
  <c r="L1554" i="1" a="1"/>
  <c r="L169" i="1" a="1"/>
  <c r="L59" i="1" a="1"/>
  <c r="L3268" i="1" a="1"/>
  <c r="L3218" i="1" a="1"/>
  <c r="L2894" i="1" a="1"/>
  <c r="L2584" i="1" a="1"/>
  <c r="L1692" i="1" a="1"/>
  <c r="L930" i="1" a="1"/>
  <c r="L367" i="1" a="1"/>
  <c r="L2014" i="1" a="1"/>
  <c r="L1460" i="1" a="1"/>
  <c r="L1454" i="1" a="1"/>
  <c r="L1485" i="1" a="1"/>
  <c r="L1000" i="1" a="1"/>
  <c r="L480" i="1" a="1"/>
  <c r="L1995" i="1" a="1"/>
  <c r="L22" i="1" a="1"/>
  <c r="L230" i="1" a="1"/>
  <c r="L1740" i="1" a="1"/>
  <c r="L1586" i="1" a="1"/>
  <c r="L379" i="1" a="1"/>
  <c r="L133" i="1" a="1"/>
  <c r="L2781" i="1" a="1"/>
  <c r="L2302" i="1" a="1"/>
  <c r="L1345" i="1" a="1"/>
  <c r="L654" i="1" a="1"/>
  <c r="L335" i="1" a="1"/>
  <c r="L2490" i="1" a="1"/>
  <c r="L2237" i="1" a="1"/>
  <c r="L1502" i="1" a="1"/>
  <c r="L2012" i="1" a="1"/>
  <c r="L1547" i="1" a="1"/>
  <c r="L208" i="1" a="1"/>
  <c r="L2911" i="1" a="1"/>
  <c r="L2972" i="1" a="1"/>
  <c r="L1844" i="1" a="1"/>
  <c r="L2340" i="1" a="1"/>
  <c r="L1785" i="1" a="1"/>
  <c r="L864" i="1" a="1"/>
  <c r="L438" i="1" a="1"/>
  <c r="L2499" i="1" a="1"/>
  <c r="L3133" i="1" a="1"/>
  <c r="L2818" i="1" a="1"/>
  <c r="L1867" i="1" a="1"/>
  <c r="L944" i="1" a="1"/>
  <c r="L598" i="1" a="1"/>
  <c r="L2878" i="1" a="1"/>
  <c r="L2956" i="1" a="1"/>
  <c r="L1796" i="1" a="1"/>
  <c r="L2332" i="1" a="1"/>
  <c r="L1777" i="1" a="1"/>
  <c r="L846" i="1" a="1"/>
  <c r="L415" i="1" a="1"/>
  <c r="L3099" i="1" a="1"/>
  <c r="L2459" i="1" a="1"/>
  <c r="L457" i="1" a="1"/>
  <c r="L1262" i="1" a="1"/>
  <c r="L472" i="1" a="1"/>
  <c r="L2418" i="1" a="1"/>
  <c r="L58" i="1" a="1"/>
  <c r="L1534" i="1" a="1"/>
  <c r="L3259" i="1" a="1"/>
  <c r="L1798" i="1" a="1"/>
  <c r="L1444" i="1" a="1"/>
  <c r="L1062" i="1" a="1"/>
  <c r="L2363" i="1" a="1"/>
  <c r="L917" i="1" a="1"/>
  <c r="L3084" i="1" a="1"/>
  <c r="L3019" i="1" a="1"/>
  <c r="L2641" i="1" a="1"/>
  <c r="L1618" i="1" a="1"/>
  <c r="L583" i="1" a="1"/>
  <c r="L214" i="1" a="1"/>
  <c r="L1146" i="1" a="1"/>
  <c r="L3266" i="1" a="1"/>
  <c r="L2917" i="1" a="1"/>
  <c r="L2600" i="1" a="1"/>
  <c r="L1756" i="1" a="1"/>
  <c r="L962" i="1" a="1"/>
  <c r="L447" i="1" a="1"/>
  <c r="L3140" i="1" a="1"/>
  <c r="L3233" i="1" a="1"/>
  <c r="L1620" i="1" a="1"/>
  <c r="L2064" i="1" a="1"/>
  <c r="L1182" i="1" a="1"/>
  <c r="L499" i="1" a="1"/>
  <c r="L60" i="1" a="1"/>
  <c r="L1804" i="1" a="1"/>
  <c r="L3305" i="1" a="1"/>
  <c r="L624" i="1" a="1"/>
  <c r="L1947" i="1" a="1"/>
  <c r="L687" i="1" a="1"/>
  <c r="L636" i="1" a="1"/>
  <c r="L2144" i="1" a="1"/>
  <c r="L970" i="1" a="1"/>
  <c r="L2533" i="1" a="1"/>
  <c r="L2078" i="1" a="1"/>
  <c r="L1184" i="1" a="1"/>
  <c r="L909" i="1" a="1"/>
  <c r="L111" i="1" a="1"/>
  <c r="L3171" i="1" a="1"/>
  <c r="L1006" i="1" a="1"/>
  <c r="L2300" i="1" a="1"/>
  <c r="L1792" i="1" a="1"/>
  <c r="L1435" i="1" a="1"/>
  <c r="L481" i="1" a="1"/>
  <c r="L1226" i="1" a="1"/>
  <c r="L2710" i="1" a="1"/>
  <c r="L1594" i="1" a="1"/>
  <c r="L2152" i="1" a="1"/>
  <c r="L1677" i="1" a="1"/>
  <c r="L607" i="1" a="1"/>
  <c r="L121" i="1" a="1"/>
  <c r="L1400" i="1" a="1"/>
  <c r="L2731" i="1" a="1"/>
  <c r="L1726" i="1" a="1"/>
  <c r="L2170" i="1" a="1"/>
  <c r="L1685" i="1" a="1"/>
  <c r="L635" i="1" a="1"/>
  <c r="L135" i="1" a="1"/>
  <c r="L3352" i="1" a="1"/>
  <c r="L2208" i="1" a="1"/>
  <c r="L1370" i="1" a="1"/>
  <c r="L1989" i="1" a="1"/>
  <c r="L1535" i="1" a="1"/>
  <c r="L174" i="1" a="1"/>
  <c r="L2857" i="1" a="1"/>
  <c r="L2945" i="1" a="1"/>
  <c r="L1768" i="1" a="1"/>
  <c r="L2328" i="1" a="1"/>
  <c r="L1773" i="1" a="1"/>
  <c r="L841" i="1" a="1"/>
  <c r="L406" i="1" a="1"/>
  <c r="L683" i="1" a="1"/>
  <c r="L2514" i="1" a="1"/>
  <c r="L2067" i="1" a="1"/>
  <c r="L1168" i="1" a="1"/>
  <c r="L904" i="1" a="1"/>
  <c r="L106" i="1" a="1"/>
  <c r="L4" i="1" a="1"/>
  <c r="L17" i="1" a="1"/>
  <c r="L17" i="1" l="1"/>
  <c r="L4" i="1"/>
  <c r="L106" i="1"/>
  <c r="L904" i="1"/>
  <c r="L1168" i="1"/>
  <c r="L2067" i="1"/>
  <c r="L2514" i="1"/>
  <c r="L683" i="1"/>
  <c r="L406" i="1"/>
  <c r="L841" i="1"/>
  <c r="L1773" i="1"/>
  <c r="L2328" i="1"/>
  <c r="L1768" i="1"/>
  <c r="L2945" i="1"/>
  <c r="L2857" i="1"/>
  <c r="L174" i="1"/>
  <c r="L1535" i="1"/>
  <c r="L1989" i="1"/>
  <c r="L1370" i="1"/>
  <c r="L2208" i="1"/>
  <c r="L3352" i="1"/>
  <c r="L135" i="1"/>
  <c r="L635" i="1"/>
  <c r="L1685" i="1"/>
  <c r="L2170" i="1"/>
  <c r="L1726" i="1"/>
  <c r="L2731" i="1"/>
  <c r="L1400" i="1"/>
  <c r="L121" i="1"/>
  <c r="L607" i="1"/>
  <c r="L1677" i="1"/>
  <c r="L2152" i="1"/>
  <c r="L1594" i="1"/>
  <c r="L2710" i="1"/>
  <c r="L1226" i="1"/>
  <c r="L481" i="1"/>
  <c r="L1435" i="1"/>
  <c r="L1792" i="1"/>
  <c r="L2300" i="1"/>
  <c r="L1006" i="1"/>
  <c r="L3171" i="1"/>
  <c r="L111" i="1"/>
  <c r="L909" i="1"/>
  <c r="L1184" i="1"/>
  <c r="L2078" i="1"/>
  <c r="L2533" i="1"/>
  <c r="L970" i="1"/>
  <c r="L2144" i="1"/>
  <c r="L636" i="1"/>
  <c r="L687" i="1"/>
  <c r="L1947" i="1"/>
  <c r="L624" i="1"/>
  <c r="L3305" i="1"/>
  <c r="L1804" i="1"/>
  <c r="L60" i="1"/>
  <c r="L499" i="1"/>
  <c r="L1182" i="1"/>
  <c r="L2064" i="1"/>
  <c r="L1620" i="1"/>
  <c r="L3233" i="1"/>
  <c r="L3140" i="1"/>
  <c r="L447" i="1"/>
  <c r="L962" i="1"/>
  <c r="L1756" i="1"/>
  <c r="L2600" i="1"/>
  <c r="L2917" i="1"/>
  <c r="L3266" i="1"/>
  <c r="L1146" i="1"/>
  <c r="L214" i="1"/>
  <c r="L583" i="1"/>
  <c r="L1618" i="1"/>
  <c r="L2641" i="1"/>
  <c r="L3019" i="1"/>
  <c r="L3084" i="1"/>
  <c r="L917" i="1"/>
  <c r="L2363" i="1"/>
  <c r="L1062" i="1"/>
  <c r="L1444" i="1"/>
  <c r="L1798" i="1"/>
  <c r="L3259" i="1"/>
  <c r="L1534" i="1"/>
  <c r="L58" i="1"/>
  <c r="L2418" i="1"/>
  <c r="L472" i="1"/>
  <c r="L1262" i="1"/>
  <c r="L457" i="1"/>
  <c r="L2459" i="1"/>
  <c r="L3099" i="1"/>
  <c r="L415" i="1"/>
  <c r="L846" i="1"/>
  <c r="L1777" i="1"/>
  <c r="L2332" i="1"/>
  <c r="L1796" i="1"/>
  <c r="L2956" i="1"/>
  <c r="L2878" i="1"/>
  <c r="L598" i="1"/>
  <c r="L944" i="1"/>
  <c r="L1867" i="1"/>
  <c r="L2818" i="1"/>
  <c r="L3133" i="1"/>
  <c r="L2499" i="1"/>
  <c r="L438" i="1"/>
  <c r="L864" i="1"/>
  <c r="L1785" i="1"/>
  <c r="L2340" i="1"/>
  <c r="L1844" i="1"/>
  <c r="L2972" i="1"/>
  <c r="L2911" i="1"/>
  <c r="L208" i="1"/>
  <c r="L1547" i="1"/>
  <c r="L2012" i="1"/>
  <c r="L1502" i="1"/>
  <c r="L2237" i="1"/>
  <c r="L2490" i="1"/>
  <c r="L335" i="1"/>
  <c r="L654" i="1"/>
  <c r="L1345" i="1"/>
  <c r="L2302" i="1"/>
  <c r="L2781" i="1"/>
  <c r="L133" i="1"/>
  <c r="L379" i="1"/>
  <c r="L1586" i="1"/>
  <c r="L1740" i="1"/>
  <c r="L230" i="1"/>
  <c r="L22" i="1"/>
  <c r="L1995" i="1"/>
  <c r="L480" i="1"/>
  <c r="L1000" i="1"/>
  <c r="L1485" i="1"/>
  <c r="L1454" i="1"/>
  <c r="L1460" i="1"/>
  <c r="L2014" i="1"/>
  <c r="L367" i="1"/>
  <c r="L930" i="1"/>
  <c r="L1692" i="1"/>
  <c r="L2584" i="1"/>
  <c r="L2894" i="1"/>
  <c r="L3218" i="1"/>
  <c r="L3268" i="1"/>
  <c r="L59" i="1"/>
  <c r="L169" i="1"/>
  <c r="L1554" i="1"/>
  <c r="L2590" i="1"/>
  <c r="L2987" i="1"/>
  <c r="L2756" i="1"/>
  <c r="L43" i="1"/>
  <c r="L694" i="1"/>
  <c r="L1340" i="1"/>
  <c r="L2496" i="1"/>
  <c r="L2663" i="1"/>
  <c r="L2832" i="1"/>
  <c r="L2422" i="1"/>
  <c r="L14" i="1"/>
  <c r="L675" i="1"/>
  <c r="L1308" i="1"/>
  <c r="L2488" i="1"/>
  <c r="L2646" i="1"/>
  <c r="L2789" i="1"/>
  <c r="L2175" i="1"/>
  <c r="L185" i="1"/>
  <c r="L1691" i="1"/>
  <c r="L1202" i="1"/>
  <c r="L2327" i="1"/>
  <c r="L2724" i="1"/>
  <c r="L2714" i="1"/>
  <c r="L484" i="1"/>
  <c r="L1004" i="1"/>
  <c r="L1489" i="1"/>
  <c r="L1476" i="1"/>
  <c r="L1492" i="1"/>
  <c r="L2037" i="1"/>
  <c r="L2958" i="1"/>
  <c r="L205" i="1"/>
  <c r="L1347" i="1"/>
  <c r="L1430" i="1"/>
  <c r="L2126" i="1"/>
  <c r="L2454" i="1"/>
  <c r="L2659" i="1"/>
  <c r="L125" i="1"/>
  <c r="L927" i="1"/>
  <c r="L1216" i="1"/>
  <c r="L2092" i="1"/>
  <c r="L2546" i="1"/>
  <c r="L1175" i="1"/>
  <c r="L2194" i="1"/>
  <c r="L402" i="1"/>
  <c r="L1259" i="1"/>
  <c r="L1131" i="1"/>
  <c r="L1889" i="1"/>
  <c r="L3354" i="1"/>
  <c r="L421" i="1"/>
  <c r="L152" i="1"/>
  <c r="L327" i="1"/>
  <c r="L355" i="1"/>
  <c r="L1234" i="1"/>
  <c r="L1971" i="1"/>
  <c r="L3325" i="1"/>
  <c r="L3211" i="1"/>
  <c r="L1164" i="1"/>
  <c r="L1161" i="1"/>
  <c r="L2222" i="1"/>
  <c r="L2001" i="1"/>
  <c r="L1306" i="1"/>
  <c r="L195" i="1"/>
  <c r="L1974" i="1"/>
  <c r="L720" i="1"/>
  <c r="L3090" i="1"/>
  <c r="L555" i="1"/>
  <c r="L1446" i="1"/>
  <c r="L247" i="1"/>
  <c r="L2606" i="1"/>
  <c r="L2116" i="1"/>
  <c r="L381" i="1"/>
  <c r="L939" i="1"/>
  <c r="L1698" i="1"/>
  <c r="L2588" i="1"/>
  <c r="L2900" i="1"/>
  <c r="L3230" i="1"/>
  <c r="L321" i="1"/>
  <c r="L709" i="1"/>
  <c r="L893" i="1"/>
  <c r="L1720" i="1"/>
  <c r="L2272" i="1"/>
  <c r="L3086" i="1"/>
  <c r="L2693" i="1"/>
  <c r="L391" i="1"/>
  <c r="L953" i="1"/>
  <c r="L1730" i="1"/>
  <c r="L2596" i="1"/>
  <c r="L2912" i="1"/>
  <c r="L3254" i="1"/>
  <c r="L3356" i="1"/>
  <c r="L160" i="1"/>
  <c r="L513" i="1"/>
  <c r="L1612" i="1"/>
  <c r="L2622" i="1"/>
  <c r="L3014" i="1"/>
  <c r="L3017" i="1"/>
  <c r="L250" i="1"/>
  <c r="L1116" i="1"/>
  <c r="L1601" i="1"/>
  <c r="L1981" i="1"/>
  <c r="L138" i="1"/>
  <c r="L261" i="1"/>
  <c r="L190" i="1"/>
  <c r="L2220" i="1"/>
  <c r="L2706" i="1"/>
  <c r="L181" i="1"/>
  <c r="L1874" i="1"/>
  <c r="L1105" i="1"/>
  <c r="L318" i="1"/>
  <c r="L777" i="1"/>
  <c r="L1741" i="1"/>
  <c r="L2280" i="1"/>
  <c r="L1154" i="1"/>
  <c r="L2874" i="1"/>
  <c r="L788" i="1"/>
  <c r="L1208" i="1"/>
  <c r="L1061" i="1"/>
  <c r="L1830" i="1"/>
  <c r="L3286" i="1"/>
  <c r="L3016" i="1"/>
  <c r="L120" i="1"/>
  <c r="L197" i="1"/>
  <c r="L99" i="1"/>
  <c r="L1153" i="1"/>
  <c r="L1901" i="1"/>
  <c r="L3293" i="1"/>
  <c r="L2764" i="1"/>
  <c r="L700" i="1"/>
  <c r="L934" i="1"/>
  <c r="L235" i="1"/>
  <c r="L1254" i="1"/>
  <c r="L2946" i="1"/>
  <c r="L2239" i="1"/>
  <c r="L115" i="1"/>
  <c r="L692" i="1"/>
  <c r="L888" i="1"/>
  <c r="L2057" i="1"/>
  <c r="L1227" i="1"/>
  <c r="L2902" i="1"/>
  <c r="L2171" i="1"/>
  <c r="L16" i="1"/>
  <c r="L242" i="1"/>
  <c r="L1117" i="1"/>
  <c r="L1977" i="1"/>
  <c r="L999" i="1"/>
  <c r="L3189" i="1"/>
  <c r="L2922" i="1"/>
  <c r="L325" i="1"/>
  <c r="L783" i="1"/>
  <c r="L1745" i="1"/>
  <c r="L2289" i="1"/>
  <c r="L1197" i="1"/>
  <c r="L2895" i="1"/>
  <c r="L2619" i="1"/>
  <c r="L399" i="1"/>
  <c r="L1603" i="1"/>
  <c r="L778" i="1"/>
  <c r="L2015" i="1"/>
  <c r="L2426" i="1"/>
  <c r="L3347" i="1"/>
  <c r="L492" i="1"/>
  <c r="L1012" i="1"/>
  <c r="L1497" i="1"/>
  <c r="L1568" i="1"/>
  <c r="L1542" i="1"/>
  <c r="L2082" i="1"/>
  <c r="L3080" i="1"/>
  <c r="L804" i="1"/>
  <c r="L1515" i="1"/>
  <c r="L1948" i="1"/>
  <c r="L1238" i="1"/>
  <c r="L2100" i="1"/>
  <c r="L3335" i="1"/>
  <c r="L271" i="1"/>
  <c r="L385" i="1"/>
  <c r="L1313" i="1"/>
  <c r="L2238" i="1"/>
  <c r="L2717" i="1"/>
  <c r="L2489" i="1"/>
  <c r="L2820" i="1"/>
  <c r="L1840" i="1"/>
  <c r="L408" i="1"/>
  <c r="L110" i="1"/>
  <c r="L136" i="1"/>
  <c r="L1770" i="1"/>
  <c r="L233" i="1"/>
  <c r="L2255" i="1"/>
  <c r="L834" i="1"/>
  <c r="L3274" i="1"/>
  <c r="L987" i="1"/>
  <c r="L1967" i="1"/>
  <c r="L1619" i="1"/>
  <c r="L2232" i="1"/>
  <c r="L2898" i="1"/>
  <c r="L792" i="1"/>
  <c r="L1224" i="1"/>
  <c r="L1070" i="1"/>
  <c r="L1837" i="1"/>
  <c r="L3310" i="1"/>
  <c r="L3032" i="1"/>
  <c r="L392" i="1"/>
  <c r="L789" i="1"/>
  <c r="L1397" i="1"/>
  <c r="L995" i="1"/>
  <c r="L2888" i="1"/>
  <c r="L781" i="1"/>
  <c r="L3200" i="1"/>
  <c r="L800" i="1"/>
  <c r="L1255" i="1"/>
  <c r="L1111" i="1"/>
  <c r="L1859" i="1"/>
  <c r="L3342" i="1"/>
  <c r="L3064" i="1"/>
  <c r="L147" i="1"/>
  <c r="L302" i="1"/>
  <c r="L315" i="1"/>
  <c r="L1221" i="1"/>
  <c r="L1960" i="1"/>
  <c r="L3317" i="1"/>
  <c r="L3167" i="1"/>
  <c r="L565" i="1"/>
  <c r="L81" i="1"/>
  <c r="L1029" i="1"/>
  <c r="L2412" i="1"/>
  <c r="L253" i="1"/>
  <c r="L286" i="1"/>
  <c r="L1305" i="1"/>
  <c r="L2628" i="1"/>
  <c r="L3077" i="1"/>
  <c r="L1293" i="1"/>
  <c r="L2652" i="1"/>
  <c r="L3197" i="1"/>
  <c r="L246" i="1"/>
  <c r="L866" i="1"/>
  <c r="L1564" i="1"/>
  <c r="L2552" i="1"/>
  <c r="L2815" i="1"/>
  <c r="L3130" i="1"/>
  <c r="L49" i="1"/>
  <c r="L1499" i="1"/>
  <c r="L1916" i="1"/>
  <c r="L1127" i="1"/>
  <c r="L1941" i="1"/>
  <c r="L3303" i="1"/>
  <c r="L239" i="1"/>
  <c r="L203" i="1"/>
  <c r="L1297" i="1"/>
  <c r="L2206" i="1"/>
  <c r="L2685" i="1"/>
  <c r="L2351" i="1"/>
  <c r="L2705" i="1"/>
  <c r="L413" i="1"/>
  <c r="L1411" i="1"/>
  <c r="L1686" i="1"/>
  <c r="L2254" i="1"/>
  <c r="L2941" i="1"/>
  <c r="L3087" i="1"/>
  <c r="L12" i="1"/>
  <c r="L361" i="1"/>
  <c r="L1403" i="1"/>
  <c r="L1654" i="1"/>
  <c r="L2236" i="1"/>
  <c r="L2875" i="1"/>
  <c r="L3018" i="1"/>
  <c r="L63" i="1"/>
  <c r="L839" i="1"/>
  <c r="L1067" i="1"/>
  <c r="L1965" i="1"/>
  <c r="L2437" i="1"/>
  <c r="L3282" i="1"/>
  <c r="L551" i="1"/>
  <c r="L254" i="1"/>
  <c r="L875" i="1"/>
  <c r="L1570" i="1"/>
  <c r="L2556" i="1"/>
  <c r="L2822" i="1"/>
  <c r="L3138" i="1"/>
  <c r="L3300" i="1"/>
  <c r="L473" i="1"/>
  <c r="L843" i="1"/>
  <c r="L1803" i="1"/>
  <c r="L2754" i="1"/>
  <c r="L3101" i="1"/>
  <c r="L2086" i="1"/>
  <c r="L353" i="1"/>
  <c r="L807" i="1"/>
  <c r="L1753" i="1"/>
  <c r="L2307" i="1"/>
  <c r="L1344" i="1"/>
  <c r="L2907" i="1"/>
  <c r="L2707" i="1"/>
  <c r="L107" i="1"/>
  <c r="L1771" i="1"/>
  <c r="L1484" i="1"/>
  <c r="L2545" i="1"/>
  <c r="L2950" i="1"/>
  <c r="L2233" i="1"/>
  <c r="L186" i="1"/>
  <c r="L1084" i="1"/>
  <c r="L1569" i="1"/>
  <c r="L1871" i="1"/>
  <c r="L1950" i="1"/>
  <c r="L2358" i="1"/>
  <c r="L1839" i="1"/>
  <c r="L2452" i="1"/>
  <c r="L346" i="1"/>
  <c r="L2819" i="1"/>
  <c r="L149" i="1"/>
  <c r="L2178" i="1"/>
  <c r="L1088" i="1"/>
  <c r="L2367" i="1"/>
  <c r="L1001" i="1"/>
  <c r="L2317" i="1"/>
  <c r="L1459" i="1"/>
  <c r="L3223" i="1"/>
  <c r="L1637" i="1"/>
  <c r="L2586" i="1"/>
  <c r="L2575" i="1"/>
  <c r="L67" i="1"/>
  <c r="L1503" i="1"/>
  <c r="L1925" i="1"/>
  <c r="L1149" i="1"/>
  <c r="L1964" i="1"/>
  <c r="L3311" i="1"/>
  <c r="L29" i="1"/>
  <c r="L351" i="1"/>
  <c r="L1653" i="1"/>
  <c r="L2106" i="1"/>
  <c r="L1252" i="1"/>
  <c r="L2639" i="1"/>
  <c r="L2990" i="1"/>
  <c r="L98" i="1"/>
  <c r="L1511" i="1"/>
  <c r="L1943" i="1"/>
  <c r="L1191" i="1"/>
  <c r="L2080" i="1"/>
  <c r="L3327" i="1"/>
  <c r="L262" i="1"/>
  <c r="L310" i="1"/>
  <c r="L1309" i="1"/>
  <c r="L2229" i="1"/>
  <c r="L2712" i="1"/>
  <c r="L2463" i="1"/>
  <c r="L2799" i="1"/>
  <c r="L591" i="1"/>
  <c r="L458" i="1"/>
  <c r="L1906" i="1"/>
  <c r="L2668" i="1"/>
  <c r="L168" i="1"/>
  <c r="L1076" i="1"/>
  <c r="L1561" i="1"/>
  <c r="L2976" i="1"/>
  <c r="L1728" i="1"/>
  <c r="L2197" i="1"/>
  <c r="L3024" i="1"/>
  <c r="L2979" i="1"/>
  <c r="L756" i="1"/>
  <c r="L1097" i="1"/>
  <c r="L931" i="1"/>
  <c r="L1592" i="1"/>
  <c r="L3186" i="1"/>
  <c r="L2790" i="1"/>
  <c r="L497" i="1"/>
  <c r="L1755" i="1"/>
  <c r="L1420" i="1"/>
  <c r="L2494" i="1"/>
  <c r="L2918" i="1"/>
  <c r="L1037" i="1"/>
  <c r="L154" i="1"/>
  <c r="L1068" i="1"/>
  <c r="L1553" i="1"/>
  <c r="L1813" i="1"/>
  <c r="L1822" i="1"/>
  <c r="L2267" i="1"/>
  <c r="L2985" i="1"/>
  <c r="L57" i="1"/>
  <c r="L1667" i="1"/>
  <c r="L1063" i="1"/>
  <c r="L2256" i="1"/>
  <c r="L2613" i="1"/>
  <c r="L1787" i="1"/>
  <c r="L11" i="1"/>
  <c r="L7" i="1"/>
  <c r="L1659" i="1"/>
  <c r="L1043" i="1"/>
  <c r="L2227" i="1"/>
  <c r="L2595" i="1"/>
  <c r="L1432" i="1"/>
  <c r="L448" i="1"/>
  <c r="L937" i="1"/>
  <c r="L1453" i="1"/>
  <c r="L1249" i="1"/>
  <c r="L1057" i="1"/>
  <c r="L1482" i="1"/>
  <c r="L1836" i="1"/>
  <c r="L760" i="1"/>
  <c r="L1115" i="1"/>
  <c r="L947" i="1"/>
  <c r="L1664" i="1"/>
  <c r="L3198" i="1"/>
  <c r="L2826" i="1"/>
  <c r="L257" i="1"/>
  <c r="L633" i="1"/>
  <c r="L742" i="1"/>
  <c r="L1546" i="1"/>
  <c r="L2169" i="1"/>
  <c r="L2951" i="1"/>
  <c r="L2899" i="1"/>
  <c r="L287" i="1"/>
  <c r="L889" i="1"/>
  <c r="L1602" i="1"/>
  <c r="L2564" i="1"/>
  <c r="L2843" i="1"/>
  <c r="L3158" i="1"/>
  <c r="L3044" i="1"/>
  <c r="L572" i="1"/>
  <c r="L1230" i="1"/>
  <c r="L972" i="1"/>
  <c r="L1831" i="1"/>
  <c r="L3269" i="1"/>
  <c r="L1098" i="1"/>
  <c r="L533" i="1"/>
  <c r="L942" i="1"/>
  <c r="L707" i="1"/>
  <c r="L2380" i="1"/>
  <c r="L2196" i="1"/>
  <c r="L3052" i="1"/>
  <c r="L2884" i="1"/>
  <c r="L2791" i="1"/>
  <c r="L859" i="1"/>
  <c r="L1069" i="1"/>
  <c r="L1060" i="1"/>
  <c r="L2218" i="1"/>
  <c r="L1555" i="1"/>
  <c r="L2692" i="1"/>
  <c r="L1049" i="1"/>
  <c r="L2812" i="1"/>
  <c r="L1477" i="1"/>
  <c r="L2483" i="1"/>
  <c r="L894" i="1"/>
  <c r="L414" i="1"/>
  <c r="L2864" i="1"/>
  <c r="L505" i="1"/>
  <c r="L1759" i="1"/>
  <c r="L1426" i="1"/>
  <c r="L2513" i="1"/>
  <c r="L2923" i="1"/>
  <c r="L1364" i="1"/>
  <c r="L617" i="1"/>
  <c r="L562" i="1"/>
  <c r="L1190" i="1"/>
  <c r="L2464" i="1"/>
  <c r="L2543" i="1"/>
  <c r="L2697" i="1"/>
  <c r="L3219" i="1"/>
  <c r="L544" i="1"/>
  <c r="L1767" i="1"/>
  <c r="L1458" i="1"/>
  <c r="L2526" i="1"/>
  <c r="L2939" i="1"/>
  <c r="L2157" i="1"/>
  <c r="L177" i="1"/>
  <c r="L1080" i="1"/>
  <c r="L1565" i="1"/>
  <c r="L1864" i="1"/>
  <c r="L1939" i="1"/>
  <c r="L2350" i="1"/>
  <c r="L1143" i="1"/>
  <c r="L103" i="1"/>
  <c r="L1327" i="1"/>
  <c r="L1360" i="1"/>
  <c r="L2085" i="1"/>
  <c r="L525" i="1"/>
  <c r="L928" i="1"/>
  <c r="L650" i="1"/>
  <c r="L3338" i="1"/>
  <c r="L314" i="1"/>
  <c r="L2680" i="1"/>
  <c r="L958" i="1"/>
  <c r="L557" i="1"/>
  <c r="L578" i="1"/>
  <c r="L1467" i="1"/>
  <c r="L1852" i="1"/>
  <c r="L811" i="1"/>
  <c r="L1610" i="1"/>
  <c r="L80" i="1"/>
  <c r="L586" i="1"/>
  <c r="L1209" i="1"/>
  <c r="L646" i="1"/>
  <c r="L1734" i="1"/>
  <c r="L3253" i="1"/>
  <c r="L3296" i="1"/>
  <c r="L502" i="1"/>
  <c r="L910" i="1"/>
  <c r="L442" i="1"/>
  <c r="L2364" i="1"/>
  <c r="L2090" i="1"/>
  <c r="L3020" i="1"/>
  <c r="L3023" i="1"/>
  <c r="L61" i="1"/>
  <c r="L1053" i="1"/>
  <c r="L1931" i="1"/>
  <c r="L2882" i="1"/>
  <c r="L3165" i="1"/>
  <c r="L2741" i="1"/>
  <c r="L340" i="1"/>
  <c r="L30" i="1"/>
  <c r="L1039" i="1"/>
  <c r="L1913" i="1"/>
  <c r="L2866" i="1"/>
  <c r="L3157" i="1"/>
  <c r="L2684" i="1"/>
  <c r="L215" i="1"/>
  <c r="L691" i="1"/>
  <c r="L1709" i="1"/>
  <c r="L2216" i="1"/>
  <c r="L1825" i="1"/>
  <c r="L2795" i="1"/>
  <c r="L2195" i="1"/>
  <c r="L587" i="1"/>
  <c r="L1471" i="1"/>
  <c r="L1861" i="1"/>
  <c r="L851" i="1"/>
  <c r="L1642" i="1"/>
  <c r="L3247" i="1"/>
  <c r="L360" i="1"/>
  <c r="L703" i="1"/>
  <c r="L1365" i="1"/>
  <c r="L743" i="1"/>
  <c r="L2824" i="1"/>
  <c r="L2847" i="1"/>
  <c r="L3079" i="1"/>
  <c r="L768" i="1"/>
  <c r="L1128" i="1"/>
  <c r="L976" i="1"/>
  <c r="L1684" i="1"/>
  <c r="L3222" i="1"/>
  <c r="L2883" i="1"/>
  <c r="L96" i="1"/>
  <c r="L38" i="1"/>
  <c r="L1277" i="1"/>
  <c r="L2165" i="1"/>
  <c r="L2642" i="1"/>
  <c r="L2201" i="1"/>
  <c r="L2525" i="1"/>
  <c r="L517" i="1"/>
  <c r="L427" i="1"/>
  <c r="L1842" i="1"/>
  <c r="L2636" i="1"/>
  <c r="L2992" i="1"/>
  <c r="L3358" i="1"/>
  <c r="L605" i="1"/>
  <c r="L2518" i="1"/>
  <c r="L1395" i="1"/>
  <c r="L2964" i="1"/>
  <c r="L1527" i="1"/>
  <c r="L3359" i="1"/>
  <c r="L1573" i="1"/>
  <c r="L2155" i="1"/>
  <c r="L693" i="1"/>
  <c r="L2708" i="1"/>
  <c r="L1838" i="1"/>
  <c r="L1778" i="1"/>
  <c r="L2074" i="1"/>
  <c r="L2103" i="1"/>
  <c r="L84" i="1"/>
  <c r="L604" i="1"/>
  <c r="L1214" i="1"/>
  <c r="L771" i="1"/>
  <c r="L1795" i="1"/>
  <c r="L3257" i="1"/>
  <c r="L3312" i="1"/>
  <c r="L668" i="1"/>
  <c r="L821" i="1"/>
  <c r="L2011" i="1"/>
  <c r="L1002" i="1"/>
  <c r="L3365" i="1"/>
  <c r="L2093" i="1"/>
  <c r="L92" i="1"/>
  <c r="L13" i="1"/>
  <c r="L1225" i="1"/>
  <c r="L881" i="1"/>
  <c r="L1818" i="1"/>
  <c r="L3265" i="1"/>
  <c r="L3344" i="1"/>
  <c r="L529" i="1"/>
  <c r="L933" i="1"/>
  <c r="L670" i="1"/>
  <c r="L2376" i="1"/>
  <c r="L2137" i="1"/>
  <c r="L3041" i="1"/>
  <c r="L3091" i="1"/>
  <c r="L349" i="1"/>
  <c r="L1583" i="1"/>
  <c r="L521" i="1"/>
  <c r="L1912" i="1"/>
  <c r="L501" i="1"/>
  <c r="L374" i="1"/>
  <c r="L1824" i="1"/>
  <c r="L2828" i="1"/>
  <c r="L224" i="1"/>
  <c r="L2335" i="1"/>
  <c r="L24" i="1"/>
  <c r="L992" i="1"/>
  <c r="L332" i="1"/>
  <c r="L1723" i="1"/>
  <c r="L1292" i="1"/>
  <c r="L2417" i="1"/>
  <c r="L2809" i="1"/>
  <c r="L166" i="1"/>
  <c r="L968" i="1"/>
  <c r="L1261" i="1"/>
  <c r="L2133" i="1"/>
  <c r="L2603" i="1"/>
  <c r="L1949" i="1"/>
  <c r="L2389" i="1"/>
  <c r="L459" i="1"/>
  <c r="L206" i="1"/>
  <c r="L1810" i="1"/>
  <c r="L2620" i="1"/>
  <c r="L2960" i="1"/>
  <c r="L3318" i="1"/>
  <c r="L31" i="1"/>
  <c r="L794" i="1"/>
  <c r="L1003" i="1"/>
  <c r="L1892" i="1"/>
  <c r="L2373" i="1"/>
  <c r="L3202" i="1"/>
  <c r="L1268" i="1"/>
  <c r="L21" i="1"/>
  <c r="L775" i="1"/>
  <c r="L975" i="1"/>
  <c r="L1863" i="1"/>
  <c r="L2347" i="1"/>
  <c r="L3174" i="1"/>
  <c r="L3284" i="1"/>
  <c r="L137" i="1"/>
  <c r="L761" i="1"/>
  <c r="L1436" i="1"/>
  <c r="L2520" i="1"/>
  <c r="L2723" i="1"/>
  <c r="L2994" i="1"/>
  <c r="L3055" i="1"/>
  <c r="L357" i="1"/>
  <c r="L1727" i="1"/>
  <c r="L1298" i="1"/>
  <c r="L2423" i="1"/>
  <c r="L2816" i="1"/>
  <c r="L3204" i="1"/>
  <c r="L291" i="1"/>
  <c r="L140" i="1"/>
  <c r="L1621" i="1"/>
  <c r="L2040" i="1"/>
  <c r="L1066" i="1"/>
  <c r="L2521" i="1"/>
  <c r="L2045" i="1"/>
  <c r="L610" i="1"/>
  <c r="L1479" i="1"/>
  <c r="L1879" i="1"/>
  <c r="L924" i="1"/>
  <c r="L1823" i="1"/>
  <c r="L3263" i="1"/>
  <c r="L198" i="1"/>
  <c r="L1048" i="1"/>
  <c r="L1533" i="1"/>
  <c r="L1752" i="1"/>
  <c r="L1722" i="1"/>
  <c r="L2189" i="1"/>
  <c r="L2310" i="1"/>
  <c r="L840" i="1"/>
  <c r="L1295" i="1"/>
  <c r="L1242" i="1"/>
  <c r="L1991" i="1"/>
  <c r="L1926" i="1"/>
  <c r="L2136" i="1"/>
  <c r="L567" i="1"/>
  <c r="L3121" i="1"/>
  <c r="L1413" i="1"/>
  <c r="L3232" i="1"/>
  <c r="L1545" i="1"/>
  <c r="L2996" i="1"/>
  <c r="L2030" i="1"/>
  <c r="L1059" i="1"/>
  <c r="L1958" i="1"/>
  <c r="L1847" i="1"/>
  <c r="L1414" i="1"/>
  <c r="L3292" i="1"/>
  <c r="L2095" i="1"/>
  <c r="L3239" i="1"/>
  <c r="L175" i="1"/>
  <c r="L973" i="1"/>
  <c r="L1265" i="1"/>
  <c r="L2142" i="1"/>
  <c r="L2610" i="1"/>
  <c r="L2060" i="1"/>
  <c r="L2414" i="1"/>
  <c r="L288" i="1"/>
  <c r="L1379" i="1"/>
  <c r="L1558" i="1"/>
  <c r="L2190" i="1"/>
  <c r="L2719" i="1"/>
  <c r="L2849" i="1"/>
  <c r="L189" i="1"/>
  <c r="L991" i="1"/>
  <c r="L1273" i="1"/>
  <c r="L2156" i="1"/>
  <c r="L2635" i="1"/>
  <c r="L2163" i="1"/>
  <c r="L2506" i="1"/>
  <c r="L506" i="1"/>
  <c r="L401" i="1"/>
  <c r="L1833" i="1"/>
  <c r="L2632" i="1"/>
  <c r="L2981" i="1"/>
  <c r="L3350" i="1"/>
  <c r="L2963" i="1"/>
  <c r="L370" i="1"/>
  <c r="L774" i="1"/>
  <c r="L1746" i="1"/>
  <c r="L2711" i="1"/>
  <c r="L832" i="1"/>
  <c r="L1287" i="1"/>
  <c r="L1207" i="1"/>
  <c r="L358" i="1"/>
  <c r="L1633" i="1"/>
  <c r="L2686" i="1"/>
  <c r="L269" i="1"/>
  <c r="L1009" i="1"/>
  <c r="L48" i="1"/>
  <c r="L466" i="1"/>
  <c r="L1166" i="1"/>
  <c r="L2041" i="1"/>
  <c r="L1472" i="1"/>
  <c r="L3221" i="1"/>
  <c r="L512" i="1"/>
  <c r="L1032" i="1"/>
  <c r="L1517" i="1"/>
  <c r="L1670" i="1"/>
  <c r="L1656" i="1"/>
  <c r="L2141" i="1"/>
  <c r="L3299" i="1"/>
  <c r="L824" i="1"/>
  <c r="L1279" i="1"/>
  <c r="L1174" i="1"/>
  <c r="L1940" i="1"/>
  <c r="L1218" i="1"/>
  <c r="L1630" i="1"/>
  <c r="L424" i="1"/>
  <c r="L891" i="1"/>
  <c r="L1429" i="1"/>
  <c r="L1141" i="1"/>
  <c r="L674" i="1"/>
  <c r="L1286" i="1"/>
  <c r="L3272" i="1"/>
  <c r="L416" i="1"/>
  <c r="L873" i="1"/>
  <c r="L1421" i="1"/>
  <c r="L1094" i="1"/>
  <c r="L612" i="1"/>
  <c r="L1163" i="1"/>
  <c r="L3248" i="1"/>
  <c r="L724" i="1"/>
  <c r="L1019" i="1"/>
  <c r="L731" i="1"/>
  <c r="L1418" i="1"/>
  <c r="L3102" i="1"/>
  <c r="L2325" i="1"/>
  <c r="L52" i="1"/>
  <c r="L482" i="1"/>
  <c r="L1171" i="1"/>
  <c r="L2050" i="1"/>
  <c r="L1504" i="1"/>
  <c r="L3225" i="1"/>
  <c r="L3108" i="1"/>
  <c r="L585" i="1"/>
  <c r="L341" i="1"/>
  <c r="L1121" i="1"/>
  <c r="L2432" i="1"/>
  <c r="L2425" i="1"/>
  <c r="L2573" i="1"/>
  <c r="L2509" i="1"/>
  <c r="L405" i="1"/>
  <c r="L1735" i="1"/>
  <c r="L1330" i="1"/>
  <c r="L2449" i="1"/>
  <c r="L2844" i="1"/>
  <c r="L3252" i="1"/>
  <c r="L113" i="1"/>
  <c r="L869" i="1"/>
  <c r="L1789" i="1"/>
  <c r="L2344" i="1"/>
  <c r="L1868" i="1"/>
  <c r="L2977" i="1"/>
  <c r="L2942" i="1"/>
  <c r="L217" i="1"/>
  <c r="L1551" i="1"/>
  <c r="L2021" i="1"/>
  <c r="L1518" i="1"/>
  <c r="L2246" i="1"/>
  <c r="L2626" i="1"/>
  <c r="L471" i="1"/>
  <c r="L2666" i="1"/>
  <c r="L1622" i="1"/>
  <c r="L1137" i="1"/>
  <c r="L1975" i="1"/>
  <c r="L1920" i="1"/>
  <c r="L1878" i="1"/>
  <c r="L2755" i="1"/>
  <c r="L1408" i="1"/>
  <c r="L3168" i="1"/>
  <c r="L705" i="1"/>
  <c r="L323" i="1"/>
  <c r="L1162" i="1"/>
  <c r="L3188" i="1"/>
  <c r="L516" i="1"/>
  <c r="L1036" i="1"/>
  <c r="L1521" i="1"/>
  <c r="L1690" i="1"/>
  <c r="L1672" i="1"/>
  <c r="L2150" i="1"/>
  <c r="L3331" i="1"/>
  <c r="L514" i="1"/>
  <c r="L1635" i="1"/>
  <c r="L967" i="1"/>
  <c r="L2146" i="1"/>
  <c r="L2493" i="1"/>
  <c r="L2750" i="1"/>
  <c r="L524" i="1"/>
  <c r="L1044" i="1"/>
  <c r="L1529" i="1"/>
  <c r="L1732" i="1"/>
  <c r="L1706" i="1"/>
  <c r="L2180" i="1"/>
  <c r="L1231" i="1"/>
  <c r="L836" i="1"/>
  <c r="L1291" i="1"/>
  <c r="L1217" i="1"/>
  <c r="L1983" i="1"/>
  <c r="L1832" i="1"/>
  <c r="L2107" i="1"/>
  <c r="L216" i="1"/>
  <c r="L518" i="1"/>
  <c r="L643" i="1"/>
  <c r="L1402" i="1"/>
  <c r="L2104" i="1"/>
  <c r="L199" i="1"/>
  <c r="L1543" i="1"/>
  <c r="L2007" i="1"/>
  <c r="L762" i="1"/>
  <c r="L2068" i="1"/>
  <c r="L550" i="1"/>
  <c r="L1134" i="1"/>
  <c r="L2404" i="1"/>
  <c r="L2372" i="1"/>
  <c r="L2128" i="1"/>
  <c r="L3036" i="1"/>
  <c r="L3066" i="1"/>
  <c r="L342" i="1"/>
  <c r="L1579" i="1"/>
  <c r="L183" i="1"/>
  <c r="L1887" i="1"/>
  <c r="L2323" i="1"/>
  <c r="L3144" i="1"/>
  <c r="L372" i="1"/>
  <c r="L739" i="1"/>
  <c r="L1377" i="1"/>
  <c r="L883" i="1"/>
  <c r="L2845" i="1"/>
  <c r="L155" i="1"/>
  <c r="L1251" i="1"/>
  <c r="L1125" i="1"/>
  <c r="L1877" i="1"/>
  <c r="L3289" i="1"/>
  <c r="L2670" i="1"/>
  <c r="L549" i="1"/>
  <c r="L974" i="1"/>
  <c r="L945" i="1"/>
  <c r="L2396" i="1"/>
  <c r="L2283" i="1"/>
  <c r="L2427" i="1"/>
  <c r="L3164" i="1"/>
  <c r="L240" i="1"/>
  <c r="L1699" i="1"/>
  <c r="L1220" i="1"/>
  <c r="L2353" i="1"/>
  <c r="L2745" i="1"/>
  <c r="L2932" i="1"/>
  <c r="L232" i="1"/>
  <c r="L1108" i="1"/>
  <c r="L1593" i="1"/>
  <c r="L1951" i="1"/>
  <c r="L540" i="1"/>
  <c r="L2409" i="1"/>
  <c r="L3159" i="1"/>
  <c r="L229" i="1"/>
  <c r="L1355" i="1"/>
  <c r="L1462" i="1"/>
  <c r="L2140" i="1"/>
  <c r="L2497" i="1"/>
  <c r="L2720" i="1"/>
  <c r="L5" i="1"/>
  <c r="L745" i="1"/>
  <c r="L920" i="1"/>
  <c r="L1834" i="1"/>
  <c r="L2315" i="1"/>
  <c r="L283" i="1"/>
  <c r="L1563" i="1"/>
  <c r="L2044" i="1"/>
  <c r="L1748" i="1"/>
  <c r="L2285" i="1"/>
  <c r="L2842" i="1"/>
  <c r="L356" i="1"/>
  <c r="L697" i="1"/>
  <c r="L1361" i="1"/>
  <c r="L714" i="1"/>
  <c r="L2813" i="1"/>
  <c r="L2811" i="1"/>
  <c r="L3065" i="1"/>
  <c r="L764" i="1"/>
  <c r="L1122" i="1"/>
  <c r="L961" i="1"/>
  <c r="L1674" i="1"/>
  <c r="L3210" i="1"/>
  <c r="L2862" i="1"/>
  <c r="L266" i="1"/>
  <c r="L641" i="1"/>
  <c r="L754" i="1"/>
  <c r="L1556" i="1"/>
  <c r="L2177" i="1"/>
  <c r="L2962" i="1"/>
  <c r="L2974" i="1"/>
  <c r="L625" i="1"/>
  <c r="L590" i="1"/>
  <c r="L1223" i="1"/>
  <c r="L2472" i="1"/>
  <c r="L2561" i="1"/>
  <c r="L2725" i="1"/>
  <c r="L3275" i="1"/>
  <c r="L434" i="1"/>
  <c r="L1423" i="1"/>
  <c r="L1744" i="1"/>
  <c r="L2277" i="1"/>
  <c r="L623" i="1"/>
  <c r="L558" i="1"/>
  <c r="L1929" i="1"/>
  <c r="L277" i="1"/>
  <c r="L3285" i="1"/>
  <c r="L1614" i="1"/>
  <c r="L2498" i="1"/>
  <c r="L592" i="1"/>
  <c r="L935" i="1"/>
  <c r="L1858" i="1"/>
  <c r="L2807" i="1"/>
  <c r="L3129" i="1"/>
  <c r="L2457" i="1"/>
  <c r="L429" i="1"/>
  <c r="L855" i="1"/>
  <c r="L1781" i="1"/>
  <c r="L2336" i="1"/>
  <c r="L1821" i="1"/>
  <c r="L2961" i="1"/>
  <c r="L801" i="1"/>
  <c r="L876" i="1"/>
  <c r="L631" i="1"/>
  <c r="L36" i="1"/>
  <c r="L1374" i="1"/>
  <c r="L2132" i="1"/>
  <c r="L626" i="1"/>
  <c r="L244" i="1"/>
  <c r="L943" i="1"/>
  <c r="L1237" i="1"/>
  <c r="L20" i="1"/>
  <c r="L983" i="1"/>
  <c r="L1228" i="1"/>
  <c r="L1574" i="1"/>
  <c r="L2431" i="1"/>
  <c r="L2541" i="1"/>
  <c r="L3120" i="1"/>
  <c r="L932" i="1"/>
  <c r="L1257" i="1"/>
  <c r="L2313" i="1"/>
  <c r="L2461" i="1"/>
  <c r="L3184" i="1"/>
  <c r="L446" i="1"/>
  <c r="L1611" i="1"/>
  <c r="L849" i="1"/>
  <c r="L2063" i="1"/>
  <c r="L2442" i="1"/>
  <c r="L2026" i="1"/>
  <c r="L404" i="1"/>
  <c r="L850" i="1"/>
  <c r="L1409" i="1"/>
  <c r="L1045" i="1"/>
  <c r="L2909" i="1"/>
  <c r="L293" i="1"/>
  <c r="L677" i="1"/>
  <c r="L1676" i="1"/>
  <c r="L2673" i="1"/>
  <c r="L3046" i="1"/>
  <c r="L1188" i="1"/>
  <c r="L282" i="1"/>
  <c r="L117" i="1"/>
  <c r="L1617" i="1"/>
  <c r="L2010" i="1"/>
  <c r="L985" i="1"/>
  <c r="L2511" i="1"/>
  <c r="L3348" i="1"/>
  <c r="L596" i="1"/>
  <c r="L1475" i="1"/>
  <c r="L1870" i="1"/>
  <c r="L890" i="1"/>
  <c r="L1800" i="1"/>
  <c r="L3255" i="1"/>
  <c r="L364" i="1"/>
  <c r="L715" i="1"/>
  <c r="L1369" i="1"/>
  <c r="L805" i="1"/>
  <c r="L2829" i="1"/>
  <c r="L2890" i="1"/>
  <c r="L3088" i="1"/>
  <c r="L676" i="1"/>
  <c r="L842" i="1"/>
  <c r="L2025" i="1"/>
  <c r="L1172" i="1"/>
  <c r="L2768" i="1"/>
  <c r="L2113" i="1"/>
  <c r="L3179" i="1"/>
  <c r="L132" i="1"/>
  <c r="L1679" i="1"/>
  <c r="L1159" i="1"/>
  <c r="L2278" i="1"/>
  <c r="L171" i="1"/>
  <c r="L1339" i="1"/>
  <c r="L1398" i="1"/>
  <c r="L2108" i="1"/>
  <c r="L2369" i="1"/>
  <c r="L2567" i="1"/>
  <c r="L312" i="1"/>
  <c r="L702" i="1"/>
  <c r="L856" i="1"/>
  <c r="L1700" i="1"/>
  <c r="L2250" i="1"/>
  <c r="L3074" i="1"/>
  <c r="L2447" i="1"/>
  <c r="L386" i="1"/>
  <c r="L948" i="1"/>
  <c r="L1724" i="1"/>
  <c r="L2592" i="1"/>
  <c r="L2906" i="1"/>
  <c r="L3242" i="1"/>
  <c r="L831" i="1"/>
  <c r="L2102" i="1"/>
  <c r="L1945" i="1"/>
  <c r="L267" i="1"/>
  <c r="L384" i="1"/>
  <c r="L2872" i="1"/>
  <c r="L1407" i="1"/>
  <c r="L222" i="1"/>
  <c r="L324" i="1"/>
  <c r="L2366" i="1"/>
  <c r="L256" i="1"/>
  <c r="L998" i="1"/>
  <c r="L2359" i="1"/>
  <c r="L2091" i="1"/>
  <c r="L345" i="1"/>
  <c r="L1303" i="1"/>
  <c r="L1658" i="1"/>
  <c r="L1450" i="1"/>
  <c r="L2370" i="1"/>
  <c r="L1969" i="1"/>
  <c r="L1809" i="1"/>
  <c r="L2047" i="1"/>
  <c r="L211" i="1"/>
  <c r="L503" i="1"/>
  <c r="L630" i="1"/>
  <c r="L1382" i="1"/>
  <c r="L2096" i="1"/>
  <c r="L2796" i="1"/>
  <c r="L2098" i="1"/>
  <c r="L597" i="1"/>
  <c r="L393" i="1"/>
  <c r="L1147" i="1"/>
  <c r="L2444" i="1"/>
  <c r="L145" i="1"/>
  <c r="L1064" i="1"/>
  <c r="L1549" i="1"/>
  <c r="L1805" i="1"/>
  <c r="L1799" i="1"/>
  <c r="L2258" i="1"/>
  <c r="L2916" i="1"/>
  <c r="L45" i="1"/>
  <c r="L1311" i="1"/>
  <c r="L1296" i="1"/>
  <c r="L2035" i="1"/>
  <c r="L2143" i="1"/>
  <c r="L2241" i="1"/>
  <c r="L74" i="1"/>
  <c r="L854" i="1"/>
  <c r="L1081" i="1"/>
  <c r="L1987" i="1"/>
  <c r="L2450" i="1"/>
  <c r="L3302" i="1"/>
  <c r="L1189" i="1"/>
  <c r="L568" i="1"/>
  <c r="L167" i="1"/>
  <c r="L1888" i="1"/>
  <c r="L2660" i="1"/>
  <c r="L3040" i="1"/>
  <c r="L1123" i="1"/>
  <c r="L3100" i="1"/>
  <c r="L523" i="1"/>
  <c r="L862" i="1"/>
  <c r="L1817" i="1"/>
  <c r="L2770" i="1"/>
  <c r="L3109" i="1"/>
  <c r="L2244" i="1"/>
  <c r="L71" i="1"/>
  <c r="L494" i="1"/>
  <c r="L1665" i="1"/>
  <c r="L2129" i="1"/>
  <c r="L179" i="1"/>
  <c r="L395" i="1"/>
  <c r="L469" i="1"/>
  <c r="L1290" i="1"/>
  <c r="L2029" i="1"/>
  <c r="L3353" i="1"/>
  <c r="L3323" i="1"/>
  <c r="L581" i="1"/>
  <c r="L299" i="1"/>
  <c r="L1101" i="1"/>
  <c r="L2428" i="1"/>
  <c r="L2415" i="1"/>
  <c r="L2563" i="1"/>
  <c r="L2253" i="1"/>
  <c r="L369" i="1"/>
  <c r="L1731" i="1"/>
  <c r="L1324" i="1"/>
  <c r="L2430" i="1"/>
  <c r="L2837" i="1"/>
  <c r="L3236" i="1"/>
  <c r="L296" i="1"/>
  <c r="L164" i="1"/>
  <c r="L1625" i="1"/>
  <c r="L2054" i="1"/>
  <c r="L1089" i="1"/>
  <c r="L2529" i="1"/>
  <c r="L2262" i="1"/>
  <c r="L322" i="1"/>
  <c r="L1387" i="1"/>
  <c r="L1590" i="1"/>
  <c r="L2204" i="1"/>
  <c r="L2762" i="1"/>
  <c r="L2905" i="1"/>
  <c r="L3238" i="1"/>
  <c r="L109" i="1"/>
  <c r="L1085" i="1"/>
  <c r="L1954" i="1"/>
  <c r="L665" i="1"/>
  <c r="L389" i="1"/>
  <c r="L1595" i="1"/>
  <c r="L738" i="1"/>
  <c r="L1982" i="1"/>
  <c r="L2357" i="1"/>
  <c r="L3291" i="1"/>
  <c r="L388" i="1"/>
  <c r="L782" i="1"/>
  <c r="L1393" i="1"/>
  <c r="L977" i="1"/>
  <c r="L2877" i="1"/>
  <c r="L3069" i="1"/>
  <c r="L3192" i="1"/>
  <c r="L796" i="1"/>
  <c r="L1240" i="1"/>
  <c r="L1091" i="1"/>
  <c r="L1845" i="1"/>
  <c r="L3326" i="1"/>
  <c r="L3048" i="1"/>
  <c r="L1401" i="1"/>
  <c r="L3208" i="1"/>
  <c r="L1294" i="1"/>
  <c r="L371" i="1"/>
  <c r="L467" i="1"/>
  <c r="L2477" i="1"/>
  <c r="L1681" i="1"/>
  <c r="L1301" i="1"/>
  <c r="L1274" i="1"/>
  <c r="L2773" i="1"/>
  <c r="L1129" i="1"/>
  <c r="L2400" i="1"/>
  <c r="L2752" i="1"/>
  <c r="L3135" i="1"/>
  <c r="L2886" i="1"/>
  <c r="L2186" i="1"/>
  <c r="L97" i="1"/>
  <c r="L753" i="1"/>
  <c r="L2558" i="1"/>
  <c r="L1486" i="1"/>
  <c r="L2226" i="1"/>
  <c r="L2371" i="1"/>
  <c r="L326" i="1"/>
  <c r="L615" i="1"/>
  <c r="L1341" i="1"/>
  <c r="L2293" i="1"/>
  <c r="L2776" i="1"/>
  <c r="L2683" i="1"/>
  <c r="L2980" i="1"/>
  <c r="L648" i="1"/>
  <c r="L723" i="1"/>
  <c r="L1970" i="1"/>
  <c r="L867" i="1"/>
  <c r="L493" i="1"/>
  <c r="L901" i="1"/>
  <c r="L387" i="1"/>
  <c r="L2360" i="1"/>
  <c r="L2079" i="1"/>
  <c r="L3009" i="1"/>
  <c r="L3011" i="1"/>
  <c r="L292" i="1"/>
  <c r="L1567" i="1"/>
  <c r="L2053" i="1"/>
  <c r="L1779" i="1"/>
  <c r="L2296" i="1"/>
  <c r="L2927" i="1"/>
  <c r="L456" i="1"/>
  <c r="L955" i="1"/>
  <c r="L1461" i="1"/>
  <c r="L1322" i="1"/>
  <c r="L1135" i="1"/>
  <c r="L1850" i="1"/>
  <c r="L2224" i="1"/>
  <c r="L65" i="1"/>
  <c r="L1319" i="1"/>
  <c r="L1328" i="1"/>
  <c r="L2070" i="1"/>
  <c r="L2210" i="1"/>
  <c r="L2338" i="1"/>
  <c r="L275" i="1"/>
  <c r="L647" i="1"/>
  <c r="L766" i="1"/>
  <c r="L1566" i="1"/>
  <c r="L2191" i="1"/>
  <c r="L2983" i="1"/>
  <c r="L3083" i="1"/>
  <c r="L629" i="1"/>
  <c r="L620" i="1"/>
  <c r="L1233" i="1"/>
  <c r="L2476" i="1"/>
  <c r="L294" i="1"/>
  <c r="L437" i="1"/>
  <c r="L1325" i="1"/>
  <c r="L2261" i="1"/>
  <c r="L2744" i="1"/>
  <c r="L2582" i="1"/>
  <c r="L2892" i="1"/>
  <c r="L632" i="1"/>
  <c r="L637" i="1"/>
  <c r="L1938" i="1"/>
  <c r="L563" i="1"/>
  <c r="L3297" i="1"/>
  <c r="L1646" i="1"/>
  <c r="L56" i="1"/>
  <c r="L490" i="1"/>
  <c r="L1177" i="1"/>
  <c r="L2059" i="1"/>
  <c r="L1604" i="1"/>
  <c r="L3229" i="1"/>
  <c r="L3131" i="1"/>
  <c r="L589" i="1"/>
  <c r="L362" i="1"/>
  <c r="L1130" i="1"/>
  <c r="L2436" i="1"/>
  <c r="L2433" i="1"/>
  <c r="L2581" i="1"/>
  <c r="L2534" i="1"/>
  <c r="L534" i="1"/>
  <c r="L1643" i="1"/>
  <c r="L993" i="1"/>
  <c r="L2176" i="1"/>
  <c r="L2562" i="1"/>
  <c r="L2863" i="1"/>
  <c r="L47" i="1"/>
  <c r="L823" i="1"/>
  <c r="L1035" i="1"/>
  <c r="L1914" i="1"/>
  <c r="L2405" i="1"/>
  <c r="L422" i="1"/>
  <c r="L822" i="1"/>
  <c r="L1783" i="1"/>
  <c r="L2738" i="1"/>
  <c r="L3093" i="1"/>
  <c r="L1999" i="1"/>
  <c r="L19" i="1"/>
  <c r="L331" i="1"/>
  <c r="L1649" i="1"/>
  <c r="L2097" i="1"/>
  <c r="L1229" i="1"/>
  <c r="L2631" i="1"/>
  <c r="L2948" i="1"/>
  <c r="L87" i="1"/>
  <c r="L1507" i="1"/>
  <c r="L1934" i="1"/>
  <c r="L1170" i="1"/>
  <c r="L2055" i="1"/>
  <c r="L3319" i="1"/>
  <c r="L2016" i="1"/>
  <c r="L2127" i="1"/>
  <c r="L474" i="1"/>
  <c r="L741" i="1"/>
  <c r="L770" i="1"/>
  <c r="L3021" i="1"/>
  <c r="L1680" i="1"/>
  <c r="L2215" i="1"/>
  <c r="L2967" i="1"/>
  <c r="L3001" i="1"/>
  <c r="L1986" i="1"/>
  <c r="L2304" i="1"/>
  <c r="L2959" i="1"/>
  <c r="L808" i="1"/>
  <c r="L1523" i="1"/>
  <c r="L1587" i="1"/>
  <c r="L1544" i="1"/>
  <c r="L2859" i="1"/>
  <c r="L23" i="1"/>
  <c r="L2615" i="1"/>
  <c r="L3003" i="1"/>
  <c r="L2975" i="1"/>
  <c r="L241" i="1"/>
  <c r="L1112" i="1"/>
  <c r="L1597" i="1"/>
  <c r="L1959" i="1"/>
  <c r="L686" i="1"/>
  <c r="L2470" i="1"/>
  <c r="L3196" i="1"/>
  <c r="L238" i="1"/>
  <c r="L1359" i="1"/>
  <c r="L1488" i="1"/>
  <c r="L2149" i="1"/>
  <c r="L454" i="1"/>
  <c r="L165" i="1"/>
  <c r="L1801" i="1"/>
  <c r="L2616" i="1"/>
  <c r="L2949" i="1"/>
  <c r="L3306" i="1"/>
  <c r="L2406" i="1"/>
  <c r="L320" i="1"/>
  <c r="L689" i="1"/>
  <c r="L1682" i="1"/>
  <c r="L2679" i="1"/>
  <c r="L3051" i="1"/>
  <c r="L1466" i="1"/>
  <c r="L245" i="1"/>
  <c r="L710" i="1"/>
  <c r="L1717" i="1"/>
  <c r="L2234" i="1"/>
  <c r="L1860" i="1"/>
  <c r="L2810" i="1"/>
  <c r="L2251" i="1"/>
  <c r="L316" i="1"/>
  <c r="L1575" i="1"/>
  <c r="L2071" i="1"/>
  <c r="L1876" i="1"/>
  <c r="L2314" i="1"/>
  <c r="L3103" i="1"/>
  <c r="L368" i="1"/>
  <c r="L727" i="1"/>
  <c r="L1373" i="1"/>
  <c r="L860" i="1"/>
  <c r="L2840" i="1"/>
  <c r="L2936" i="1"/>
  <c r="L3111" i="1"/>
  <c r="L680" i="1"/>
  <c r="L861" i="1"/>
  <c r="L2034" i="1"/>
  <c r="L1186" i="1"/>
  <c r="L209" i="1"/>
  <c r="L1096" i="1"/>
  <c r="L1581" i="1"/>
  <c r="L1908" i="1"/>
  <c r="L2033" i="1"/>
  <c r="L2383" i="1"/>
  <c r="L2585" i="1"/>
  <c r="L188" i="1"/>
  <c r="L1343" i="1"/>
  <c r="L1424" i="1"/>
  <c r="L2117" i="1"/>
  <c r="L2438" i="1"/>
  <c r="L2611" i="1"/>
  <c r="L116" i="1"/>
  <c r="L918" i="1"/>
  <c r="L1200" i="1"/>
  <c r="L2087" i="1"/>
  <c r="L2539" i="1"/>
  <c r="L1133" i="1"/>
  <c r="L2166" i="1"/>
  <c r="L640" i="1"/>
  <c r="L699" i="1"/>
  <c r="L1952" i="1"/>
  <c r="L662" i="1"/>
  <c r="L3313" i="1"/>
  <c r="L1828" i="1"/>
  <c r="L3307" i="1"/>
  <c r="L622" i="1"/>
  <c r="L988" i="1"/>
  <c r="L1881" i="1"/>
  <c r="L2834" i="1"/>
  <c r="L3141" i="1"/>
  <c r="L2593" i="1"/>
  <c r="L436" i="1"/>
  <c r="L914" i="1"/>
  <c r="L1441" i="1"/>
  <c r="L1195" i="1"/>
  <c r="L243" i="1"/>
  <c r="L584" i="1"/>
  <c r="L681" i="1"/>
  <c r="L1464" i="1"/>
  <c r="L2148" i="1"/>
  <c r="L2908" i="1"/>
  <c r="L2713" i="1"/>
  <c r="L613" i="1"/>
  <c r="L526" i="1"/>
  <c r="L1181" i="1"/>
  <c r="L2460" i="1"/>
  <c r="L2535" i="1"/>
  <c r="L2689" i="1"/>
  <c r="L3195" i="1"/>
  <c r="L530" i="1"/>
  <c r="L1763" i="1"/>
  <c r="L1452" i="1"/>
  <c r="L2519" i="1"/>
  <c r="L2934" i="1"/>
  <c r="L1978" i="1"/>
  <c r="L1011" i="1"/>
  <c r="L708" i="1"/>
  <c r="L3015" i="1"/>
  <c r="L1150" i="1"/>
  <c r="L1627" i="1"/>
  <c r="L2397" i="1"/>
  <c r="L2161" i="1"/>
  <c r="L2696" i="1"/>
  <c r="L2259" i="1"/>
  <c r="L500" i="1"/>
  <c r="L1025" i="1"/>
  <c r="L2453" i="1"/>
  <c r="L496" i="1"/>
  <c r="L1263" i="1"/>
  <c r="L3351" i="1"/>
  <c r="L3227" i="1"/>
  <c r="L479" i="1"/>
  <c r="L1156" i="1"/>
  <c r="L2638" i="1"/>
  <c r="L1206" i="1"/>
  <c r="L1935" i="1"/>
  <c r="L3309" i="1"/>
  <c r="L3039" i="1"/>
  <c r="L561" i="1"/>
  <c r="L51" i="1"/>
  <c r="L1018" i="1"/>
  <c r="L2408" i="1"/>
  <c r="L2374" i="1"/>
  <c r="L2522" i="1"/>
  <c r="L1498" i="1"/>
  <c r="L451" i="1"/>
  <c r="L1615" i="1"/>
  <c r="L865" i="1"/>
  <c r="L2081" i="1"/>
  <c r="L820" i="1"/>
  <c r="L1275" i="1"/>
  <c r="L1165" i="1"/>
  <c r="L1918" i="1"/>
  <c r="L1082" i="1"/>
  <c r="L1368" i="1"/>
  <c r="L184" i="1"/>
  <c r="L410" i="1"/>
  <c r="L495" i="1"/>
  <c r="L1300" i="1"/>
  <c r="L2052" i="1"/>
  <c r="L3361" i="1"/>
  <c r="L3355" i="1"/>
  <c r="L178" i="1"/>
  <c r="L779" i="1"/>
  <c r="L1468" i="1"/>
  <c r="L2528" i="1"/>
  <c r="L2751" i="1"/>
  <c r="L3047" i="1"/>
  <c r="L3156" i="1"/>
  <c r="L347" i="1"/>
  <c r="L713" i="1"/>
  <c r="L1714" i="1"/>
  <c r="L2695" i="1"/>
  <c r="L3067" i="1"/>
  <c r="L1632" i="1"/>
  <c r="L305" i="1"/>
  <c r="L182" i="1"/>
  <c r="L1629" i="1"/>
  <c r="L2061" i="1"/>
  <c r="L1118" i="1"/>
  <c r="L2537" i="1"/>
  <c r="L2362" i="1"/>
  <c r="L338" i="1"/>
  <c r="L1391" i="1"/>
  <c r="L1616" i="1"/>
  <c r="L2213" i="1"/>
  <c r="L545" i="1"/>
  <c r="L965" i="1"/>
  <c r="L915" i="1"/>
  <c r="L2392" i="1"/>
  <c r="L2274" i="1"/>
  <c r="L3073" i="1"/>
  <c r="L3155" i="1"/>
  <c r="L394" i="1"/>
  <c r="L1599" i="1"/>
  <c r="L757" i="1"/>
  <c r="L2005" i="1"/>
  <c r="L2365" i="1"/>
  <c r="L3315" i="1"/>
  <c r="L488" i="1"/>
  <c r="L1008" i="1"/>
  <c r="L1493" i="1"/>
  <c r="L1496" i="1"/>
  <c r="L1524" i="1"/>
  <c r="L2058" i="1"/>
  <c r="L3012" i="1"/>
  <c r="L213" i="1"/>
  <c r="L1351" i="1"/>
  <c r="L1456" i="1"/>
  <c r="L2135" i="1"/>
  <c r="L2471" i="1"/>
  <c r="L2699" i="1"/>
  <c r="L339" i="1"/>
  <c r="L733" i="1"/>
  <c r="L911" i="1"/>
  <c r="L1812" i="1"/>
  <c r="L2301" i="1"/>
  <c r="L3110" i="1"/>
  <c r="L2903" i="1"/>
  <c r="L172" i="1"/>
  <c r="L655" i="1"/>
  <c r="L1697" i="1"/>
  <c r="L2193" i="1"/>
  <c r="L352" i="1"/>
  <c r="L685" i="1"/>
  <c r="L1357" i="1"/>
  <c r="L528" i="1"/>
  <c r="L2808" i="1"/>
  <c r="L2783" i="1"/>
  <c r="L3050" i="1"/>
  <c r="L664" i="1"/>
  <c r="L809" i="1"/>
  <c r="L2002" i="1"/>
  <c r="L984" i="1"/>
  <c r="L3357" i="1"/>
  <c r="L2084" i="1"/>
  <c r="L88" i="1"/>
  <c r="L611" i="1"/>
  <c r="L1219" i="1"/>
  <c r="L802" i="1"/>
  <c r="L1807" i="1"/>
  <c r="L3261" i="1"/>
  <c r="L2458" i="1"/>
  <c r="L1132" i="1"/>
  <c r="L91" i="1"/>
  <c r="L3173" i="1"/>
  <c r="L1729" i="1"/>
  <c r="L1389" i="1"/>
  <c r="L3172" i="1"/>
  <c r="L2245" i="1"/>
  <c r="L2377" i="1"/>
  <c r="L3002" i="1"/>
  <c r="L1020" i="1"/>
  <c r="L3193" i="1"/>
  <c r="L3175" i="1"/>
  <c r="L1016" i="1"/>
  <c r="L1140" i="1"/>
  <c r="L588" i="1"/>
  <c r="L2320" i="1"/>
  <c r="L2069" i="1"/>
  <c r="L2970" i="1"/>
  <c r="L737" i="1"/>
  <c r="L2701" i="1"/>
  <c r="L2446" i="1"/>
  <c r="L2742" i="1"/>
  <c r="L582" i="1"/>
  <c r="L403" i="1"/>
  <c r="L1897" i="1"/>
  <c r="L2664" i="1"/>
  <c r="L3045" i="1"/>
  <c r="L1212" i="1"/>
  <c r="L2954" i="1"/>
  <c r="L538" i="1"/>
  <c r="L871" i="1"/>
  <c r="L1826" i="1"/>
  <c r="L2775" i="1"/>
  <c r="L158" i="1"/>
  <c r="L1531" i="1"/>
  <c r="L1980" i="1"/>
  <c r="L1338" i="1"/>
  <c r="L2187" i="1"/>
  <c r="L3367" i="1"/>
  <c r="L303" i="1"/>
  <c r="L478" i="1"/>
  <c r="L1329" i="1"/>
  <c r="L2270" i="1"/>
  <c r="L2749" i="1"/>
  <c r="L2599" i="1"/>
  <c r="L2926" i="1"/>
  <c r="L732" i="1"/>
  <c r="L1033" i="1"/>
  <c r="L769" i="1"/>
  <c r="L1438" i="1"/>
  <c r="L3126" i="1"/>
  <c r="L2394" i="1"/>
  <c r="L202" i="1"/>
  <c r="L477" i="1"/>
  <c r="L608" i="1"/>
  <c r="L1320" i="1"/>
  <c r="L2089" i="1"/>
  <c r="L2761" i="1"/>
  <c r="L1956" i="1"/>
  <c r="L593" i="1"/>
  <c r="L377" i="1"/>
  <c r="L1138" i="1"/>
  <c r="L2440" i="1"/>
  <c r="L2441" i="1"/>
  <c r="L2589" i="1"/>
  <c r="L2645" i="1"/>
  <c r="L543" i="1"/>
  <c r="L1647" i="1"/>
  <c r="L1013" i="1"/>
  <c r="L2198" i="1"/>
  <c r="L536" i="1"/>
  <c r="L618" i="1"/>
  <c r="L1865" i="1"/>
  <c r="L2648" i="1"/>
  <c r="L3013" i="1"/>
  <c r="L885" i="1"/>
  <c r="L2947" i="1"/>
  <c r="L431" i="1"/>
  <c r="L833" i="1"/>
  <c r="L1794" i="1"/>
  <c r="L2743" i="1"/>
  <c r="L3097" i="1"/>
  <c r="L2049" i="1"/>
  <c r="L333" i="1"/>
  <c r="L795" i="1"/>
  <c r="L1749" i="1"/>
  <c r="L2298" i="1"/>
  <c r="L1243" i="1"/>
  <c r="L2901" i="1"/>
  <c r="L2669" i="1"/>
  <c r="L441" i="1"/>
  <c r="L1607" i="1"/>
  <c r="L817" i="1"/>
  <c r="L2051" i="1"/>
  <c r="L2434" i="1"/>
  <c r="L1905" i="1"/>
  <c r="L400" i="1"/>
  <c r="L813" i="1"/>
  <c r="L1405" i="1"/>
  <c r="L1027" i="1"/>
  <c r="L2904" i="1"/>
  <c r="L956" i="1"/>
  <c r="L3216" i="1"/>
  <c r="L102" i="1"/>
  <c r="L725" i="1"/>
  <c r="L1378" i="1"/>
  <c r="L2508" i="1"/>
  <c r="L273" i="1"/>
  <c r="L18" i="1"/>
  <c r="L1613" i="1"/>
  <c r="L2003" i="1"/>
  <c r="L949" i="1"/>
  <c r="L2503" i="1"/>
  <c r="L3316" i="1"/>
  <c r="L279" i="1"/>
  <c r="L1375" i="1"/>
  <c r="L1552" i="1"/>
  <c r="L2181" i="1"/>
  <c r="L2691" i="1"/>
  <c r="L2833" i="1"/>
  <c r="L180" i="1"/>
  <c r="L982" i="1"/>
  <c r="L1269" i="1"/>
  <c r="L2151" i="1"/>
  <c r="L2629" i="1"/>
  <c r="L2134" i="1"/>
  <c r="L396" i="1"/>
  <c r="L2893" i="1"/>
  <c r="L952" i="1"/>
  <c r="L2288" i="1"/>
  <c r="L2018" i="1"/>
  <c r="L922" i="1"/>
  <c r="L128" i="1"/>
  <c r="L2920" i="1"/>
  <c r="L2721" i="1"/>
  <c r="L265" i="1"/>
  <c r="L1505" i="1"/>
  <c r="L2937" i="1"/>
  <c r="L251" i="1"/>
  <c r="L1501" i="1"/>
  <c r="L1896" i="1"/>
  <c r="L2703" i="1"/>
  <c r="L2118" i="1"/>
  <c r="L951" i="1"/>
  <c r="L3145" i="1"/>
  <c r="L2930" i="1"/>
  <c r="L1857" i="1"/>
  <c r="L1927" i="1"/>
  <c r="L2342" i="1"/>
  <c r="L3147" i="1"/>
  <c r="L83" i="1"/>
  <c r="L1323" i="1"/>
  <c r="L1334" i="1"/>
  <c r="L2076" i="1"/>
  <c r="L2269" i="1"/>
  <c r="L2387" i="1"/>
  <c r="L280" i="1"/>
  <c r="L659" i="1"/>
  <c r="L815" i="1"/>
  <c r="L1576" i="1"/>
  <c r="L2221" i="1"/>
  <c r="L27" i="1"/>
  <c r="L127" i="1"/>
  <c r="L1548" i="1"/>
  <c r="L2583" i="1"/>
  <c r="L2982" i="1"/>
  <c r="L2678" i="1"/>
  <c r="L218" i="1"/>
  <c r="L1100" i="1"/>
  <c r="L1585" i="1"/>
  <c r="L1930" i="1"/>
  <c r="L2056" i="1"/>
  <c r="L2393" i="1"/>
  <c r="L2848" i="1"/>
  <c r="L491" i="1"/>
  <c r="L1443" i="1"/>
  <c r="L1806" i="1"/>
  <c r="L35" i="1"/>
  <c r="L1204" i="1"/>
  <c r="L3191" i="1"/>
  <c r="L317" i="1"/>
  <c r="L595" i="1"/>
  <c r="L1337" i="1"/>
  <c r="L2284" i="1"/>
  <c r="L2765" i="1"/>
  <c r="L2625" i="1"/>
  <c r="L2953" i="1"/>
  <c r="L644" i="1"/>
  <c r="L711" i="1"/>
  <c r="L1961" i="1"/>
  <c r="L755" i="1"/>
  <c r="L3321" i="1"/>
  <c r="L1875" i="1"/>
  <c r="L2805" i="1"/>
  <c r="L634" i="1"/>
  <c r="L1007" i="1"/>
  <c r="L1890" i="1"/>
  <c r="L2839" i="1"/>
  <c r="L25" i="1"/>
  <c r="L1307" i="1"/>
  <c r="L1270" i="1"/>
  <c r="L2028" i="1"/>
  <c r="L2075" i="1"/>
  <c r="L2214" i="1"/>
  <c r="L248" i="1"/>
  <c r="L606" i="1"/>
  <c r="L730" i="1"/>
  <c r="L1536" i="1"/>
  <c r="L2162" i="1"/>
  <c r="L2935" i="1"/>
  <c r="L2769" i="1"/>
  <c r="L270" i="1"/>
  <c r="L884" i="1"/>
  <c r="L1596" i="1"/>
  <c r="L2560" i="1"/>
  <c r="L2830" i="1"/>
  <c r="L3146" i="1"/>
  <c r="L2986" i="1"/>
  <c r="L498" i="1"/>
  <c r="L853" i="1"/>
  <c r="L1808" i="1"/>
  <c r="L2759" i="1"/>
  <c r="L3105" i="1"/>
  <c r="L2114" i="1"/>
  <c r="L62" i="1"/>
  <c r="L453" i="1"/>
  <c r="L1661" i="1"/>
  <c r="L2120" i="1"/>
  <c r="L1480" i="1"/>
  <c r="L2657" i="1"/>
  <c r="L3116" i="1"/>
  <c r="L712" i="1"/>
  <c r="L986" i="1"/>
  <c r="L653" i="1"/>
  <c r="L1316" i="1"/>
  <c r="L577" i="1"/>
  <c r="L210" i="1"/>
  <c r="L1079" i="1"/>
  <c r="L2424" i="1"/>
  <c r="L2407" i="1"/>
  <c r="L2555" i="1"/>
  <c r="L2123" i="1"/>
  <c r="L509" i="1"/>
  <c r="L1631" i="1"/>
  <c r="L938" i="1"/>
  <c r="L2139" i="1"/>
  <c r="L2485" i="1"/>
  <c r="L2602" i="1"/>
  <c r="L520" i="1"/>
  <c r="L1040" i="1"/>
  <c r="L1525" i="1"/>
  <c r="L1710" i="1"/>
  <c r="L1688" i="1"/>
  <c r="L2159" i="1"/>
  <c r="L672" i="1"/>
  <c r="L2435" i="1"/>
  <c r="L1078" i="1"/>
  <c r="L2778" i="1"/>
  <c r="L2257" i="1"/>
  <c r="L954" i="1"/>
  <c r="L375" i="1"/>
  <c r="L3033" i="1"/>
  <c r="L704" i="1"/>
  <c r="L1707" i="1"/>
  <c r="L1588" i="1"/>
  <c r="L553" i="1"/>
  <c r="L1703" i="1"/>
  <c r="L1578" i="1"/>
  <c r="L2326" i="1"/>
  <c r="L1683" i="1"/>
  <c r="L2957" i="1"/>
  <c r="L3057" i="1"/>
  <c r="L2618" i="1"/>
  <c r="L1559" i="1"/>
  <c r="L3328" i="1"/>
  <c r="L621" i="1"/>
  <c r="L571" i="1"/>
  <c r="L1215" i="1"/>
  <c r="L2468" i="1"/>
  <c r="L2553" i="1"/>
  <c r="L2704" i="1"/>
  <c r="L3251" i="1"/>
  <c r="L118" i="1"/>
  <c r="L1675" i="1"/>
  <c r="L1151" i="1"/>
  <c r="L2271" i="1"/>
  <c r="L2681" i="1"/>
  <c r="L2105" i="1"/>
  <c r="L468" i="1"/>
  <c r="L978" i="1"/>
  <c r="L1473" i="1"/>
  <c r="L1352" i="1"/>
  <c r="L307" i="1"/>
  <c r="L690" i="1"/>
  <c r="L847" i="1"/>
  <c r="L1678" i="1"/>
  <c r="L2242" i="1"/>
  <c r="L3058" i="1"/>
  <c r="L2182" i="1"/>
  <c r="L696" i="1"/>
  <c r="L925" i="1"/>
  <c r="L151" i="1"/>
  <c r="L1239" i="1"/>
  <c r="L2919" i="1"/>
  <c r="L2230" i="1"/>
  <c r="L129" i="1"/>
  <c r="L219" i="1"/>
  <c r="L144" i="1"/>
  <c r="L1179" i="1"/>
  <c r="L1924" i="1"/>
  <c r="L3301" i="1"/>
  <c r="L2915" i="1"/>
  <c r="L73" i="1"/>
  <c r="L706" i="1"/>
  <c r="L1346" i="1"/>
  <c r="L2500" i="1"/>
  <c r="L2671" i="1"/>
  <c r="L2868" i="1"/>
  <c r="L2559" i="1"/>
  <c r="L532" i="1"/>
  <c r="L1451" i="1"/>
  <c r="L1820" i="1"/>
  <c r="L575" i="1"/>
  <c r="L1380" i="1"/>
  <c r="L3207" i="1"/>
  <c r="L143" i="1"/>
  <c r="L941" i="1"/>
  <c r="L1248" i="1"/>
  <c r="L2110" i="1"/>
  <c r="L2571" i="1"/>
  <c r="L226" i="1"/>
  <c r="L1695" i="1"/>
  <c r="L1211" i="1"/>
  <c r="L2334" i="1"/>
  <c r="L2737" i="1"/>
  <c r="L2771" i="1"/>
  <c r="L227" i="1"/>
  <c r="L1104" i="1"/>
  <c r="L1589" i="1"/>
  <c r="L1937" i="1"/>
  <c r="L409" i="1"/>
  <c r="L2401" i="1"/>
  <c r="L3095" i="1"/>
  <c r="L507" i="1"/>
  <c r="L1447" i="1"/>
  <c r="L1815" i="1"/>
  <c r="L284" i="1"/>
  <c r="L1348" i="1"/>
  <c r="L3199" i="1"/>
  <c r="L134" i="1"/>
  <c r="L936" i="1"/>
  <c r="L1232" i="1"/>
  <c r="L2101" i="1"/>
  <c r="L2565" i="1"/>
  <c r="L1326" i="1"/>
  <c r="L2273" i="1"/>
  <c r="L407" i="1"/>
  <c r="L971" i="1"/>
  <c r="L1762" i="1"/>
  <c r="L2604" i="1"/>
  <c r="L3056" i="1"/>
  <c r="L1354" i="1"/>
  <c r="L76" i="1"/>
  <c r="L1702" i="1"/>
  <c r="L1056" i="1"/>
  <c r="L2209" i="1"/>
  <c r="L566" i="1"/>
  <c r="L2587" i="1"/>
  <c r="L667" i="1"/>
  <c r="L2774" i="1"/>
  <c r="L426" i="1"/>
  <c r="L2566" i="1"/>
  <c r="L1120" i="1"/>
  <c r="L2486" i="1"/>
  <c r="L1388" i="1"/>
  <c r="L996" i="1"/>
  <c r="L2999" i="1"/>
  <c r="L3176" i="1"/>
  <c r="L1984" i="1"/>
  <c r="L3231" i="1"/>
  <c r="L2205" i="1"/>
  <c r="L2398" i="1"/>
  <c r="L2577" i="1"/>
  <c r="L268" i="1"/>
  <c r="L3030" i="1"/>
  <c r="L465" i="1"/>
  <c r="L236" i="1"/>
  <c r="L306" i="1"/>
  <c r="L2788" i="1"/>
  <c r="L880" i="1"/>
  <c r="L2319" i="1"/>
  <c r="L2570" i="1"/>
  <c r="L2931" i="1"/>
  <c r="L1192" i="1"/>
  <c r="L2989" i="1"/>
  <c r="L2352" i="1"/>
  <c r="L2797" i="1"/>
  <c r="L2855" i="1"/>
  <c r="L176" i="1"/>
  <c r="L3181" i="1"/>
  <c r="L1092" i="1"/>
  <c r="L3363" i="1"/>
  <c r="L297" i="1"/>
  <c r="L1383" i="1"/>
  <c r="L1584" i="1"/>
  <c r="L2199" i="1"/>
  <c r="L2747" i="1"/>
  <c r="L2870" i="1"/>
  <c r="L42" i="1"/>
  <c r="L818" i="1"/>
  <c r="L1017" i="1"/>
  <c r="L1907" i="1"/>
  <c r="L2386" i="1"/>
  <c r="L3226" i="1"/>
  <c r="L2429" i="1"/>
  <c r="L204" i="1"/>
  <c r="L810" i="1"/>
  <c r="L1506" i="1"/>
  <c r="L2540" i="1"/>
  <c r="L337" i="1"/>
  <c r="L311" i="1"/>
  <c r="L1645" i="1"/>
  <c r="L2088" i="1"/>
  <c r="L1205" i="1"/>
  <c r="L2623" i="1"/>
  <c r="L2869" i="1"/>
  <c r="L41" i="1"/>
  <c r="L1663" i="1"/>
  <c r="L1054" i="1"/>
  <c r="L2249" i="1"/>
  <c r="L2605" i="1"/>
  <c r="L1528" i="1"/>
  <c r="L163" i="1"/>
  <c r="L1072" i="1"/>
  <c r="L1557" i="1"/>
  <c r="L1827" i="1"/>
  <c r="L1891" i="1"/>
  <c r="L2287" i="1"/>
  <c r="L3092" i="1"/>
  <c r="L418" i="1"/>
  <c r="L1415" i="1"/>
  <c r="L1712" i="1"/>
  <c r="L2263" i="1"/>
  <c r="L2973" i="1"/>
  <c r="L3096" i="1"/>
  <c r="L32" i="1"/>
  <c r="L336" i="1"/>
  <c r="L1145" i="1"/>
  <c r="L2009" i="1"/>
  <c r="L1258" i="1"/>
  <c r="L3205" i="1"/>
  <c r="L3022" i="1"/>
  <c r="L366" i="1"/>
  <c r="L825" i="1"/>
  <c r="L1761" i="1"/>
  <c r="L2316" i="1"/>
  <c r="L69" i="1"/>
  <c r="L845" i="1"/>
  <c r="L1074" i="1"/>
  <c r="L1973" i="1"/>
  <c r="L2443" i="1"/>
  <c r="L3294" i="1"/>
  <c r="L1087" i="1"/>
  <c r="L559" i="1"/>
  <c r="L78" i="1"/>
  <c r="L1883" i="1"/>
  <c r="L2656" i="1"/>
  <c r="L3029" i="1"/>
  <c r="L1073" i="1"/>
  <c r="L28" i="1"/>
  <c r="L309" i="1"/>
  <c r="L1139" i="1"/>
  <c r="L2000" i="1"/>
  <c r="L1196" i="1"/>
  <c r="L3201" i="1"/>
  <c r="L2991" i="1"/>
  <c r="L359" i="1"/>
  <c r="L819" i="1"/>
  <c r="L1757" i="1"/>
  <c r="L2312" i="1"/>
  <c r="L1376" i="1"/>
  <c r="L2913" i="1"/>
  <c r="L2763" i="1"/>
  <c r="L124" i="1"/>
  <c r="L1519" i="1"/>
  <c r="L1957" i="1"/>
  <c r="L1256" i="1"/>
  <c r="L2331" i="1"/>
  <c r="L3203" i="1"/>
  <c r="L580" i="1"/>
  <c r="L3249" i="1"/>
  <c r="L1541" i="1"/>
  <c r="L2515" i="1"/>
  <c r="L1655" i="1"/>
  <c r="L3124" i="1"/>
  <c r="L1701" i="1"/>
  <c r="L2145" i="1"/>
  <c r="L1321" i="1"/>
  <c r="L2876" i="1"/>
  <c r="L1605" i="1"/>
  <c r="L1996" i="1"/>
  <c r="L2481" i="1"/>
  <c r="L1142" i="1"/>
  <c r="L2598" i="1"/>
  <c r="L2517" i="1"/>
  <c r="L913" i="1"/>
  <c r="L552" i="1"/>
  <c r="L2579" i="1"/>
  <c r="L627" i="1"/>
  <c r="L2971" i="1"/>
  <c r="L602" i="1"/>
  <c r="L3107" i="1"/>
  <c r="L1431" i="1"/>
  <c r="L3160" i="1"/>
  <c r="L1715" i="1"/>
  <c r="L3104" i="1"/>
  <c r="L1835" i="1"/>
  <c r="L535" i="1"/>
  <c r="L3122" i="1"/>
  <c r="L3071" i="1"/>
  <c r="L1050" i="1"/>
  <c r="L470" i="1"/>
  <c r="L2008" i="1"/>
  <c r="L645" i="1"/>
  <c r="L3153" i="1"/>
  <c r="L1103" i="1"/>
  <c r="L2891" i="1"/>
  <c r="L1577" i="1"/>
  <c r="L2897" i="1"/>
  <c r="L519" i="1"/>
  <c r="L1639" i="1"/>
  <c r="L981" i="1"/>
  <c r="L2154" i="1"/>
  <c r="L2554" i="1"/>
  <c r="L2785" i="1"/>
  <c r="L432" i="1"/>
  <c r="L905" i="1"/>
  <c r="L1437" i="1"/>
  <c r="L1180" i="1"/>
  <c r="L899" i="1"/>
  <c r="L1350" i="1"/>
  <c r="L3304" i="1"/>
  <c r="L744" i="1"/>
  <c r="L1065" i="1"/>
  <c r="L858" i="1"/>
  <c r="L1530" i="1"/>
  <c r="L609" i="1"/>
  <c r="L485" i="1"/>
  <c r="L1173" i="1"/>
  <c r="L2456" i="1"/>
  <c r="L2527" i="1"/>
  <c r="L2675" i="1"/>
  <c r="L3112" i="1"/>
  <c r="L46" i="1"/>
  <c r="L1046" i="1"/>
  <c r="L1922" i="1"/>
  <c r="L2871" i="1"/>
  <c r="L3161" i="1"/>
  <c r="L2700" i="1"/>
  <c r="L511" i="1"/>
  <c r="L919" i="1"/>
  <c r="L547" i="1"/>
  <c r="L2368" i="1"/>
  <c r="L2099" i="1"/>
  <c r="L3025" i="1"/>
  <c r="L3054" i="1"/>
  <c r="L89" i="1"/>
  <c r="L1671" i="1"/>
  <c r="L1126" i="1"/>
  <c r="L2264" i="1"/>
  <c r="L2621" i="1"/>
  <c r="L1976" i="1"/>
  <c r="L85" i="1"/>
  <c r="L872" i="1"/>
  <c r="L1106" i="1"/>
  <c r="L2024" i="1"/>
  <c r="L2475" i="1"/>
  <c r="L3322" i="1"/>
  <c r="L1814" i="1"/>
  <c r="L313" i="1"/>
  <c r="L907" i="1"/>
  <c r="L1634" i="1"/>
  <c r="L2572" i="1"/>
  <c r="L452" i="1"/>
  <c r="L946" i="1"/>
  <c r="L1457" i="1"/>
  <c r="L1312" i="1"/>
  <c r="L1086" i="1"/>
  <c r="L1514" i="1"/>
  <c r="L2022" i="1"/>
  <c r="L55" i="1"/>
  <c r="L1315" i="1"/>
  <c r="L1302" i="1"/>
  <c r="L2042" i="1"/>
  <c r="L2192" i="1"/>
  <c r="L2291" i="1"/>
  <c r="L79" i="1"/>
  <c r="L863" i="1"/>
  <c r="L1099" i="1"/>
  <c r="L2017" i="1"/>
  <c r="L2469" i="1"/>
  <c r="L3314" i="1"/>
  <c r="L1396" i="1"/>
  <c r="L295" i="1"/>
  <c r="L898" i="1"/>
  <c r="L1628" i="1"/>
  <c r="L2568" i="1"/>
  <c r="L2851" i="1"/>
  <c r="L3170" i="1"/>
  <c r="L3127" i="1"/>
  <c r="L579" i="1"/>
  <c r="L1775" i="1"/>
  <c r="L1490" i="1"/>
  <c r="L2551" i="1"/>
  <c r="L3081" i="1"/>
  <c r="L1811" i="1"/>
  <c r="L921" i="1"/>
  <c r="L3206" i="1"/>
  <c r="L1966" i="1"/>
  <c r="L2337" i="1"/>
  <c r="L1673" i="1"/>
  <c r="L3075" i="1"/>
  <c r="L1169" i="1"/>
  <c r="L234" i="1"/>
  <c r="L1264" i="1"/>
  <c r="L3260" i="1"/>
  <c r="L570" i="1"/>
  <c r="L383" i="1"/>
  <c r="L1540" i="1"/>
  <c r="L2502" i="1"/>
  <c r="L2650" i="1"/>
  <c r="L298" i="1"/>
  <c r="L2235" i="1"/>
  <c r="L556" i="1"/>
  <c r="L2682" i="1"/>
  <c r="L896" i="1"/>
  <c r="L3004" i="1"/>
  <c r="L729" i="1"/>
  <c r="L3123" i="1"/>
  <c r="L1449" i="1"/>
  <c r="L3360" i="1"/>
  <c r="L1733" i="1"/>
  <c r="L264" i="1"/>
  <c r="L2448" i="1"/>
  <c r="L2794" i="1"/>
  <c r="L1015" i="1"/>
  <c r="L3224" i="1"/>
  <c r="L2124" i="1"/>
  <c r="L603" i="1"/>
  <c r="L2966" i="1"/>
  <c r="L663" i="1"/>
  <c r="L2753" i="1"/>
  <c r="L1404" i="1"/>
  <c r="L378" i="1"/>
  <c r="L2039" i="1"/>
  <c r="L3332" i="1"/>
  <c r="L616" i="1"/>
  <c r="L980" i="1"/>
  <c r="L1872" i="1"/>
  <c r="L2823" i="1"/>
  <c r="L3137" i="1"/>
  <c r="L2549" i="1"/>
  <c r="L150" i="1"/>
  <c r="L649" i="1"/>
  <c r="L1693" i="1"/>
  <c r="L2184" i="1"/>
  <c r="L1758" i="1"/>
  <c r="L2746" i="1"/>
  <c r="L1953" i="1"/>
  <c r="L546" i="1"/>
  <c r="L1455" i="1"/>
  <c r="L1829" i="1"/>
  <c r="L658" i="1"/>
  <c r="L660" i="1"/>
  <c r="L797" i="1"/>
  <c r="L1993" i="1"/>
  <c r="L963" i="1"/>
  <c r="L3349" i="1"/>
  <c r="L2072" i="1"/>
  <c r="L26" i="1"/>
  <c r="L787" i="1"/>
  <c r="L990" i="1"/>
  <c r="L1885" i="1"/>
  <c r="L2354" i="1"/>
  <c r="L3190" i="1"/>
  <c r="L3324" i="1"/>
  <c r="L475" i="1"/>
  <c r="L249" i="1"/>
  <c r="L1819" i="1"/>
  <c r="L2624" i="1"/>
  <c r="L2965" i="1"/>
  <c r="L3330" i="1"/>
  <c r="L2653" i="1"/>
  <c r="L77" i="1"/>
  <c r="L1071" i="1"/>
  <c r="L1936" i="1"/>
  <c r="L2887" i="1"/>
  <c r="L3169" i="1"/>
  <c r="L2757" i="1"/>
  <c r="L464" i="1"/>
  <c r="L969" i="1"/>
  <c r="L1469" i="1"/>
  <c r="L1342" i="1"/>
  <c r="L1178" i="1"/>
  <c r="L1919" i="1"/>
  <c r="L2465" i="1"/>
  <c r="L776" i="1"/>
  <c r="L1160" i="1"/>
  <c r="L1030" i="1"/>
  <c r="L1704" i="1"/>
  <c r="L223" i="1"/>
  <c r="L698" i="1"/>
  <c r="L1713" i="1"/>
  <c r="L2225" i="1"/>
  <c r="L1848" i="1"/>
  <c r="L2803" i="1"/>
  <c r="L2223" i="1"/>
  <c r="L300" i="1"/>
  <c r="L1571" i="1"/>
  <c r="L2062" i="1"/>
  <c r="L1853" i="1"/>
  <c r="L2305" i="1"/>
  <c r="L3070" i="1"/>
  <c r="L460" i="1"/>
  <c r="L964" i="1"/>
  <c r="L1465" i="1"/>
  <c r="L1332" i="1"/>
  <c r="L1158" i="1"/>
  <c r="L1873" i="1"/>
  <c r="L2329" i="1"/>
  <c r="L772" i="1"/>
  <c r="L1144" i="1"/>
  <c r="L989" i="1"/>
  <c r="L1694" i="1"/>
  <c r="L3234" i="1"/>
  <c r="L2925" i="1"/>
  <c r="L100" i="1"/>
  <c r="L66" i="1"/>
  <c r="L1235" i="1"/>
  <c r="L1075" i="1"/>
  <c r="L1843" i="1"/>
  <c r="L2825" i="1"/>
  <c r="L2203" i="1"/>
  <c r="L1203" i="1"/>
  <c r="L3280" i="1"/>
  <c r="L1790" i="1"/>
  <c r="L476" i="1"/>
  <c r="L1034" i="1"/>
  <c r="L2032" i="1"/>
  <c r="L2202" i="1"/>
  <c r="L719" i="1"/>
  <c r="L2252" i="1"/>
  <c r="L450" i="1"/>
  <c r="L1988" i="1"/>
  <c r="L463" i="1"/>
  <c r="L2873" i="1"/>
  <c r="L3329" i="1"/>
  <c r="L1898" i="1"/>
  <c r="L656" i="1"/>
  <c r="L3341" i="1"/>
  <c r="L1651" i="1"/>
  <c r="L3043" i="1"/>
  <c r="L82" i="1"/>
  <c r="L2542" i="1"/>
  <c r="L1644" i="1"/>
  <c r="L237" i="1"/>
  <c r="L1776" i="1"/>
  <c r="L1955" i="1"/>
  <c r="L1260" i="1"/>
  <c r="L759" i="1"/>
  <c r="L2786" i="1"/>
  <c r="L1512" i="1"/>
  <c r="L2665" i="1"/>
  <c r="L3148" i="1"/>
  <c r="L1816" i="1"/>
  <c r="L887" i="1"/>
  <c r="L2993" i="1"/>
  <c r="L1021" i="1"/>
  <c r="L2662" i="1"/>
  <c r="L1963" i="1"/>
  <c r="L2548" i="1"/>
  <c r="L1886" i="1"/>
  <c r="L330" i="1"/>
  <c r="L721" i="1"/>
  <c r="L902" i="1"/>
  <c r="L1780" i="1"/>
  <c r="L2294" i="1"/>
  <c r="L3098" i="1"/>
  <c r="L2827" i="1"/>
  <c r="L93" i="1"/>
  <c r="L718" i="1"/>
  <c r="L1372" i="1"/>
  <c r="L2504" i="1"/>
  <c r="L2687" i="1"/>
  <c r="L2896" i="1"/>
  <c r="L2729" i="1"/>
  <c r="L278" i="1"/>
  <c r="L1711" i="1"/>
  <c r="L1245" i="1"/>
  <c r="L2385" i="1"/>
  <c r="L272" i="1"/>
  <c r="L1371" i="1"/>
  <c r="L1526" i="1"/>
  <c r="L2172" i="1"/>
  <c r="L2633" i="1"/>
  <c r="L2814" i="1"/>
  <c r="L420" i="1"/>
  <c r="L882" i="1"/>
  <c r="L1425" i="1"/>
  <c r="L1109" i="1"/>
  <c r="L153" i="1"/>
  <c r="L1210" i="1"/>
  <c r="L3256" i="1"/>
  <c r="L828" i="1"/>
  <c r="L1283" i="1"/>
  <c r="L1199" i="1"/>
  <c r="L1962" i="1"/>
  <c r="L1358" i="1"/>
  <c r="L1928" i="1"/>
  <c r="L37" i="1"/>
  <c r="L806" i="1"/>
  <c r="L1010" i="1"/>
  <c r="L1900" i="1"/>
  <c r="L2379" i="1"/>
  <c r="L3214" i="1"/>
  <c r="L2212" i="1"/>
  <c r="L260" i="1"/>
  <c r="L734" i="1"/>
  <c r="L1725" i="1"/>
  <c r="L2248" i="1"/>
  <c r="L2023" i="1"/>
  <c r="L2838" i="1"/>
  <c r="L2395" i="1"/>
  <c r="L628" i="1"/>
  <c r="L1487" i="1"/>
  <c r="L1893" i="1"/>
  <c r="L1022" i="1"/>
  <c r="L162" i="1"/>
  <c r="L767" i="1"/>
  <c r="L1442" i="1"/>
  <c r="L2524" i="1"/>
  <c r="L2730" i="1"/>
  <c r="L3010" i="1"/>
  <c r="L3115" i="1"/>
  <c r="L334" i="1"/>
  <c r="L701" i="1"/>
  <c r="L1708" i="1"/>
  <c r="L2690" i="1"/>
  <c r="L3062" i="1"/>
  <c r="L1560" i="1"/>
  <c r="L252" i="1"/>
  <c r="L722" i="1"/>
  <c r="L1721" i="1"/>
  <c r="L2243" i="1"/>
  <c r="L1895" i="1"/>
  <c r="L2831" i="1"/>
  <c r="L2346" i="1"/>
  <c r="L619" i="1"/>
  <c r="L1483" i="1"/>
  <c r="L1884" i="1"/>
  <c r="L997" i="1"/>
  <c r="L1846" i="1"/>
  <c r="L3271" i="1"/>
  <c r="L207" i="1"/>
  <c r="L94" i="1"/>
  <c r="L1281" i="1"/>
  <c r="L2174" i="1"/>
  <c r="L2661" i="1"/>
  <c r="L2698" i="1"/>
  <c r="L2995" i="1"/>
  <c r="L1666" i="1"/>
  <c r="L2676" i="1"/>
  <c r="L1288" i="1"/>
  <c r="L2420" i="1"/>
  <c r="L2147" i="1"/>
  <c r="L3038" i="1"/>
  <c r="L2308" i="1"/>
  <c r="L1582" i="1"/>
  <c r="L2020" i="1"/>
  <c r="L2821" i="1"/>
  <c r="L1923" i="1"/>
  <c r="L830" i="1"/>
  <c r="L2929" i="1"/>
  <c r="L2574" i="1"/>
  <c r="L2736" i="1"/>
  <c r="L678" i="1"/>
  <c r="L3042" i="1"/>
  <c r="L1669" i="1"/>
  <c r="L695" i="1"/>
  <c r="L231" i="1"/>
  <c r="L44" i="1"/>
  <c r="L2384" i="1"/>
  <c r="L2046" i="1"/>
  <c r="L1236" i="1"/>
  <c r="L304" i="1"/>
  <c r="L2266" i="1"/>
  <c r="L601" i="1"/>
  <c r="L2510" i="1"/>
  <c r="L2569" i="1"/>
  <c r="L2732" i="1"/>
  <c r="L157" i="1"/>
  <c r="L2597" i="1"/>
  <c r="L33" i="1"/>
  <c r="L2473" i="1"/>
  <c r="L1282" i="1"/>
  <c r="L573" i="1"/>
  <c r="L2512" i="1"/>
  <c r="L2531" i="1"/>
  <c r="L1716" i="1"/>
  <c r="L1626" i="1"/>
  <c r="L2718" i="1"/>
  <c r="L1304" i="1"/>
  <c r="L191" i="1"/>
  <c r="L1539" i="1"/>
  <c r="L1998" i="1"/>
  <c r="L1470" i="1"/>
  <c r="L2217" i="1"/>
  <c r="L2281" i="1"/>
  <c r="L428" i="1"/>
  <c r="L900" i="1"/>
  <c r="L1433" i="1"/>
  <c r="L1167" i="1"/>
  <c r="L726" i="1"/>
  <c r="L1318" i="1"/>
  <c r="L3288" i="1"/>
  <c r="L196" i="1"/>
  <c r="L803" i="1"/>
  <c r="L1500" i="1"/>
  <c r="L2536" i="1"/>
  <c r="L2766" i="1"/>
  <c r="L3082" i="1"/>
  <c r="L1909" i="1"/>
  <c r="L455" i="1"/>
  <c r="L1743" i="1"/>
  <c r="L1362" i="1"/>
  <c r="L2462" i="1"/>
  <c r="L728" i="1"/>
  <c r="L1026" i="1"/>
  <c r="L750" i="1"/>
  <c r="L1428" i="1"/>
  <c r="L3114" i="1"/>
  <c r="L2333" i="1"/>
  <c r="L193" i="1"/>
  <c r="L425" i="1"/>
  <c r="L548" i="1"/>
  <c r="L1310" i="1"/>
  <c r="L2065" i="1"/>
  <c r="L2445" i="1"/>
  <c r="L1764" i="1"/>
  <c r="L187" i="1"/>
  <c r="L791" i="1"/>
  <c r="L1474" i="1"/>
  <c r="L2532" i="1"/>
  <c r="L2758" i="1"/>
  <c r="L3063" i="1"/>
  <c r="L1696" i="1"/>
  <c r="L430" i="1"/>
  <c r="L1739" i="1"/>
  <c r="L1356" i="1"/>
  <c r="L2455" i="1"/>
  <c r="L2852" i="1"/>
  <c r="L3276" i="1"/>
  <c r="L122" i="1"/>
  <c r="L1052" i="1"/>
  <c r="L1537" i="1"/>
  <c r="L1782" i="1"/>
  <c r="L735" i="1"/>
  <c r="L2478" i="1"/>
  <c r="L3228" i="1"/>
  <c r="L594" i="1"/>
  <c r="L131" i="1"/>
  <c r="L1754" i="1"/>
  <c r="L2677" i="1"/>
  <c r="L2219" i="1"/>
  <c r="L194" i="1"/>
  <c r="L1788" i="1"/>
  <c r="L285" i="1"/>
  <c r="L2733" i="1"/>
  <c r="L259" i="1"/>
  <c r="L838" i="1"/>
  <c r="L1747" i="1"/>
  <c r="L3340" i="1"/>
  <c r="L2451" i="1"/>
  <c r="L2153" i="1"/>
  <c r="L785" i="1"/>
  <c r="L1992" i="1"/>
  <c r="L1023" i="1"/>
  <c r="L2943" i="1"/>
  <c r="L1522" i="1"/>
  <c r="L2275" i="1"/>
  <c r="L2647" i="1"/>
  <c r="L3076" i="1"/>
  <c r="L2295" i="1"/>
  <c r="L1572" i="1"/>
  <c r="L2391" i="1"/>
  <c r="L560" i="1"/>
  <c r="L3117" i="1"/>
  <c r="L2804" i="1"/>
  <c r="L2122" i="1"/>
  <c r="L784" i="1"/>
  <c r="L3270" i="1"/>
  <c r="L50" i="1"/>
  <c r="L2969" i="1"/>
  <c r="L1904" i="1"/>
  <c r="L1946" i="1"/>
  <c r="L717" i="1"/>
  <c r="L200" i="1"/>
  <c r="L1997" i="1"/>
  <c r="L54" i="1"/>
  <c r="L373" i="1"/>
  <c r="L1657" i="1"/>
  <c r="L2115" i="1"/>
  <c r="L1284" i="1"/>
  <c r="L2649" i="1"/>
  <c r="L3060" i="1"/>
  <c r="L423" i="1"/>
  <c r="L1419" i="1"/>
  <c r="L1718" i="1"/>
  <c r="L2268" i="1"/>
  <c r="L3005" i="1"/>
  <c r="L3119" i="1"/>
  <c r="L90" i="1"/>
  <c r="L877" i="1"/>
  <c r="L1113" i="1"/>
  <c r="L2031" i="1"/>
  <c r="L2482" i="1"/>
  <c r="L574" i="1"/>
  <c r="L926" i="1"/>
  <c r="L1849" i="1"/>
  <c r="L2802" i="1"/>
  <c r="L3125" i="1"/>
  <c r="L2413" i="1"/>
  <c r="L34" i="1"/>
  <c r="L682" i="1"/>
  <c r="L1314" i="1"/>
  <c r="L2492" i="1"/>
  <c r="L2655" i="1"/>
  <c r="L2817" i="1"/>
  <c r="L2282" i="1"/>
  <c r="L75" i="1"/>
  <c r="L301" i="1"/>
  <c r="L1580" i="1"/>
  <c r="L2609" i="1"/>
  <c r="L2998" i="1"/>
  <c r="L2885" i="1"/>
  <c r="L142" i="1"/>
  <c r="L642" i="1"/>
  <c r="L1689" i="1"/>
  <c r="L2179" i="1"/>
  <c r="L1742" i="1"/>
  <c r="L2739" i="1"/>
  <c r="L1662" i="1"/>
  <c r="L740" i="1"/>
  <c r="L1058" i="1"/>
  <c r="L827" i="1"/>
  <c r="L1510" i="1"/>
  <c r="L3142" i="1"/>
  <c r="L2410" i="1"/>
  <c r="L68" i="1"/>
  <c r="L531" i="1"/>
  <c r="L1193" i="1"/>
  <c r="L343" i="1"/>
  <c r="L1652" i="1"/>
  <c r="L486" i="1"/>
  <c r="L1439" i="1"/>
  <c r="L1797" i="1"/>
  <c r="L2309" i="1"/>
  <c r="L1114" i="1"/>
  <c r="L3180" i="1"/>
  <c r="L308" i="1"/>
  <c r="L576" i="1"/>
  <c r="L1333" i="1"/>
  <c r="L2279" i="1"/>
  <c r="L2760" i="1"/>
  <c r="L2617" i="1"/>
  <c r="L2938" i="1"/>
  <c r="L736" i="1"/>
  <c r="L1051" i="1"/>
  <c r="L790" i="1"/>
  <c r="L1448" i="1"/>
  <c r="L3134" i="1"/>
  <c r="L2402" i="1"/>
  <c r="L64" i="1"/>
  <c r="L515" i="1"/>
  <c r="L1187" i="1"/>
  <c r="L2073" i="1"/>
  <c r="L1636" i="1"/>
  <c r="L3237" i="1"/>
  <c r="L3163" i="1"/>
  <c r="L461" i="1"/>
  <c r="L878" i="1"/>
  <c r="L1793" i="1"/>
  <c r="L2348" i="1"/>
  <c r="L2382" i="1"/>
  <c r="L2530" i="1"/>
  <c r="L2185" i="1"/>
  <c r="L2580" i="1"/>
  <c r="L141" i="1"/>
  <c r="L2168" i="1"/>
  <c r="L105" i="1"/>
  <c r="L1562" i="1"/>
  <c r="L159" i="1"/>
  <c r="L2709" i="1"/>
  <c r="L6" i="1"/>
  <c r="L2019" i="1"/>
  <c r="L363" i="1"/>
  <c r="L2339" i="1"/>
  <c r="L1765" i="1"/>
  <c r="L2800" i="1"/>
  <c r="L3113" i="1"/>
  <c r="L2292" i="1"/>
  <c r="L837" i="1"/>
  <c r="L2077" i="1"/>
  <c r="L2138" i="1"/>
  <c r="L752" i="1"/>
  <c r="L2356" i="1"/>
  <c r="L537" i="1"/>
  <c r="L2207" i="1"/>
  <c r="L444" i="1"/>
  <c r="L1031" i="1"/>
  <c r="L274" i="1"/>
  <c r="L1005" i="1"/>
  <c r="L445" i="1"/>
  <c r="L2658" i="1"/>
  <c r="L2798" i="1"/>
  <c r="L2921" i="1"/>
  <c r="L959" i="1"/>
  <c r="L1880" i="1"/>
  <c r="L1516" i="1"/>
  <c r="L390" i="1"/>
  <c r="L2484" i="1"/>
  <c r="L112" i="1"/>
  <c r="L2702" i="1"/>
  <c r="L258" i="1"/>
  <c r="L2276" i="1"/>
  <c r="L2944" i="1"/>
  <c r="L2850" i="1"/>
  <c r="L3072" i="1"/>
  <c r="L1107" i="1"/>
  <c r="L1899" i="1"/>
  <c r="L449" i="1"/>
  <c r="L108" i="1"/>
  <c r="L2612" i="1"/>
  <c r="L2480" i="1"/>
  <c r="L765" i="1"/>
  <c r="L1791" i="1"/>
  <c r="L3339" i="1"/>
  <c r="L1276" i="1"/>
  <c r="L3" i="1"/>
  <c r="L123" i="1"/>
  <c r="L2740" i="1"/>
  <c r="L651" i="1"/>
  <c r="L2630" i="1"/>
  <c r="L1866" i="1"/>
  <c r="L1246" i="1"/>
  <c r="L2637" i="1"/>
  <c r="L1014" i="1"/>
  <c r="L3281" i="1"/>
  <c r="L114" i="1"/>
  <c r="L3149" i="1"/>
  <c r="L639" i="1"/>
  <c r="G14" i="4"/>
  <c r="G3" i="4"/>
  <c r="C63" i="2"/>
  <c r="C43" i="2"/>
  <c r="C148" i="2"/>
  <c r="C95" i="2"/>
  <c r="C5" i="2"/>
  <c r="C149" i="2"/>
  <c r="C185" i="2"/>
  <c r="C37" i="2"/>
  <c r="C99" i="2"/>
  <c r="C128" i="2"/>
  <c r="C155" i="2"/>
  <c r="C200" i="2"/>
  <c r="C217" i="2"/>
  <c r="C48" i="2"/>
  <c r="C186" i="2"/>
  <c r="C58" i="2"/>
  <c r="C145" i="2"/>
  <c r="C30" i="2"/>
  <c r="C75" i="2"/>
  <c r="C211" i="2"/>
  <c r="C56" i="2"/>
  <c r="C202" i="2"/>
  <c r="C74" i="2"/>
  <c r="C184" i="2"/>
  <c r="C94" i="2"/>
  <c r="C60" i="2"/>
  <c r="C207" i="2"/>
  <c r="C82" i="2"/>
  <c r="C199" i="2"/>
  <c r="C126" i="2"/>
  <c r="C10" i="2"/>
  <c r="C31" i="2"/>
  <c r="C16" i="2"/>
  <c r="C141" i="2"/>
  <c r="C214" i="2"/>
  <c r="C131" i="2"/>
  <c r="C46" i="2"/>
  <c r="C231" i="2"/>
  <c r="C107" i="2"/>
  <c r="C153" i="2"/>
  <c r="C171" i="2"/>
  <c r="C45" i="2"/>
  <c r="C228" i="2"/>
  <c r="C88" i="2"/>
  <c r="C136" i="2"/>
  <c r="C110" i="2"/>
  <c r="C92" i="2"/>
  <c r="C142" i="2"/>
  <c r="C180" i="2"/>
  <c r="C89" i="2"/>
  <c r="C59" i="2"/>
  <c r="C195" i="2"/>
  <c r="C24" i="2"/>
  <c r="C18" i="2"/>
  <c r="C219" i="2"/>
  <c r="C250" i="2"/>
  <c r="C97" i="2"/>
  <c r="C12" i="2"/>
  <c r="C3" i="2"/>
  <c r="C112" i="2"/>
  <c r="C192" i="2"/>
  <c r="C150" i="2"/>
  <c r="C139" i="2"/>
  <c r="C57" i="2"/>
  <c r="C235" i="2"/>
  <c r="C226" i="2"/>
  <c r="C178" i="2"/>
  <c r="C247" i="2"/>
  <c r="C15" i="2"/>
  <c r="C120" i="2"/>
  <c r="C208" i="2"/>
  <c r="C161" i="2"/>
  <c r="C19" i="2"/>
  <c r="C124" i="2"/>
  <c r="C213" i="2"/>
  <c r="C172" i="2"/>
  <c r="C190" i="2"/>
  <c r="C146" i="2"/>
  <c r="C28" i="2"/>
  <c r="C127" i="2"/>
  <c r="C167" i="2"/>
  <c r="C183" i="2"/>
  <c r="C80" i="2"/>
  <c r="C8" i="2"/>
  <c r="C105" i="2"/>
  <c r="C40" i="2"/>
  <c r="C170" i="2"/>
  <c r="C42" i="2"/>
  <c r="C86" i="2"/>
  <c r="C44" i="2"/>
  <c r="C175" i="2"/>
  <c r="C50" i="2"/>
  <c r="C118" i="2"/>
  <c r="C39" i="2"/>
  <c r="C140" i="2"/>
  <c r="C209" i="2"/>
  <c r="C20" i="2"/>
  <c r="C121" i="2"/>
  <c r="C102" i="2"/>
  <c r="C47" i="2"/>
  <c r="C158" i="2"/>
  <c r="C225" i="2"/>
  <c r="C51" i="2"/>
  <c r="C163" i="2"/>
  <c r="C67" i="2"/>
  <c r="C220" i="2"/>
  <c r="C33" i="2"/>
  <c r="C41" i="2"/>
  <c r="C101" i="2"/>
  <c r="C122" i="2"/>
  <c r="C72" i="2"/>
  <c r="C234" i="2"/>
  <c r="C106" i="2"/>
  <c r="C201" i="2"/>
  <c r="C76" i="2"/>
  <c r="C239" i="2"/>
  <c r="C114" i="2"/>
  <c r="C13" i="2"/>
  <c r="C216" i="2"/>
  <c r="C132" i="2"/>
  <c r="C71" i="2"/>
  <c r="C206" i="2"/>
  <c r="C52" i="2"/>
  <c r="C191" i="2"/>
  <c r="C66" i="2"/>
  <c r="C168" i="2"/>
  <c r="C62" i="2"/>
  <c r="C79" i="2"/>
  <c r="C222" i="2"/>
  <c r="C29" i="2"/>
  <c r="C83" i="2"/>
  <c r="C113" i="2"/>
  <c r="C248" i="2"/>
  <c r="C194" i="2"/>
  <c r="C221" i="2"/>
  <c r="C104" i="2"/>
  <c r="C176" i="2"/>
  <c r="C137" i="2"/>
  <c r="C249" i="2"/>
  <c r="C11" i="2"/>
  <c r="C108" i="2"/>
  <c r="C181" i="2"/>
  <c r="C144" i="2"/>
  <c r="C103" i="2"/>
  <c r="C134" i="2"/>
  <c r="C166" i="2"/>
  <c r="C215" i="2"/>
  <c r="C84" i="2"/>
  <c r="C129" i="2"/>
  <c r="C78" i="2"/>
  <c r="C244" i="2"/>
  <c r="C111" i="2"/>
  <c r="C164" i="2"/>
  <c r="C182" i="2"/>
  <c r="C77" i="2"/>
  <c r="C21" i="2"/>
  <c r="C115" i="2"/>
  <c r="C169" i="2"/>
  <c r="C187" i="2"/>
  <c r="C109" i="2"/>
  <c r="C14" i="2"/>
  <c r="C240" i="2"/>
  <c r="C193" i="2"/>
  <c r="C35" i="2"/>
  <c r="C133" i="2"/>
  <c r="C245" i="2"/>
  <c r="C204" i="2"/>
  <c r="C135" i="2"/>
  <c r="C49" i="2"/>
  <c r="C230" i="2"/>
  <c r="C196" i="2"/>
  <c r="C70" i="2"/>
  <c r="C189" i="2"/>
  <c r="C205" i="2"/>
  <c r="C7" i="2"/>
  <c r="C116" i="2"/>
  <c r="C197" i="2"/>
  <c r="C156" i="2"/>
  <c r="C143" i="2"/>
  <c r="C65" i="2"/>
  <c r="C246" i="2"/>
  <c r="C233" i="2"/>
  <c r="C147" i="2"/>
  <c r="C73" i="2"/>
  <c r="C27" i="2"/>
  <c r="C188" i="2"/>
  <c r="C4" i="2"/>
  <c r="C162" i="2"/>
  <c r="C174" i="2"/>
  <c r="C238" i="2"/>
  <c r="C69" i="2"/>
  <c r="C223" i="2"/>
  <c r="C154" i="2"/>
  <c r="C218" i="2"/>
  <c r="C160" i="2"/>
  <c r="C117" i="2"/>
  <c r="C98" i="2"/>
  <c r="C242" i="2"/>
  <c r="C198" i="2"/>
  <c r="C26" i="2"/>
  <c r="C22" i="2"/>
  <c r="C36" i="2"/>
  <c r="C90" i="2"/>
  <c r="C212" i="2"/>
  <c r="C130" i="2"/>
  <c r="C125" i="2"/>
  <c r="C236" i="2"/>
  <c r="C179" i="2"/>
  <c r="C9" i="2"/>
  <c r="C93" i="2"/>
  <c r="C173" i="2"/>
  <c r="C119" i="2"/>
  <c r="C138" i="2"/>
  <c r="C227" i="2"/>
  <c r="C61" i="2"/>
  <c r="C229" i="2"/>
  <c r="C159" i="2"/>
  <c r="C152" i="2"/>
  <c r="C91" i="2"/>
  <c r="C20" i="4"/>
  <c r="C16" i="4"/>
  <c r="C27" i="4"/>
  <c r="C23" i="4"/>
  <c r="C19" i="4"/>
  <c r="C15" i="4"/>
  <c r="C26" i="4"/>
  <c r="C22" i="4"/>
  <c r="C17" i="4"/>
  <c r="C18" i="4"/>
  <c r="C14" i="4"/>
  <c r="C25" i="4"/>
  <c r="C21" i="4"/>
  <c r="C2" i="2"/>
  <c r="C28" i="4"/>
  <c r="C24" i="4"/>
  <c r="C100" i="2"/>
  <c r="C96" i="2"/>
  <c r="C210" i="2"/>
  <c r="C53" i="2"/>
  <c r="C123" i="2"/>
  <c r="C55" i="2"/>
  <c r="C241" i="2"/>
  <c r="C87" i="2"/>
  <c r="C68" i="2"/>
  <c r="C157" i="2"/>
  <c r="C237" i="2"/>
  <c r="C17" i="2"/>
  <c r="C85" i="2"/>
  <c r="C32" i="2"/>
  <c r="C34" i="2"/>
  <c r="C54" i="2"/>
  <c r="C25" i="2"/>
  <c r="C64" i="2"/>
  <c r="C38" i="2"/>
  <c r="C203" i="2"/>
  <c r="C243" i="2"/>
  <c r="C232" i="2"/>
  <c r="C6" i="2"/>
  <c r="C81" i="2"/>
  <c r="C165" i="2"/>
  <c r="C224" i="2"/>
  <c r="C151" i="2"/>
  <c r="C23" i="2"/>
  <c r="C177" i="2"/>
  <c r="L146" i="1" a="1"/>
  <c r="L2416" i="1" a="1"/>
  <c r="L72" i="1" a="1"/>
  <c r="L1668" i="1" a="1"/>
  <c r="L940" i="1" a="1"/>
  <c r="L1384" i="1" a="1"/>
  <c r="L3320" i="1" a="1"/>
  <c r="L929" i="1" a="1"/>
  <c r="L483" i="1" a="1"/>
  <c r="L419" i="1" a="1"/>
  <c r="L1705" i="1" a="1"/>
  <c r="L2173" i="1" a="1"/>
  <c r="L1532" i="1" a="1"/>
  <c r="L673" i="1" a="1"/>
  <c r="L1638" i="1" a="1"/>
  <c r="L1737" i="1" a="1"/>
  <c r="L3209" i="1" a="1"/>
  <c r="L3034" i="1" a="1"/>
  <c r="L1513" i="1" a="1"/>
  <c r="L2772" i="1" a="1"/>
  <c r="L2608" i="1" a="1"/>
  <c r="L3089" i="1" a="1"/>
  <c r="L1213" i="1" a="1"/>
  <c r="L53" i="1" a="1"/>
  <c r="L2411" i="1" a="1"/>
  <c r="L281" i="1" a="1"/>
  <c r="L3035" i="1" a="1"/>
  <c r="L542" i="1" a="1"/>
  <c r="L2860" i="1" a="1"/>
  <c r="L1176" i="1" a="1"/>
  <c r="L2968" i="1" a="1"/>
  <c r="L3246" i="1" a="1"/>
  <c r="L2952" i="1" a="1"/>
  <c r="L462" i="1" a="1"/>
  <c r="L2467" i="1" a="1"/>
  <c r="L957" i="1" a="1"/>
  <c r="L3136" i="1" a="1"/>
  <c r="L1289" i="1" a="1"/>
  <c r="L2643" i="1" a="1"/>
  <c r="L1250" i="1" a="1"/>
  <c r="L1719" i="1" a="1"/>
  <c r="L1968" i="1" a="1"/>
  <c r="L1591" i="1" a="1"/>
  <c r="L2038" i="1" a="1"/>
  <c r="L3118" i="1" a="1"/>
  <c r="L2158" i="1" a="1"/>
  <c r="L1266" i="1" a="1"/>
  <c r="L3273" i="1" a="1"/>
  <c r="L2303" i="1" a="1"/>
  <c r="L1769" i="1" a="1"/>
  <c r="L101" i="1" a="1"/>
  <c r="L1903" i="1" a="1"/>
  <c r="L2523" i="1" a="1"/>
  <c r="L2231" i="1" a="1"/>
  <c r="L440" i="1" a="1"/>
  <c r="L979" i="1" a="1"/>
  <c r="L1856" i="1" a="1"/>
  <c r="L1609" i="1" a="1"/>
  <c r="L2311" i="1" a="1"/>
  <c r="L1932" i="1" a="1"/>
  <c r="L1047" i="1" a="1"/>
  <c r="L2066" i="1" a="1"/>
  <c r="L1440" i="1" a="1"/>
  <c r="L2722" i="1" a="1"/>
  <c r="L329" i="1" a="1"/>
  <c r="L2879" i="1" a="1"/>
  <c r="L1774" i="1" a="1"/>
  <c r="L2767" i="1" a="1"/>
  <c r="L2004" i="1" a="1"/>
  <c r="L2167" i="1" a="1"/>
  <c r="L3298" i="1" a="1"/>
  <c r="L417" i="1" a="1"/>
  <c r="L3243" i="1" a="1"/>
  <c r="L1194" i="1" a="1"/>
  <c r="L554" i="1" a="1"/>
  <c r="L2027" i="1" a="1"/>
  <c r="L2361" i="1" a="1"/>
  <c r="L892" i="1" a="1"/>
  <c r="L1990" i="1" a="1"/>
  <c r="L3334" i="1" a="1"/>
  <c r="L1882" i="1" a="1"/>
  <c r="L1911" i="1" a="1"/>
  <c r="L104" i="1" a="1"/>
  <c r="L1854" i="1" a="1"/>
  <c r="L15" i="1" a="1"/>
  <c r="L2341" i="1" a="1"/>
  <c r="L716" i="1" a="1"/>
  <c r="L3078" i="1" a="1"/>
  <c r="L960" i="1" a="1"/>
  <c r="L3068" i="1" a="1"/>
  <c r="L510" i="1" a="1"/>
  <c r="L1386" i="1" a="1"/>
  <c r="L1253" i="1" a="1"/>
  <c r="L2345" i="1" a="1"/>
  <c r="L1869" i="1" a="1"/>
  <c r="L3279" i="1" a="1"/>
  <c r="L290" i="1" a="1"/>
  <c r="L2614" i="1" a="1"/>
  <c r="L2043" i="1" a="1"/>
  <c r="L3240" i="1" a="1"/>
  <c r="L1157" i="1" a="1"/>
  <c r="L1335" i="1" a="1"/>
  <c r="L2247" i="1" a="1"/>
  <c r="L2399" i="1" a="1"/>
  <c r="L2516" i="1" a="1"/>
  <c r="L3362" i="1" a="1"/>
  <c r="L1550" i="1" a="1"/>
  <c r="L376" i="1" a="1"/>
  <c r="L2856" i="1" a="1"/>
  <c r="L2651" i="1" a="1"/>
  <c r="L2240" i="1" a="1"/>
  <c r="L2550" i="1" a="1"/>
  <c r="L1394" i="1" a="1"/>
  <c r="L212" i="1" a="1"/>
  <c r="L2667" i="1" a="1"/>
  <c r="L412" i="1" a="1"/>
  <c r="L487" i="1" a="1"/>
  <c r="L439" i="1" a="1"/>
  <c r="L3053" i="1" a="1"/>
  <c r="L1280" i="1" a="1"/>
  <c r="L2547" i="1" a="1"/>
  <c r="L2094" i="1" a="1"/>
  <c r="L504" i="1" a="1"/>
  <c r="L1624" i="1" a="1"/>
  <c r="L569" i="1" a="1"/>
  <c r="L2390" i="1" a="1"/>
  <c r="L539" i="1" a="1"/>
  <c r="L3245" i="1" a="1"/>
  <c r="L2694" i="1" a="1"/>
  <c r="L2914" i="1" a="1"/>
  <c r="L380" i="1" a="1"/>
  <c r="L2861" i="1" a="1"/>
  <c r="L2557" i="1" a="1"/>
  <c r="L1851" i="1" a="1"/>
  <c r="L895" i="1" a="1"/>
  <c r="L2211" i="1" a="1"/>
  <c r="L1055" i="1" a="1"/>
  <c r="L2544" i="1" a="1"/>
  <c r="L289" i="1" a="1"/>
  <c r="L2228" i="1" a="1"/>
  <c r="L1244" i="1" a="1"/>
  <c r="L1942" i="1" a="1"/>
  <c r="L2601" i="1" a="1"/>
  <c r="L1608" i="1" a="1"/>
  <c r="L433" i="1" a="1"/>
  <c r="L2933" i="1" a="1"/>
  <c r="L688" i="1" a="1"/>
  <c r="L2881" i="1" a="1"/>
  <c r="L829" i="1" a="1"/>
  <c r="L3262" i="1" a="1"/>
  <c r="L638" i="1" a="1"/>
  <c r="L3139" i="1" a="1"/>
  <c r="L657" i="1" a="1"/>
  <c r="L2466" i="1" a="1"/>
  <c r="L1041" i="1" a="1"/>
  <c r="L2841" i="1" a="1"/>
  <c r="L2865" i="1" a="1"/>
  <c r="L3308" i="1" a="1"/>
  <c r="L1623" i="1" a="1"/>
  <c r="L2330" i="1" a="1"/>
  <c r="L1841" i="1" a="1"/>
  <c r="L1481" i="1" a="1"/>
  <c r="L2188" i="1" a="1"/>
  <c r="L3217" i="1" a="1"/>
  <c r="L2013" i="1" a="1"/>
  <c r="L8" i="1" a="1"/>
  <c r="L814" i="1" a="1"/>
  <c r="L95" i="1" a="1"/>
  <c r="L2501" i="1" a="1"/>
  <c r="L255" i="1" a="1"/>
  <c r="L2591" i="1" a="1"/>
  <c r="L1738" i="1" a="1"/>
  <c r="L2200" i="1" a="1"/>
  <c r="L2378" i="1" a="1"/>
  <c r="L2324" i="1" a="1"/>
  <c r="L812" i="1" a="1"/>
  <c r="L799" i="1" a="1"/>
  <c r="L354" i="1" a="1"/>
  <c r="L2854" i="1" a="1"/>
  <c r="L923" i="1" a="1"/>
  <c r="L1416" i="1" a="1"/>
  <c r="L2644" i="1" a="1"/>
  <c r="L344" i="1" a="1"/>
  <c r="L2792" i="1" a="1"/>
  <c r="L9" i="1" a="1"/>
  <c r="L1894" i="1" a="1"/>
  <c r="L398" i="1" a="1"/>
  <c r="L3085" i="1" a="1"/>
  <c r="L916" i="1" a="1"/>
  <c r="L3194" i="1" a="1"/>
  <c r="L3031" i="1" a="1"/>
  <c r="L2297" i="1" a="1"/>
  <c r="L263" i="1" a="1"/>
  <c r="L2607" i="1" a="1"/>
  <c r="L319" i="1" a="1"/>
  <c r="L1247" i="1" a="1"/>
  <c r="L2727" i="1" a="1"/>
  <c r="L2321" i="1" a="1"/>
  <c r="L40" i="1" a="1"/>
  <c r="L1406" i="1" a="1"/>
  <c r="L652" i="1" a="1"/>
  <c r="L3337" i="1" a="1"/>
  <c r="L2036" i="1" a="1"/>
  <c r="L2846" i="1" a="1"/>
  <c r="L2439" i="1" a="1"/>
  <c r="L1102" i="1" a="1"/>
  <c r="L86" i="1" a="1"/>
  <c r="L3277" i="1" a="1"/>
  <c r="L763" i="1" a="1"/>
  <c r="L3162" i="1" a="1"/>
  <c r="L994" i="1" a="1"/>
  <c r="L2306" i="1" a="1"/>
  <c r="L747" i="1" a="1"/>
  <c r="L3132" i="1" a="1"/>
  <c r="L1915" i="1" a="1"/>
  <c r="L1090" i="1" a="1"/>
  <c r="L2119" i="1" a="1"/>
  <c r="L903" i="1" a="1"/>
  <c r="L3241" i="1" a="1"/>
  <c r="L3183" i="1" a="1"/>
  <c r="L1641" i="1" a="1"/>
  <c r="L3027" i="1" a="1"/>
  <c r="L1201" i="1" a="1"/>
  <c r="L2495" i="1" a="1"/>
  <c r="L1910" i="1" a="1"/>
  <c r="L276" i="1" a="1"/>
  <c r="L2728" i="1" a="1"/>
  <c r="L119" i="1" a="1"/>
  <c r="L2715" i="1" a="1"/>
  <c r="L748" i="1" a="1"/>
  <c r="L3166" i="1" a="1"/>
  <c r="L746" i="1" a="1"/>
  <c r="L2984" i="1" a="1"/>
  <c r="L1985" i="1" a="1"/>
  <c r="L2988" i="1" a="1"/>
  <c r="L1760" i="1" a="1"/>
  <c r="L2487" i="1" a="1"/>
  <c r="L139" i="1" a="1"/>
  <c r="L2260" i="1" a="1"/>
  <c r="L868" i="1" a="1"/>
  <c r="L1119" i="1" a="1"/>
  <c r="L1427" i="1" a="1"/>
  <c r="L3151" i="1" a="1"/>
  <c r="L170" i="1" a="1"/>
  <c r="L2006" i="1" a="1"/>
  <c r="L130" i="1" a="1"/>
  <c r="L2343" i="1" a="1"/>
  <c r="L1024" i="1" a="1"/>
  <c r="L2121" i="1" a="1"/>
  <c r="L2375" i="1" a="1"/>
  <c r="L126" i="1" a="1"/>
  <c r="L2538" i="1" a="1"/>
  <c r="L1198" i="1" a="1"/>
  <c r="L3264" i="1" a="1"/>
  <c r="L3037" i="1" a="1"/>
  <c r="L3128" i="1" a="1"/>
  <c r="L758" i="1" a="1"/>
  <c r="L3000" i="1" a="1"/>
  <c r="L1278" i="1" a="1"/>
  <c r="L2640" i="1" a="1"/>
  <c r="L201" i="1" a="1"/>
  <c r="L1802" i="1" a="1"/>
  <c r="L220" i="1" a="1"/>
  <c r="L2787" i="1" a="1"/>
  <c r="L666" i="1" a="1"/>
  <c r="L3026" i="1" a="1"/>
  <c r="L2779" i="1" a="1"/>
  <c r="L3094" i="1" a="1"/>
  <c r="L508" i="1" a="1"/>
  <c r="L1640" i="1" a="1"/>
  <c r="L70" i="1" a="1"/>
  <c r="L3290" i="1" a="1"/>
  <c r="L879" i="1" a="1"/>
  <c r="L2160" i="1" a="1"/>
  <c r="L1042" i="1" a="1"/>
  <c r="L2735" i="1" a="1"/>
  <c r="L1650" i="1" a="1"/>
  <c r="L192" i="1" a="1"/>
  <c r="L1422" i="1" a="1"/>
  <c r="L2889" i="1" a="1"/>
  <c r="L1766" i="1" a="1"/>
  <c r="L2726" i="1" a="1"/>
  <c r="L1390" i="1" a="1"/>
  <c r="L2299" i="1" a="1"/>
  <c r="L908" i="1" a="1"/>
  <c r="L10" i="1" a="1"/>
  <c r="L2322" i="1" a="1"/>
  <c r="L221" i="1" a="1"/>
  <c r="L2674" i="1" a="1"/>
  <c r="L844" i="1" a="1"/>
  <c r="L1972" i="1" a="1"/>
  <c r="L228" i="1" a="1"/>
  <c r="L3185" i="1" a="1"/>
  <c r="L886" i="1" a="1"/>
  <c r="L3346" i="1" a="1"/>
  <c r="L1363" i="1" a="1"/>
  <c r="L2777" i="1" a="1"/>
  <c r="L2928" i="1" a="1"/>
  <c r="L3278" i="1" a="1"/>
  <c r="L397" i="1" a="1"/>
  <c r="L1736" i="1" a="1"/>
  <c r="L1267" i="1" a="1"/>
  <c r="L1183" i="1" a="1"/>
  <c r="L1399" i="1" a="1"/>
  <c r="L3006" i="1" a="1"/>
  <c r="L1445" i="1" a="1"/>
  <c r="L3336" i="1" a="1"/>
  <c r="L527" i="1" a="1"/>
  <c r="L3008" i="1" a="1"/>
  <c r="L661" i="1" a="1"/>
  <c r="L2734" i="1" a="1"/>
  <c r="L1491" i="1" a="1"/>
  <c r="L3287" i="1" a="1"/>
  <c r="L2748" i="1" a="1"/>
  <c r="L786" i="1" a="1"/>
  <c r="L1862" i="1" a="1"/>
  <c r="L1660" i="1" a="1"/>
  <c r="L3212" i="1" a="1"/>
  <c r="L2688" i="1" a="1"/>
  <c r="L2491" i="1" a="1"/>
  <c r="L1367" i="1" a="1"/>
  <c r="L2793" i="1" a="1"/>
  <c r="L161" i="1" a="1"/>
  <c r="L1994" i="1" a="1"/>
  <c r="L173" i="1" a="1"/>
  <c r="L2716" i="1" a="1"/>
  <c r="L382" i="1" a="1"/>
  <c r="L3213" i="1" a="1"/>
  <c r="L773" i="1" a="1"/>
  <c r="L1921" i="1" a="1"/>
  <c r="L3154" i="1" a="1"/>
  <c r="L2419" i="1" a="1"/>
  <c r="L39" i="1" a="1"/>
  <c r="L1917" i="1" a="1"/>
  <c r="L1241" i="1" a="1"/>
  <c r="L2421" i="1" a="1"/>
  <c r="L966" i="1" a="1"/>
  <c r="L3220" i="1" a="1"/>
  <c r="L671" i="1" a="1"/>
  <c r="L857" i="1" a="1"/>
  <c r="L2388" i="1" a="1"/>
  <c r="L1478" i="1" a="1"/>
  <c r="L2672" i="1" a="1"/>
  <c r="L148" i="1" a="1"/>
  <c r="L2578" i="1" a="1"/>
  <c r="L1606" i="1" a="1"/>
  <c r="L2112" i="1" a="1"/>
  <c r="L3187" i="1" a="1"/>
  <c r="L2083" i="1" a="1"/>
  <c r="L684" i="1" a="1"/>
  <c r="L2853" i="1" a="1"/>
  <c r="L816" i="1" a="1"/>
  <c r="L897" i="1" a="1"/>
  <c r="L411" i="1" a="1"/>
  <c r="L2505" i="1" a="1"/>
  <c r="L749" i="1" a="1"/>
  <c r="L2978" i="1" a="1"/>
  <c r="L1083" i="1" a="1"/>
  <c r="L2479" i="1" a="1"/>
  <c r="L1381" i="1" a="1"/>
  <c r="L3143" i="1" a="1"/>
  <c r="L3366" i="1" a="1"/>
  <c r="L848" i="1" a="1"/>
  <c r="L489" i="1" a="1"/>
  <c r="L2880" i="1" a="1"/>
  <c r="L1285" i="1" a="1"/>
  <c r="L2594" i="1" a="1"/>
  <c r="L1417" i="1" a="1"/>
  <c r="L2806" i="1" a="1"/>
  <c r="L1750" i="1" a="1"/>
  <c r="L1353" i="1" a="1"/>
  <c r="L365" i="1" a="1"/>
  <c r="L3345" i="1" a="1"/>
  <c r="L1331" i="1" a="1"/>
  <c r="L2474" i="1" a="1"/>
  <c r="L1509" i="1" a="1"/>
  <c r="L3235" i="1" a="1"/>
  <c r="L2403" i="1" a="1"/>
  <c r="L1038" i="1" a="1"/>
  <c r="L564" i="1" a="1"/>
  <c r="L435" i="1" a="1"/>
  <c r="L798" i="1" a="1"/>
  <c r="L3177" i="1" a="1"/>
  <c r="L2835" i="1" a="1"/>
  <c r="L1385" i="1" a="1"/>
  <c r="L3152" i="1" a="1"/>
  <c r="L522" i="1" a="1"/>
  <c r="L2997" i="1" a="1"/>
  <c r="L679" i="1" a="1"/>
  <c r="L2782" i="1" a="1"/>
  <c r="L852" i="1" a="1"/>
  <c r="L3106" i="1" a="1"/>
  <c r="L826" i="1" a="1"/>
  <c r="L1600" i="1" a="1"/>
  <c r="L1412" i="1" a="1"/>
  <c r="L3215" i="1" a="1"/>
  <c r="L1028" i="1" a="1"/>
  <c r="L2130" i="1" a="1"/>
  <c r="L1786" i="1" a="1"/>
  <c r="L2290" i="1" a="1"/>
  <c r="L2048" i="1" a="1"/>
  <c r="L1124" i="1" a="1"/>
  <c r="L1944" i="1" a="1"/>
  <c r="L2507" i="1" a="1"/>
  <c r="L2654" i="1" a="1"/>
  <c r="L225" i="1" a="1"/>
  <c r="L2111" i="1" a="1"/>
  <c r="L780" i="1" a="1"/>
  <c r="L3258" i="1" a="1"/>
  <c r="L1508" i="1" a="1"/>
  <c r="L2924" i="1" a="1"/>
  <c r="L2784" i="1" a="1"/>
  <c r="L2125" i="1" a="1"/>
  <c r="L751" i="1" a="1"/>
  <c r="L3150" i="1" a="1"/>
  <c r="L156" i="1" a="1"/>
  <c r="L2318" i="1" a="1"/>
  <c r="L1299" i="1" a="1"/>
  <c r="L2164" i="1" a="1"/>
  <c r="L1110" i="1" a="1"/>
  <c r="L2910" i="1" a="1"/>
  <c r="L1136" i="1" a="1"/>
  <c r="L1933" i="1" a="1"/>
  <c r="L1494" i="1" a="1"/>
  <c r="L3244" i="1" a="1"/>
  <c r="L2109" i="1" a="1"/>
  <c r="L3343" i="1" a="1"/>
  <c r="L835" i="1" a="1"/>
  <c r="L2940" i="1" a="1"/>
  <c r="L1148" i="1" a="1"/>
  <c r="L1095" i="1" a="1"/>
  <c r="L1648" i="1" a="1"/>
  <c r="L1152" i="1" a="1"/>
  <c r="L1222" i="1" a="1"/>
  <c r="L2349" i="1" a="1"/>
  <c r="L599" i="1" a="1"/>
  <c r="L793" i="1" a="1"/>
  <c r="L1349" i="1" a="1"/>
  <c r="L3007" i="1" a="1"/>
  <c r="L1902" i="1" a="1"/>
  <c r="L614" i="1" a="1"/>
  <c r="L2355" i="1" a="1"/>
  <c r="L1772" i="1" a="1"/>
  <c r="L912" i="1" a="1"/>
  <c r="L2576" i="1" a="1"/>
  <c r="L2801" i="1" a="1"/>
  <c r="L3250" i="1" a="1"/>
  <c r="L2634" i="1" a="1"/>
  <c r="L1520" i="1" a="1"/>
  <c r="L350" i="1" a="1"/>
  <c r="L3333" i="1" a="1"/>
  <c r="L1687" i="1" a="1"/>
  <c r="L2627" i="1" a="1"/>
  <c r="L1155" i="1" a="1"/>
  <c r="L3049" i="1" a="1"/>
  <c r="L1979" i="1" a="1"/>
  <c r="L3267" i="1" a="1"/>
  <c r="L2780" i="1" a="1"/>
  <c r="L3059" i="1" a="1"/>
  <c r="L1495" i="1" a="1"/>
  <c r="L3295" i="1" a="1"/>
  <c r="L1093" i="1" a="1"/>
  <c r="L1463" i="1" a="1"/>
  <c r="L1855" i="1" a="1"/>
  <c r="L3178" i="1" a="1"/>
  <c r="L1336" i="1" a="1"/>
  <c r="L541" i="1" a="1"/>
  <c r="L2265" i="1" a="1"/>
  <c r="L600" i="1" a="1"/>
  <c r="L3061" i="1" a="1"/>
  <c r="L950" i="1" a="1"/>
  <c r="L1784" i="1" a="1"/>
  <c r="L2858" i="1" a="1"/>
  <c r="L3182" i="1" a="1"/>
  <c r="L328" i="1" a="1"/>
  <c r="L1185" i="1" a="1"/>
  <c r="L870" i="1" a="1"/>
  <c r="L2131" i="1" a="1"/>
  <c r="L1271" i="1" a="1"/>
  <c r="L1272" i="1" a="1"/>
  <c r="L1317" i="1" a="1"/>
  <c r="L2836" i="1" a="1"/>
  <c r="L1410" i="1" a="1"/>
  <c r="L3028" i="1" a="1"/>
  <c r="L874" i="1" a="1"/>
  <c r="L669" i="1" a="1"/>
  <c r="L906" i="1" a="1"/>
  <c r="L348" i="1" a="1"/>
  <c r="L2955" i="1" a="1"/>
  <c r="L2381" i="1" a="1"/>
  <c r="L1751" i="1" a="1"/>
  <c r="L3364" i="1" a="1"/>
  <c r="L2183" i="1" a="1"/>
  <c r="L1392" i="1" a="1"/>
  <c r="L1077" i="1" a="1"/>
  <c r="L2867" i="1" a="1"/>
  <c r="L2286" i="1" a="1"/>
  <c r="L443" i="1" a="1"/>
  <c r="L3283" i="1" a="1"/>
  <c r="L1366" i="1" a="1"/>
  <c r="L1538" i="1" a="1"/>
  <c r="L1598" i="1" a="1"/>
  <c r="L1434" i="1" a="1"/>
  <c r="L2" i="1" a="1"/>
  <c r="L2" i="1" l="1"/>
  <c r="L1434" i="1"/>
  <c r="L1598" i="1"/>
  <c r="L1538" i="1"/>
  <c r="L1366" i="1"/>
  <c r="L3283" i="1"/>
  <c r="L443" i="1"/>
  <c r="L2286" i="1"/>
  <c r="L2867" i="1"/>
  <c r="L1077" i="1"/>
  <c r="L1392" i="1"/>
  <c r="L2183" i="1"/>
  <c r="L3364" i="1"/>
  <c r="L1751" i="1"/>
  <c r="L2381" i="1"/>
  <c r="L2955" i="1"/>
  <c r="L348" i="1"/>
  <c r="L906" i="1"/>
  <c r="L669" i="1"/>
  <c r="L874" i="1"/>
  <c r="L3028" i="1"/>
  <c r="L1410" i="1"/>
  <c r="L2836" i="1"/>
  <c r="L1317" i="1"/>
  <c r="L1272" i="1"/>
  <c r="L1271" i="1"/>
  <c r="L2131" i="1"/>
  <c r="L870" i="1"/>
  <c r="L1185" i="1"/>
  <c r="L328" i="1"/>
  <c r="L3182" i="1"/>
  <c r="L2858" i="1"/>
  <c r="L1784" i="1"/>
  <c r="L950" i="1"/>
  <c r="L3061" i="1"/>
  <c r="L600" i="1"/>
  <c r="L2265" i="1"/>
  <c r="L541" i="1"/>
  <c r="L1336" i="1"/>
  <c r="L3178" i="1"/>
  <c r="L1855" i="1"/>
  <c r="L1463" i="1"/>
  <c r="L1093" i="1"/>
  <c r="L3295" i="1"/>
  <c r="L1495" i="1"/>
  <c r="L3059" i="1"/>
  <c r="L2780" i="1"/>
  <c r="L3267" i="1"/>
  <c r="L1979" i="1"/>
  <c r="L3049" i="1"/>
  <c r="L1155" i="1"/>
  <c r="L2627" i="1"/>
  <c r="L1687" i="1"/>
  <c r="L3333" i="1"/>
  <c r="L350" i="1"/>
  <c r="L1520" i="1"/>
  <c r="L2634" i="1"/>
  <c r="L3250" i="1"/>
  <c r="L2801" i="1"/>
  <c r="L2576" i="1"/>
  <c r="L912" i="1"/>
  <c r="L1772" i="1"/>
  <c r="L2355" i="1"/>
  <c r="L614" i="1"/>
  <c r="L1902" i="1"/>
  <c r="L3007" i="1"/>
  <c r="L1349" i="1"/>
  <c r="L793" i="1"/>
  <c r="L599" i="1"/>
  <c r="L2349" i="1"/>
  <c r="L1222" i="1"/>
  <c r="L1152" i="1"/>
  <c r="L1648" i="1"/>
  <c r="L1095" i="1"/>
  <c r="L1148" i="1"/>
  <c r="L2940" i="1"/>
  <c r="L835" i="1"/>
  <c r="L3343" i="1"/>
  <c r="L2109" i="1"/>
  <c r="L3244" i="1"/>
  <c r="L1494" i="1"/>
  <c r="L1933" i="1"/>
  <c r="L1136" i="1"/>
  <c r="L2910" i="1"/>
  <c r="L1110" i="1"/>
  <c r="L2164" i="1"/>
  <c r="L1299" i="1"/>
  <c r="L2318" i="1"/>
  <c r="L156" i="1"/>
  <c r="L3150" i="1"/>
  <c r="L751" i="1"/>
  <c r="L2125" i="1"/>
  <c r="L2784" i="1"/>
  <c r="L2924" i="1"/>
  <c r="L1508" i="1"/>
  <c r="L3258" i="1"/>
  <c r="L780" i="1"/>
  <c r="L2111" i="1"/>
  <c r="L225" i="1"/>
  <c r="L2654" i="1"/>
  <c r="L2507" i="1"/>
  <c r="L1944" i="1"/>
  <c r="L1124" i="1"/>
  <c r="L2048" i="1"/>
  <c r="L2290" i="1"/>
  <c r="L1786" i="1"/>
  <c r="L2130" i="1"/>
  <c r="L1028" i="1"/>
  <c r="L3215" i="1"/>
  <c r="L1412" i="1"/>
  <c r="L1600" i="1"/>
  <c r="L826" i="1"/>
  <c r="L3106" i="1"/>
  <c r="L852" i="1"/>
  <c r="L2782" i="1"/>
  <c r="L679" i="1"/>
  <c r="L2997" i="1"/>
  <c r="L522" i="1"/>
  <c r="L3152" i="1"/>
  <c r="L1385" i="1"/>
  <c r="L2835" i="1"/>
  <c r="L3177" i="1"/>
  <c r="L798" i="1"/>
  <c r="L435" i="1"/>
  <c r="L564" i="1"/>
  <c r="L1038" i="1"/>
  <c r="L2403" i="1"/>
  <c r="L3235" i="1"/>
  <c r="L1509" i="1"/>
  <c r="L2474" i="1"/>
  <c r="L1331" i="1"/>
  <c r="L3345" i="1"/>
  <c r="L365" i="1"/>
  <c r="L1353" i="1"/>
  <c r="L1750" i="1"/>
  <c r="L2806" i="1"/>
  <c r="L1417" i="1"/>
  <c r="L2594" i="1"/>
  <c r="L1285" i="1"/>
  <c r="L2880" i="1"/>
  <c r="L489" i="1"/>
  <c r="L848" i="1"/>
  <c r="L3366" i="1"/>
  <c r="L3143" i="1"/>
  <c r="L1381" i="1"/>
  <c r="L2479" i="1"/>
  <c r="L1083" i="1"/>
  <c r="L2978" i="1"/>
  <c r="L749" i="1"/>
  <c r="L2505" i="1"/>
  <c r="L411" i="1"/>
  <c r="L897" i="1"/>
  <c r="L816" i="1"/>
  <c r="L2853" i="1"/>
  <c r="L684" i="1"/>
  <c r="L2083" i="1"/>
  <c r="L3187" i="1"/>
  <c r="L2112" i="1"/>
  <c r="L1606" i="1"/>
  <c r="L2578" i="1"/>
  <c r="L148" i="1"/>
  <c r="L2672" i="1"/>
  <c r="L1478" i="1"/>
  <c r="L2388" i="1"/>
  <c r="L857" i="1"/>
  <c r="L671" i="1"/>
  <c r="L3220" i="1"/>
  <c r="L966" i="1"/>
  <c r="L2421" i="1"/>
  <c r="L1241" i="1"/>
  <c r="L1917" i="1"/>
  <c r="L39" i="1"/>
  <c r="L2419" i="1"/>
  <c r="L3154" i="1"/>
  <c r="L1921" i="1"/>
  <c r="L773" i="1"/>
  <c r="L3213" i="1"/>
  <c r="L382" i="1"/>
  <c r="L2716" i="1"/>
  <c r="L173" i="1"/>
  <c r="L1994" i="1"/>
  <c r="L161" i="1"/>
  <c r="L2793" i="1"/>
  <c r="L1367" i="1"/>
  <c r="L2491" i="1"/>
  <c r="L2688" i="1"/>
  <c r="L3212" i="1"/>
  <c r="L1660" i="1"/>
  <c r="L1862" i="1"/>
  <c r="L786" i="1"/>
  <c r="L2748" i="1"/>
  <c r="L3287" i="1"/>
  <c r="L1491" i="1"/>
  <c r="L2734" i="1"/>
  <c r="L661" i="1"/>
  <c r="L3008" i="1"/>
  <c r="L527" i="1"/>
  <c r="L3336" i="1"/>
  <c r="L1445" i="1"/>
  <c r="L3006" i="1"/>
  <c r="L1399" i="1"/>
  <c r="L1183" i="1"/>
  <c r="L1267" i="1"/>
  <c r="L1736" i="1"/>
  <c r="L397" i="1"/>
  <c r="L3278" i="1"/>
  <c r="L2928" i="1"/>
  <c r="L2777" i="1"/>
  <c r="L1363" i="1"/>
  <c r="L3346" i="1"/>
  <c r="L886" i="1"/>
  <c r="L3185" i="1"/>
  <c r="L228" i="1"/>
  <c r="L1972" i="1"/>
  <c r="L844" i="1"/>
  <c r="L2674" i="1"/>
  <c r="L221" i="1"/>
  <c r="L2322" i="1"/>
  <c r="L10" i="1"/>
  <c r="L908" i="1"/>
  <c r="L2299" i="1"/>
  <c r="L1390" i="1"/>
  <c r="L2726" i="1"/>
  <c r="L1766" i="1"/>
  <c r="L2889" i="1"/>
  <c r="L1422" i="1"/>
  <c r="L192" i="1"/>
  <c r="L1650" i="1"/>
  <c r="L2735" i="1"/>
  <c r="L1042" i="1"/>
  <c r="L2160" i="1"/>
  <c r="L879" i="1"/>
  <c r="L3290" i="1"/>
  <c r="L70" i="1"/>
  <c r="L1640" i="1"/>
  <c r="L508" i="1"/>
  <c r="L3094" i="1"/>
  <c r="L2779" i="1"/>
  <c r="L3026" i="1"/>
  <c r="L666" i="1"/>
  <c r="L2787" i="1"/>
  <c r="L220" i="1"/>
  <c r="L1802" i="1"/>
  <c r="L201" i="1"/>
  <c r="L2640" i="1"/>
  <c r="L1278" i="1"/>
  <c r="L3000" i="1"/>
  <c r="L758" i="1"/>
  <c r="L3128" i="1"/>
  <c r="L3037" i="1"/>
  <c r="L3264" i="1"/>
  <c r="L1198" i="1"/>
  <c r="L2538" i="1"/>
  <c r="L126" i="1"/>
  <c r="L2375" i="1"/>
  <c r="L2121" i="1"/>
  <c r="L1024" i="1"/>
  <c r="L2343" i="1"/>
  <c r="L130" i="1"/>
  <c r="L2006" i="1"/>
  <c r="L170" i="1"/>
  <c r="L3151" i="1"/>
  <c r="L1427" i="1"/>
  <c r="L1119" i="1"/>
  <c r="L868" i="1"/>
  <c r="L2260" i="1"/>
  <c r="L139" i="1"/>
  <c r="L2487" i="1"/>
  <c r="L1760" i="1"/>
  <c r="L2988" i="1"/>
  <c r="L1985" i="1"/>
  <c r="L2984" i="1"/>
  <c r="L746" i="1"/>
  <c r="L3166" i="1"/>
  <c r="L748" i="1"/>
  <c r="L2715" i="1"/>
  <c r="L119" i="1"/>
  <c r="L2728" i="1"/>
  <c r="L276" i="1"/>
  <c r="L1910" i="1"/>
  <c r="L2495" i="1"/>
  <c r="L1201" i="1"/>
  <c r="L3027" i="1"/>
  <c r="L1641" i="1"/>
  <c r="L3183" i="1"/>
  <c r="L3241" i="1"/>
  <c r="L903" i="1"/>
  <c r="L2119" i="1"/>
  <c r="L1090" i="1"/>
  <c r="L1915" i="1"/>
  <c r="L3132" i="1"/>
  <c r="L747" i="1"/>
  <c r="L2306" i="1"/>
  <c r="L994" i="1"/>
  <c r="L3162" i="1"/>
  <c r="L763" i="1"/>
  <c r="L3277" i="1"/>
  <c r="L86" i="1"/>
  <c r="L1102" i="1"/>
  <c r="L2439" i="1"/>
  <c r="L2846" i="1"/>
  <c r="L2036" i="1"/>
  <c r="L3337" i="1"/>
  <c r="L652" i="1"/>
  <c r="L1406" i="1"/>
  <c r="L40" i="1"/>
  <c r="L2321" i="1"/>
  <c r="L2727" i="1"/>
  <c r="L1247" i="1"/>
  <c r="L319" i="1"/>
  <c r="L2607" i="1"/>
  <c r="L263" i="1"/>
  <c r="L2297" i="1"/>
  <c r="L3031" i="1"/>
  <c r="L3194" i="1"/>
  <c r="L916" i="1"/>
  <c r="L3085" i="1"/>
  <c r="L398" i="1"/>
  <c r="L1894" i="1"/>
  <c r="L9" i="1"/>
  <c r="L2792" i="1"/>
  <c r="L344" i="1"/>
  <c r="L2644" i="1"/>
  <c r="L1416" i="1"/>
  <c r="L923" i="1"/>
  <c r="L2854" i="1"/>
  <c r="L354" i="1"/>
  <c r="L799" i="1"/>
  <c r="L812" i="1"/>
  <c r="L2324" i="1"/>
  <c r="L2378" i="1"/>
  <c r="L2200" i="1"/>
  <c r="L1738" i="1"/>
  <c r="L2591" i="1"/>
  <c r="L255" i="1"/>
  <c r="L2501" i="1"/>
  <c r="L95" i="1"/>
  <c r="L814" i="1"/>
  <c r="L8" i="1"/>
  <c r="L2013" i="1"/>
  <c r="L3217" i="1"/>
  <c r="L2188" i="1"/>
  <c r="L1481" i="1"/>
  <c r="L1841" i="1"/>
  <c r="L2330" i="1"/>
  <c r="L1623" i="1"/>
  <c r="L3308" i="1"/>
  <c r="L2865" i="1"/>
  <c r="L2841" i="1"/>
  <c r="L1041" i="1"/>
  <c r="L2466" i="1"/>
  <c r="L657" i="1"/>
  <c r="L3139" i="1"/>
  <c r="L638" i="1"/>
  <c r="L3262" i="1"/>
  <c r="L829" i="1"/>
  <c r="L2881" i="1"/>
  <c r="L688" i="1"/>
  <c r="L2933" i="1"/>
  <c r="L433" i="1"/>
  <c r="L1608" i="1"/>
  <c r="L2601" i="1"/>
  <c r="L1942" i="1"/>
  <c r="L1244" i="1"/>
  <c r="L2228" i="1"/>
  <c r="L289" i="1"/>
  <c r="L2544" i="1"/>
  <c r="L1055" i="1"/>
  <c r="L2211" i="1"/>
  <c r="L895" i="1"/>
  <c r="L1851" i="1"/>
  <c r="L2557" i="1"/>
  <c r="L2861" i="1"/>
  <c r="L380" i="1"/>
  <c r="L2914" i="1"/>
  <c r="L2694" i="1"/>
  <c r="L3245" i="1"/>
  <c r="L539" i="1"/>
  <c r="L2390" i="1"/>
  <c r="L569" i="1"/>
  <c r="L1624" i="1"/>
  <c r="L504" i="1"/>
  <c r="L2094" i="1"/>
  <c r="L2547" i="1"/>
  <c r="L1280" i="1"/>
  <c r="L3053" i="1"/>
  <c r="L439" i="1"/>
  <c r="L487" i="1"/>
  <c r="L412" i="1"/>
  <c r="L2667" i="1"/>
  <c r="L212" i="1"/>
  <c r="L1394" i="1"/>
  <c r="L2550" i="1"/>
  <c r="L2240" i="1"/>
  <c r="L2651" i="1"/>
  <c r="L2856" i="1"/>
  <c r="L376" i="1"/>
  <c r="L1550" i="1"/>
  <c r="L3362" i="1"/>
  <c r="L2516" i="1"/>
  <c r="L2399" i="1"/>
  <c r="L2247" i="1"/>
  <c r="L1335" i="1"/>
  <c r="L1157" i="1"/>
  <c r="L3240" i="1"/>
  <c r="L2043" i="1"/>
  <c r="L2614" i="1"/>
  <c r="L290" i="1"/>
  <c r="L3279" i="1"/>
  <c r="L1869" i="1"/>
  <c r="L2345" i="1"/>
  <c r="L1253" i="1"/>
  <c r="L1386" i="1"/>
  <c r="L510" i="1"/>
  <c r="L3068" i="1"/>
  <c r="L960" i="1"/>
  <c r="L3078" i="1"/>
  <c r="L716" i="1"/>
  <c r="L2341" i="1"/>
  <c r="L15" i="1"/>
  <c r="L1854" i="1"/>
  <c r="L104" i="1"/>
  <c r="L1911" i="1"/>
  <c r="L1882" i="1"/>
  <c r="L3334" i="1"/>
  <c r="L1990" i="1"/>
  <c r="L892" i="1"/>
  <c r="L2361" i="1"/>
  <c r="L2027" i="1"/>
  <c r="L554" i="1"/>
  <c r="L1194" i="1"/>
  <c r="L3243" i="1"/>
  <c r="L417" i="1"/>
  <c r="L3298" i="1"/>
  <c r="L2167" i="1"/>
  <c r="L2004" i="1"/>
  <c r="L2767" i="1"/>
  <c r="L1774" i="1"/>
  <c r="L2879" i="1"/>
  <c r="L329" i="1"/>
  <c r="L2722" i="1"/>
  <c r="L1440" i="1"/>
  <c r="L2066" i="1"/>
  <c r="L1047" i="1"/>
  <c r="L1932" i="1"/>
  <c r="L2311" i="1"/>
  <c r="L1609" i="1"/>
  <c r="L1856" i="1"/>
  <c r="L979" i="1"/>
  <c r="L440" i="1"/>
  <c r="L2231" i="1"/>
  <c r="L2523" i="1"/>
  <c r="L1903" i="1"/>
  <c r="L101" i="1"/>
  <c r="L1769" i="1"/>
  <c r="L2303" i="1"/>
  <c r="L3273" i="1"/>
  <c r="L1266" i="1"/>
  <c r="L2158" i="1"/>
  <c r="L3118" i="1"/>
  <c r="L2038" i="1"/>
  <c r="L1591" i="1"/>
  <c r="L1968" i="1"/>
  <c r="L1719" i="1"/>
  <c r="L1250" i="1"/>
  <c r="L2643" i="1"/>
  <c r="L1289" i="1"/>
  <c r="L3136" i="1"/>
  <c r="L957" i="1"/>
  <c r="L2467" i="1"/>
  <c r="L462" i="1"/>
  <c r="L2952" i="1"/>
  <c r="L3246" i="1"/>
  <c r="L2968" i="1"/>
  <c r="L1176" i="1"/>
  <c r="L2860" i="1"/>
  <c r="L542" i="1"/>
  <c r="L3035" i="1"/>
  <c r="L281" i="1"/>
  <c r="L2411" i="1"/>
  <c r="L53" i="1"/>
  <c r="C4" i="4" s="1"/>
  <c r="L1213" i="1"/>
  <c r="L3089" i="1"/>
  <c r="L2608" i="1"/>
  <c r="L2772" i="1"/>
  <c r="L1513" i="1"/>
  <c r="L3034" i="1"/>
  <c r="L3209" i="1"/>
  <c r="L1737" i="1"/>
  <c r="L1638" i="1"/>
  <c r="L673" i="1"/>
  <c r="L1532" i="1"/>
  <c r="L2173" i="1"/>
  <c r="L1705" i="1"/>
  <c r="L419" i="1"/>
  <c r="L483" i="1"/>
  <c r="L929" i="1"/>
  <c r="L3320" i="1"/>
  <c r="L1384" i="1"/>
  <c r="L940" i="1"/>
  <c r="L1668" i="1"/>
  <c r="L72" i="1"/>
  <c r="L2416" i="1"/>
  <c r="L146" i="1"/>
  <c r="G17" i="4"/>
  <c r="G15" i="4"/>
  <c r="G20" i="4"/>
  <c r="C5" i="4"/>
  <c r="C3" i="4"/>
  <c r="G9" i="4" l="1"/>
  <c r="G5" i="4"/>
  <c r="G16" i="4"/>
  <c r="G18" i="4"/>
  <c r="G7" i="4"/>
  <c r="G19" i="4"/>
  <c r="C6" i="4"/>
  <c r="G4" i="4"/>
  <c r="G6" i="4"/>
  <c r="G8"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<sst xmlns="http://schemas.openxmlformats.org/spreadsheetml/2006/main" count="13045" uniqueCount="7341">
  <si>
    <t>User</t>
  </si>
  <si>
    <t>Text</t>
  </si>
  <si>
    <t>Likes</t>
  </si>
  <si>
    <t>Replies</t>
  </si>
  <si>
    <t>Country</t>
  </si>
  <si>
    <t>Published</t>
  </si>
  <si>
    <t>Updated</t>
  </si>
  <si>
    <t>Channel Date</t>
  </si>
  <si>
    <t>K****n</t>
  </si>
  <si>
    <t>Hi Barbie</t>
  </si>
  <si>
    <t>None</t>
  </si>
  <si>
    <t>u****n</t>
  </si>
  <si>
    <t>I liked the dancing hippo ðŸ¦›</t>
  </si>
  <si>
    <t>g****9</t>
  </si>
  <si>
    <t>Finally saw this movie. Canâ€™t believe how BAD it was. Just terrible.</t>
  </si>
  <si>
    <t>r****1</t>
  </si>
  <si>
    <t>is it a musical ?, musical numbers are a turn off</t>
  </si>
  <si>
    <t>t****7</t>
  </si>
  <si>
    <t>It's wasn't bad, kinda liked it</t>
  </si>
  <si>
    <t>LR</t>
  </si>
  <si>
    <t>d****4</t>
  </si>
  <si>
    <t>What makes people want to watch movies like this? i can't believe it is one of the highest grossing movies of all time.</t>
  </si>
  <si>
    <t>t****1</t>
  </si>
  <si>
    <t>â¤â¤â¤â¤ N</t>
  </si>
  <si>
    <t>I thought this movie would be very bad at first but IT IS THE BEST MOVIE I HAVE EVER SEEN!!!ðŸ©·ðŸ©·ðŸ©·ðŸ©·ðŸ©·ðŸ©·ðŸ©·ðŸ©·ðŸ©·ðŸ©·ðŸ©·ðŸ©·</t>
  </si>
  <si>
    <t>z****5</t>
  </si>
  <si>
    <t>As for this movie, loved all the pink, and the young woman who portrayed Barbie, and I hope she wins something for playing the part. What was the point of the little girl in the movie was beyond me she was misplaced and out of place. The movie was very good in the beginning in Barbie's world until she stepped off into the real world and meeting this mean girl at school, which didn't have anything to do with her and why she didn't like playing with dolls, and kids just don't talk that way. It was always Ken and Barbie when the made him and Barbie has always liked Ken, what is happening with this chick flick. I really don't know, but maybe a do over. I liked Legally Blonde, and it could have been a perfect Barbie movie.</t>
  </si>
  <si>
    <t>I really expected more from this movie after all my daughter grew up on barbie dolls and we didn't care if she was white, we just like the doll and people put too my emphasis on that fact especially when they were saying how come there aren't any black barbie dolls? Barbie was created by her own who was white, but we want to flip the script and make Barbie all races. Really? The movie really didn't cater to kids which I was hoping it would do. It catered to body shamming and seemingly that women don't need men when God created the pair to live and work together. Yet we as women are the ones who are putting so much into looking perfect being perfect when nobody is perfect. Women do it to themselves, not men. For me, it would be all about the kid's imagination when making this movie. My daughter still loves her barbie doll, and it didn't take a professional barbie to make her a professional independent woman today.</t>
  </si>
  <si>
    <t>d****y</t>
  </si>
  <si>
    <t>From selling credit default swaps to being Ken. Incredible</t>
  </si>
  <si>
    <t>s****9</t>
  </si>
  <si>
    <t>i got a tia from watching this#akkieincomingim at my lowest right now</t>
  </si>
  <si>
    <t>k****0</t>
  </si>
  <si>
    <t>BARBIEâ¤</t>
  </si>
  <si>
    <t>f****3</t>
  </si>
  <si>
    <t>This is my nightmare!</t>
  </si>
  <si>
    <t>m****8</t>
  </si>
  <si>
    <t>Margot Robbie has reached the stage for Australian women where their beauty declines fast</t>
  </si>
  <si>
    <t>c****8</t>
  </si>
  <si>
    <t>Hilarious how Ken won an award (for Im just Ken) and Barbie didnt in her own movie ahahahaaha ðŸ˜‚ another win for men, u can cry now feminazis</t>
  </si>
  <si>
    <t>None of the trashoes who went out to this this feminazi movie went out to see the marvels and madam web ðŸ˜‚</t>
  </si>
  <si>
    <t>u****g</t>
  </si>
  <si>
    <t>I love barbie â¤ðŸŽ‰ðŸ˜Š my nemse is taha bouria</t>
  </si>
  <si>
    <t>w****4</t>
  </si>
  <si>
    <t>Is barbie on Netflix</t>
  </si>
  <si>
    <t>u****f</t>
  </si>
  <si>
    <t>I love barbie girl ðŸ’— my nemse IS Taha Bouriya lm from moroco</t>
  </si>
  <si>
    <t>V****b</t>
  </si>
  <si>
    <t>Love from India ðŸ‡®ðŸ‡³ â¤</t>
  </si>
  <si>
    <t>A****n</t>
  </si>
  <si>
    <t>nooooooooooooo ooooooooooo ooooooooooo ooooooooooo</t>
  </si>
  <si>
    <t>i****x</t>
  </si>
  <si>
    <t>oh my god its harley Quinn</t>
  </si>
  <si>
    <t>I love barbieâ¤</t>
  </si>
  <si>
    <t>r****0</t>
  </si>
  <si>
    <t>Jennifer Jason Leigh is such a good replacement for this chick, whom Iâ€™m told skates.</t>
  </si>
  <si>
    <t>t****2</t>
  </si>
  <si>
    <t>I drive</t>
  </si>
  <si>
    <t>u****y</t>
  </si>
  <si>
    <t>#JoeArdenHouse-Ken-RyanGosling#Barbie-LouiseArdenHouse</t>
  </si>
  <si>
    <t>a****8</t>
  </si>
  <si>
    <t>Everyone loved this film except Indians. The large swath of people going to movies in India are mentally deficient.</t>
  </si>
  <si>
    <t>b****3</t>
  </si>
  <si>
    <t>They are special to barbie and ken</t>
  </si>
  <si>
    <t>I not love barbie, not hate barbie, but i like to see margot robie, hail the quen</t>
  </si>
  <si>
    <t>ID</t>
  </si>
  <si>
    <t>s****4</t>
  </si>
  <si>
    <t>Oh this movie's my favoriteðŸ˜ I've seen that movie into theatersâ˜ºðŸ’—</t>
  </si>
  <si>
    <t>v****y</t>
  </si>
  <si>
    <t>What is that?</t>
  </si>
  <si>
    <t>L****9</t>
  </si>
  <si>
    <t>My God!!! Is it that good?! Well then... maybe I will watch it... Maybe.</t>
  </si>
  <si>
    <t>I didn't watch the movie yet.But I'm thinking that my barbies collection with all the real clothes and accessories from 1985-87 might be worth a little $$$ ?I would sell them! ðŸ¤·â€â™€ï¸ Oh yeah!</t>
  </si>
  <si>
    <t>n****0</t>
  </si>
  <si>
    <t>If you have aspergers, this movie will seem like a masterpiece</t>
  </si>
  <si>
    <t>T****1</t>
  </si>
  <si>
    <t>81 million views wowâ¤â¤</t>
  </si>
  <si>
    <t>w****7</t>
  </si>
  <si>
    <t>Mastershit movie ðŸ¤ªðŸ¤ª</t>
  </si>
  <si>
    <t>b****4</t>
  </si>
  <si>
    <t>How can anybody be stupid enough to watch or enjoy this movie? God this world is going down.</t>
  </si>
  <si>
    <t>M****e</t>
  </si>
  <si>
    <t>Seriously people love this movie? Ken was the only fun part. The rest was complete blah... Costumes were good too</t>
  </si>
  <si>
    <t>m****5</t>
  </si>
  <si>
    <t>Ã‡ok iyi filim eÄŸlenceli ayrica oyuncularda Ã§ok iyi</t>
  </si>
  <si>
    <t>a****i</t>
  </si>
  <si>
    <t>Ã‡ok gÃ¼zel â¤</t>
  </si>
  <si>
    <t>i****7</t>
  </si>
  <si>
    <t>Ã‡ok gÃ¼zel film tekrar tekrar izlenir</t>
  </si>
  <si>
    <t>Harika bir filim herkeze tavsiye ederim..</t>
  </si>
  <si>
    <t>m****4</t>
  </si>
  <si>
    <t>BARBIE AMERICAN DAD! SECURITY FAMILY GUY</t>
  </si>
  <si>
    <t>b****2</t>
  </si>
  <si>
    <t>DÃ¼nyanÄ±n toz pembe ve gercek yuzunu muhtesem derecede guzel anlatan bir baÅŸyapÄ±tðŸŒŸðŸŒŸðŸŒŸ</t>
  </si>
  <si>
    <t>e****4</t>
  </si>
  <si>
    <t>Barbie evreni Ã§ok farklÄ±</t>
  </si>
  <si>
    <t>B****g</t>
  </si>
  <si>
    <t>SÃ¼per bir film</t>
  </si>
  <si>
    <t>r****8</t>
  </si>
  <si>
    <t>Barbie And The Most Extreme Battle Of The Sexes</t>
  </si>
  <si>
    <t>K****o</t>
  </si>
  <si>
    <t>GÃ¼zel eglenceli bir film izlemenizi tafsiye ederim â¤</t>
  </si>
  <si>
    <t>The most beautiful movie to watch with your lover The cast is great</t>
  </si>
  <si>
    <t>s****7</t>
  </si>
  <si>
    <t>Ã‡ocuklarÄ±m severek izliyor</t>
  </si>
  <si>
    <t>u****j</t>
  </si>
  <si>
    <t>GÃ¼zel bir film. Herkese tavsiye ederim.</t>
  </si>
  <si>
    <t>insan isi degil</t>
  </si>
  <si>
    <t>Barbie is my favorite cartoon. I need to watch this immediately</t>
  </si>
  <si>
    <t>BaÅŸrollerin show yaptÄ±ÄŸÄ± efsane bir film</t>
  </si>
  <si>
    <t>d****k</t>
  </si>
  <si>
    <t>Ã‡ok eÄŸlenceli pozitif bir yayÄ±n olmuÅŸ.komik renkli oyuncular daha iyi severek ve eÄŸlenerek izleyeceksiniz</t>
  </si>
  <si>
    <t>o****0</t>
  </si>
  <si>
    <t>Bu sinema ve giÅŸe baÅŸarÄ±sÄ± altÄ±n kÃ¼resini kazanacak</t>
  </si>
  <si>
    <t>s****3</t>
  </si>
  <si>
    <t>Barbie mÃ¼kemmel bir dizi tavsiye ederim</t>
  </si>
  <si>
    <t>e****7</t>
  </si>
  <si>
    <t>Biraz saÃ§ma bir film olmuÅŸ gibi )</t>
  </si>
  <si>
    <t>m****9</t>
  </si>
  <si>
    <t>perfect literally</t>
  </si>
  <si>
    <t>u****l</t>
  </si>
  <si>
    <t>â¤ðŸŽ‰ðŸŽ‰ N</t>
  </si>
  <si>
    <t>b****6</t>
  </si>
  <si>
    <t>Guzell gÃ¼zel</t>
  </si>
  <si>
    <t>h****3</t>
  </si>
  <si>
    <t>GÃ¼sel film ðŸŽ‰</t>
  </si>
  <si>
    <t>s****6</t>
  </si>
  <si>
    <t>BayÄ±lÄ±yorum bu film e â¤</t>
  </si>
  <si>
    <t>t****e</t>
  </si>
  <si>
    <t>Bu film harika gerÃ§ekten mÃ¼thiÅŸ</t>
  </si>
  <si>
    <t>u****c</t>
  </si>
  <si>
    <t>gÃ¼zel</t>
  </si>
  <si>
    <t>Bazen</t>
  </si>
  <si>
    <t>u****v</t>
  </si>
  <si>
    <t>Bu sinema giÅŸe rekorlarÄ± kÄ±rdÄ± mÃ¼thiÅŸ</t>
  </si>
  <si>
    <t>b****9</t>
  </si>
  <si>
    <t>Filmi izledim harika bi film fragman da baya heyecanlÄ±ydÄ±</t>
  </si>
  <si>
    <t>h****1</t>
  </si>
  <si>
    <t>I love it!</t>
  </si>
  <si>
    <t>TR</t>
  </si>
  <si>
    <t>Perfect good movie</t>
  </si>
  <si>
    <t>n****6</t>
  </si>
  <si>
    <t>Great trailer ðŸ˜®</t>
  </si>
  <si>
    <t>k****9</t>
  </si>
  <si>
    <t>Barbie movie is interesting and Margot Robbie's acting is even more wonderfulï¿¼</t>
  </si>
  <si>
    <t>a****n</t>
  </si>
  <si>
    <t>Ã§ok etkileyici bir filmdiiii</t>
  </si>
  <si>
    <t>FR</t>
  </si>
  <si>
    <t>s****m</t>
  </si>
  <si>
    <t>Ryam gosling is capable to play this roleðŸ˜‚ðŸ˜‚ðŸ˜‚heâ€™s my favorite</t>
  </si>
  <si>
    <t>h****i</t>
  </si>
  <si>
    <t>Goood</t>
  </si>
  <si>
    <t>c****5</t>
  </si>
  <si>
    <t>Harika bir film</t>
  </si>
  <si>
    <t>S****d</t>
  </si>
  <si>
    <t>Barbie bebek bayÄ±ldÄ±m â¤</t>
  </si>
  <si>
    <t>s****0</t>
  </si>
  <si>
    <t>Herkesin izlemesi gereken bir yapÄ±t</t>
  </si>
  <si>
    <t>a****9</t>
  </si>
  <si>
    <t>Film mÃ¼kemmeldi herkese tavsiye ediyorum</t>
  </si>
  <si>
    <t>J****q</t>
  </si>
  <si>
    <t>Ã‡ok gÃ¼zel film izleyin mutlakaa</t>
  </si>
  <si>
    <t>l****2</t>
  </si>
  <si>
    <t>Barbie mÃ¼kemmel bir film izledim gerÃ§ekten harikaydÄ± warner bros'u tebrik ederim</t>
  </si>
  <si>
    <t>Harika tek kelime ileðŸŽ‰</t>
  </si>
  <si>
    <t>S****h</t>
  </si>
  <si>
    <t>Bu bir Barbie deÄŸil tÃ¼ylerim diken diken oldu sanki mÃ¼thiÅŸ</t>
  </si>
  <si>
    <t>Wowww</t>
  </si>
  <si>
    <t>Ã‡ocuklarÄ±mÄ±z IcÄ±n efsane bir film</t>
  </si>
  <si>
    <t>h****2</t>
  </si>
  <si>
    <t>â¤â¤â¤â¤â¤Gut</t>
  </si>
  <si>
    <t>u****k</t>
  </si>
  <si>
    <t>ðŸ’žðŸ˜ðŸ’•ðŸ˜ðŸ’“ðŸ˜‰ðŸ’—ðŸ’—ðŸ’—ðŸ’—ðŸ’—ðŸ’–ðŸ’–ðŸ’–ðŸ’–ðŸ’“ðŸ’“ðŸ’“ðŸ’“ðŸ’žðŸ’žðŸ’žðŸ’žðŸ’•ðŸ’•ðŸ’•ðŸ’•ðŸ’•ðŸ’œðŸ’ŸðŸ’ŸðŸ’ŸðŸ’”ðŸ’”ðŸ’”ðŸ’ðŸ’ðŸ’ðŸ’˜ðŸ’˜ðŸ’˜ðŸ’ŒðŸ’ŒðŸ’Œ N</t>
  </si>
  <si>
    <t>d****5</t>
  </si>
  <si>
    <t>Another feminism tactic brainwashing little girls ðŸ—‘ï¸You can be obese and not work on your self and be a barbie You donâ€™t need a man ðŸ˜‚</t>
  </si>
  <si>
    <t>Ð­Ñ‚Ð¾ Ð¥Ð°Ñ€Ð»Ð¸ ÐºÐ²Ð¸Ð½ N</t>
  </si>
  <si>
    <t>w****b</t>
  </si>
  <si>
    <t>Only in this nonsense generation would a film this ridiculous be nominated for an Oscar</t>
  </si>
  <si>
    <t>k****3</t>
  </si>
  <si>
    <t>Allan was my favorite character. I freaking love Michael Cera.ðŸ¤£ðŸ¤£</t>
  </si>
  <si>
    <t>J****v</t>
  </si>
  <si>
    <t>ðŸ˜‚ N</t>
  </si>
  <si>
    <t>y****7</t>
  </si>
  <si>
    <t>Barbie "Closer, I am fiiiiine, closer I am fiii.. AHHHHHHHHHHHHH!!!!!!!!!!!!"ðŸ˜‚ðŸ˜‚ðŸ˜‚ðŸ˜‚ðŸ˜‚ðŸ˜‚ðŸ˜‚ðŸ˜‚ðŸ˜‚ðŸ˜‚ðŸ˜‚ðŸ˜‚ðŸ˜‚ðŸ˜‚ðŸ˜‚ðŸ˜‚ðŸ˜‚ðŸ˜‚ðŸ˜‚ðŸ˜‚ðŸ˜‚ðŸ˜‚ðŸ˜‚ðŸ˜‚ðŸ˜‚ðŸ˜‚ðŸ˜‚ðŸ˜‚</t>
  </si>
  <si>
    <t>Q****n</t>
  </si>
  <si>
    <t>Amazing edit</t>
  </si>
  <si>
    <t>a****5</t>
  </si>
  <si>
    <t>Is Anyone here!!/</t>
  </si>
  <si>
    <t>d****8</t>
  </si>
  <si>
    <t>Only good thing in this movie are Ryan gosling and the set masterpiece. Rest is mehh and does not fulfill what it pretends</t>
  </si>
  <si>
    <t>B****b</t>
  </si>
  <si>
    <t>Hindi dubbed plzz</t>
  </si>
  <si>
    <t>u****b</t>
  </si>
  <si>
    <t>Djc</t>
  </si>
  <si>
    <t>Stop Asking Whoâ€™s Still Watching!We Never Stop Watching To This MASTERPIECE!!</t>
  </si>
  <si>
    <t>g****6</t>
  </si>
  <si>
    <t>Am a fan! Since when i was 6 I was a fan am still! I cant wait!ðŸ’–</t>
  </si>
  <si>
    <t>a****6</t>
  </si>
  <si>
    <t>ÐšÐ°ÐºÐ°Ñ Ð¶Ðµ Ñ‡ÑƒÑˆÑŒ Ð±ÐµÐ·Ð´ÑƒÑˆÐ½Ð°Ñ. N</t>
  </si>
  <si>
    <t>b****s</t>
  </si>
  <si>
    <t>Decided to purchase this because of all the positive reviews. However I thought it was quite rubbish. Pretty boring in most places I kept wanting to fast forward bits but forced myself not to. I saw so many say it was really emotional and made them cry but I never felt any emotion like that and Iâ€™m a very emotional person. I guess what really threw me off was how it was all about gender roles and the whole â€˜letâ€™s pity women for everything they go throughâ€™. Iâ€™m a woman and I disagree that women have it worse. Men definitely have it worse in society. Ever heard of toxic masculinity? Men are made to feel like garbage and I found myself siding with Ken and really despising Barbie the whole way through. It just really irritated me to the point that I couldnâ€™t enjoy it.</t>
  </si>
  <si>
    <t>u****r</t>
  </si>
  <si>
    <t>Credo</t>
  </si>
  <si>
    <t>T****l</t>
  </si>
  <si>
    <t>The Ken Trailer, you mean.</t>
  </si>
  <si>
    <t>s****1</t>
  </si>
  <si>
    <t>I finally watched the Barbie movie. Bad idea to make women seem responsible for setting men up against each other which results in war just to distract them from women getting together trying to change rules to get back to matriarchy?! Women playing with men's feelings just to make them angry? Bad twist of the story! Women saying no to bad music and bad treatment of women? Good idea. Women saying no to inequality? Good idea! Women hysterically smiling and being superficial? No. By the way the real Barbie and Ken were brother and sister. I am glad, they didn't end up in a relationship in this movie. Barbie and Ken puppets represent grown-ups and it is good for kinds to play and to work things out about the world as grown-ups. Perhaps even phantazise over their future role in this world. Therefore different puppets represent different possibilities, which is good. But to play with babydolls is also okay and I strongly dislike the beginning of the movie where crazy girls destroy babydolls/ kids by smashing them and throwing them away. Dolls are transitional objects which can be loved or hated. Caring for a smaller one is good and turns kids into responsible grown-ups. It's good if they examine a mothers/fathers point of view too by playing with this situation. As they are still kids and the smaller ones in this relation. Caring for their "inner child" themselves can give comfort and protection. If kids show agression against their dolls as shown in the beginning of the movie it should alarm the grown-ups and brought to conversation. Selfhatred is not a good example and should be objected by a brand that wants to enrich peoples lives and sell good products. My opinion.</t>
  </si>
  <si>
    <t>l****0</t>
  </si>
  <si>
    <t>Hearing about the movie, I thought it would be primarily suitable for children. I am glad it was made in a way that people of all ages were able to enjoy it.The movie was executed in an educational manner that not only awakened the nostalgic feeling of playing with the Barbie doll myself but also made me realize how many generations of girls, including me, were raised with vast amounts of unrealistic standards about what a woman should be. The movie focuses a lot on this point, and Gloria&amp;#39;s speech was eye-opening not only for the other Barbies but also for the many women who watched it.I liked the way the movie showed, in an extreme way, the contrast between real and Barbie worlds and that, in the end, they successfully made the point that a world solely dominated either by women or by men is not healthy and functional.</t>
  </si>
  <si>
    <t>S****1</t>
  </si>
  <si>
    <t>I think this movie is for stupid people. And with that being said, I'm ready for the public ban! Start! ðŸ¿</t>
  </si>
  <si>
    <t>t****9</t>
  </si>
  <si>
    <t>Margot Robbie is perfectly cast as a barbie because she's all plastic and there's nothing inside her head.</t>
  </si>
  <si>
    <t>a****0</t>
  </si>
  <si>
    <t>Ä°o9ooooooookkkklllmm mmmmmmmmmmmmmmmm</t>
  </si>
  <si>
    <t>l****1</t>
  </si>
  <si>
    <t>Safe to say Margot Robbieâ€™s feet was the star of the movie honry world we live in ðŸ˜…</t>
  </si>
  <si>
    <t>7****a</t>
  </si>
  <si>
    <t>Hey Barbie can you come to india</t>
  </si>
  <si>
    <t>Was this movie a head of cabbage?No, it was a head of its thyme, haaaaaaaaaa! ðŸ™‚</t>
  </si>
  <si>
    <t>Omg such a waste of time...</t>
  </si>
  <si>
    <t>D****_</t>
  </si>
  <si>
    <t>It is cringe movie, but i respect Ruth Handler.</t>
  </si>
  <si>
    <t>f****7</t>
  </si>
  <si>
    <t>I hate barbie</t>
  </si>
  <si>
    <t>l****6</t>
  </si>
  <si>
    <t>The amount of 'bot' reviews on this makes it impossible to trust any of the potentially "real" reviews.</t>
  </si>
  <si>
    <t>US</t>
  </si>
  <si>
    <t>u****q</t>
  </si>
  <si>
    <t>I watched this last night. Sorry to say it but I didn't like the movie. But that is me. I can see other movies to be made. That this one is just the first of many.</t>
  </si>
  <si>
    <t>C****e</t>
  </si>
  <si>
    <t>I had the ORIGINAL Barbies and Ken was a brunette not a blonde.</t>
  </si>
  <si>
    <t>m****o</t>
  </si>
  <si>
    <t>Is Hollywood being paid to increase the stupidity of human beings?</t>
  </si>
  <si>
    <t>Why would anyone watch a Barbie doll movie? It's so stupid. Why promote stupidity? I have watched the stupidity increase over the last 50 years and am relieved that human beings will extinct themselves and give other more worthy life forms a chance.</t>
  </si>
  <si>
    <t>j****3</t>
  </si>
  <si>
    <t>May peace and true light truly be with you reader. What is truly good for a human heart?Humans, surely, you can see through this crime against humanity? It is easy to be brainwashed though it seems, as I have been in the past, and probably still am in areas. Where does all the money go and what is the hidden agenda??? I wonder if all the clothes worn are made with ethically sourced materials? I wonder if the make up worn is truly good for your skin and the planet? With budgets so big, we must ask, what is really good for a human heart? No matter what, I believe Barbie, is inherently evil. When our Human Resources are spent on building homes for all, organic, healing foods for all, and skills such as sewing taught to everyone. We could create a better world. But no, itâ€™s currently spent on toxic merchandise, toxic food, toxic drinks, toxic clothing and supporting false idols.With innocent people starving and lacking education. People still believing that alcohol is even worth a penny of their money. The fact that mcDonalds actually even exists stillâ€¦ May God grant us all better knowledge and strength. Amen. Stop buying pointless plastic, unhealthy, evil, rubbish. Invest in what is truly blessed, invest in what is truly good for your soul. May peace and light be with you reader. AmenIf itâ€™s not genuinely good and healthy for people, if itâ€™s not good for the Earth - stop it! Boycott.</t>
  </si>
  <si>
    <t>J****h</t>
  </si>
  <si>
    <t>Guys isnt it so funny that theres hardly any fat barbies on here? Hilarious ðŸ˜‚ i bet all those fat models hate this film.,, and the few ones that are in the movie.. my god they used so much more fabric on their costumes lolololol</t>
  </si>
  <si>
    <t>l****3</t>
  </si>
  <si>
    <t>Mattel used child labor for decades making Barbie. Boring, biased; pressures girls to waste $ on fashion, gross pink decor, classic cars, &amp; NOT age past 25. NO American API Barbie. Men â€œneedâ€ female leader. All negative film reviews are censured.</t>
  </si>
  <si>
    <t>n****3</t>
  </si>
  <si>
    <t>â¤Õ¯Õ¸Õ«Õ¸Õ«Õ¸Ö…ðŸŽ‰ðŸ˜‚ðŸ˜®ðŸ˜Š N</t>
  </si>
  <si>
    <t>G****A</t>
  </si>
  <si>
    <t>Man is looking like karanthaper</t>
  </si>
  <si>
    <t>G****n</t>
  </si>
  <si>
    <t>More junk food entertainment nobody asked for.</t>
  </si>
  <si>
    <t>e****9</t>
  </si>
  <si>
    <t>Ã–ncelikle bu filmin yÃ¶netmeni baÅŸrol olarak nasÄ±l bÃ¶yle bir hata yaptÄ± bilmiyorum ama yani bu kadar da olmaz hani zaten biricik prenses dÃ¼nyada hani onun yerine gerÃ§ekten bu insanlarin olacaÄŸÄ±nÄ± dÃ¼ÅŸÃ¼nmek bile aÃ§Ä±kÃ§asÄ± hayal gÃ¼cÃ¼ne sÄ±ÄŸmamasi lazÄ±m ama tabi ÅŸÃ¶yle de bir ÅŸey var siz yurtdÄ±ÅŸÄ±nda arayÄ±n istediÄŸiniz kadar goremiceksiniz ve filminiz sadece bÃ¶yle kurgusal olacak ben biricik olan prensesi buldummmm veee asla da bÄ±rakmÄ±yorum birakmicam. Ha bide ÅŸÃ¶yle bir ÅŸey var mesela diyelim siz burda Ã§ekmeye Ã§alÄ±ÅŸtÄ±niz filmi sizin saatlerinize gÃ¶re deÄŸil bize gÃ¶re ayarlanmasÄ± gerekiyor yÃ¶netmeninize bunu iletin lÃ¼tfen Ã§Ã¼nkÃ¼ klasik insanlar olarak siz biriciÄŸin hayat standartlarina karÅŸÄ±mazsiniz. âœ¨âœ¨</t>
  </si>
  <si>
    <t>W****x</t>
  </si>
  <si>
    <t>This is lame. Everything. Including the heels. It's lame. Barbie sucks.</t>
  </si>
  <si>
    <t>c****l</t>
  </si>
  <si>
    <t>Claudia Schiffer was the only real life Barbie to me.</t>
  </si>
  <si>
    <t>full movies please.</t>
  </si>
  <si>
    <t>f****6</t>
  </si>
  <si>
    <t>Harika ðŸ˜®</t>
  </si>
  <si>
    <t>r****4</t>
  </si>
  <si>
    <t>Chick flick</t>
  </si>
  <si>
    <t>ðŸ˜‚ðŸ˜‚ðŸ˜‚ to this day I donâ€™t get why he agreed to plan this role. Like me, all the people born in the mid 80â€™s think that heâ€™s sooo not the guy to play Ken. Havenâ€™t watched the movie &amp; donâ€™t intend to. No need to ruin the memories of Barbie with a film.</t>
  </si>
  <si>
    <t>t****V</t>
  </si>
  <si>
    <t>Ã§ok gÃ¼zellll!!!!!ðŸ˜ðŸ˜ðŸ˜ðŸ˜ðŸ˜ðŸ˜ðŸ˜ðŸ˜ðŸ˜ðŸ˜ðŸ˜ðŸ˜ðŸ˜</t>
  </si>
  <si>
    <t>P****e</t>
  </si>
  <si>
    <t>Okropny,bez sensu pseudofilm.Jak moÅ¼na takie gÅ‚upstwo sfinansowaÄ‡?!</t>
  </si>
  <si>
    <t>H****i</t>
  </si>
  <si>
    <t>I love how the whole movie is about how men get more credit and recognition than women and the top comment of this video is doing just that.</t>
  </si>
  <si>
    <t>MÃ¼kemmel Ã¶tesi</t>
  </si>
  <si>
    <t>S****s</t>
  </si>
  <si>
    <t>I am ryan gosling</t>
  </si>
  <si>
    <t>This movie was banned in Vietnam, because it was Nine-dash line map (South China Sea), I'm from Vietnam ðŸ‡»ðŸ‡³ðŸ‡»ðŸ‡³ðŸ‡»ðŸ‡³ðŸ‡»ðŸ‡³ðŸ‡»ðŸ‡³ðŸ‡»ðŸ‡³ðŸ‡»ðŸ‡³ðŸ‡»ðŸ‡³ðŸ‡»ðŸ‡³ðŸ‡»ðŸ‡³ðŸ‡»ðŸ‡³, Hoang Sa, Truong Sa islands are in Vietnam, are in Vietnam ðŸ‡»ðŸ‡³ðŸ‡»ðŸ‡³ðŸ‡»ðŸ‡³ðŸ‡»ðŸ‡³ðŸ‡»ðŸ‡³ðŸ‡»ðŸ‡³</t>
  </si>
  <si>
    <t>c****1</t>
  </si>
  <si>
    <t>Margot Robbie blew me away with her performance! I enjoyed Ryan Gossling in this, too. Also, a big congratulations to Mrs. Greta Gerwig! I call all women â€œMrs.â€ no matter their marital status. You may say that itâ€™s not proper, â€œMissâ€ is a shortening of â€œMistressâ€ which is what â€œMrs.â€ derives from. In reality, â€œMs.â€ is a shortening of â€œMs.â€ So, essentially, itâ€™s all the same.</t>
  </si>
  <si>
    <t>â¤â¤â¤ N</t>
  </si>
  <si>
    <t>IT</t>
  </si>
  <si>
    <t>One of Stupiest movie ive ever seen. Booooooring!!!</t>
  </si>
  <si>
    <t>Yeeeeeeesssssss omg barbieeeee perfectttt show</t>
  </si>
  <si>
    <t>h****5</t>
  </si>
  <si>
    <t>Etkileyici gÃ¶rÃ¼nÃ¼yor Ben beÄŸendim</t>
  </si>
  <si>
    <t>f****1</t>
  </si>
  <si>
    <t>Ä°ÅŸte bu izleyebileceÄŸiniz en iyi film</t>
  </si>
  <si>
    <t>Ã‡ok gÃ¼zel ve eÄŸlenceli izlemenizi tavsiye ederim</t>
  </si>
  <si>
    <t>x****a</t>
  </si>
  <si>
    <t>sadece fragmani gorunce bile heyecanlandigim bir film mukemmelâ¤</t>
  </si>
  <si>
    <t>j****6</t>
  </si>
  <si>
    <t>I am 37 Year's old and this move for all Ages I like This movie</t>
  </si>
  <si>
    <t>k****7</t>
  </si>
  <si>
    <t>Ã‡ok gÃ¼zel ðŸ˜‚</t>
  </si>
  <si>
    <t>D****8</t>
  </si>
  <si>
    <t>ÐœÐ½Ðµ Ð¾Ñ‡ÐµÐ½ÑŒ Ð¿Ð¾Ð½Ñ€Ð°Ð²Ð»ÑŽÑÑŒ ÐµÑ‚Ð¾Ñ‚ Ñ„Ð¸Ð»ÑŒÐ¼ N</t>
  </si>
  <si>
    <t>Barbi dÃ¼nyasÄ±nÄ±n gerÃ§ek dÄ±ÅŸÄ± dÃ¼nyasÄ±nÄ±n varoluÅŸÃ§uluk ile anlatÄ±ldÄ±ÄŸÄ± bir film harika</t>
  </si>
  <si>
    <t>Ã§ok iyi</t>
  </si>
  <si>
    <t>d****7</t>
  </si>
  <si>
    <t>its absolutely gorgeous movie i like that â¤</t>
  </si>
  <si>
    <t>t****6</t>
  </si>
  <si>
    <t>GÃ¼zel filim Ã§ok izledim ðŸ˜‚</t>
  </si>
  <si>
    <t>g****m</t>
  </si>
  <si>
    <t>Ä°nanÄ±lmaz bir film</t>
  </si>
  <si>
    <t>u****d</t>
  </si>
  <si>
    <t>Fantastik ve eÄŸlenceli muhakkak izlenmeli</t>
  </si>
  <si>
    <t>s****r</t>
  </si>
  <si>
    <t>Lovedâ¤â¤â¤</t>
  </si>
  <si>
    <t>a****e</t>
  </si>
  <si>
    <t>Barbie filmi henÃ¼z izlemedim, gÃ¼zel gÃ¶rÃ¼nÃ¼yor</t>
  </si>
  <si>
    <t>y****a</t>
  </si>
  <si>
    <t>Very nice ðŸ˜Š</t>
  </si>
  <si>
    <t>l****4</t>
  </si>
  <si>
    <t>Guzel bir ikili olmuÅŸ bir her ikisininde bir Ã§ok filmini izledim barbie guzel bir romantik komediye benziyor.</t>
  </si>
  <si>
    <t>Tek kelimeyle harikaâ¤</t>
  </si>
  <si>
    <t>m****7</t>
  </si>
  <si>
    <t>OldukÃ§a renkli heyecanlÄ± hareketli bir film</t>
  </si>
  <si>
    <t>F****h</t>
  </si>
  <si>
    <t>amazing</t>
  </si>
  <si>
    <t>d****1</t>
  </si>
  <si>
    <t>Harika bir film sevgilinizle izlenmelik romantik bir film tavsiye ederimâ¤</t>
  </si>
  <si>
    <t>u****p</t>
  </si>
  <si>
    <t>Ã‡ok gÃ¼zel tavsiye ederim</t>
  </si>
  <si>
    <t>h****0</t>
  </si>
  <si>
    <t>Bence guzel bir film 5 yildizi hak ediyor â˜†â˜†â˜†â˜†â˜†</t>
  </si>
  <si>
    <t>Fantastik â¤</t>
  </si>
  <si>
    <t>Ä°zlemenizi tavsiye ederim gÃ¼zel bir film</t>
  </si>
  <si>
    <t>I put myself in Barbie shoes, it's a really good movie.â¤</t>
  </si>
  <si>
    <t>Hep merakla izlemek istiyordum ve sonunda izledim gÃ¼zel izlenir</t>
  </si>
  <si>
    <t>Very perfect</t>
  </si>
  <si>
    <t>s****2</t>
  </si>
  <si>
    <t>Ã‡ok gÃ¼zel olmuÅŸ eline saÄŸlÄ±k</t>
  </si>
  <si>
    <t>a****4</t>
  </si>
  <si>
    <t>Ã‡ok hari bir filim eylrnceli herkesin izlemesini tavsiye ederim â¤</t>
  </si>
  <si>
    <t>Ä°zlenir her nekadar pembe de olsa</t>
  </si>
  <si>
    <t>Harika kÄ±yafetlerle Ã§ekim yapÄ±lmÄ±ÅŸ</t>
  </si>
  <si>
    <t>Ä°zleme ye deÄŸer Bi filim</t>
  </si>
  <si>
    <t>k****4</t>
  </si>
  <si>
    <t>Bu film Ã§ok iyi. Margot harika bu arada â¤ðŸ˜‚</t>
  </si>
  <si>
    <t>n****4</t>
  </si>
  <si>
    <t>Mukemmel izledigim en guzel film diyebilirim .ðŸ˜Š</t>
  </si>
  <si>
    <t>y****3</t>
  </si>
  <si>
    <t>.. N</t>
  </si>
  <si>
    <t>Itâ€™s Barbie movie trailerðŸ˜‚</t>
  </si>
  <si>
    <t>e****s</t>
  </si>
  <si>
    <t>Super</t>
  </si>
  <si>
    <t>i****4</t>
  </si>
  <si>
    <t>Cok gÃ¼zel film</t>
  </si>
  <si>
    <t>Muazzam bir dizi Ã§ok beÄŸendim Ã§ok kaliteli</t>
  </si>
  <si>
    <t>Barbie filmini izlemek iÃ§in gideceÄŸim cok iyi gÃ¶zÃ¼kÃ¼yor â¤ï¸ðŸ« ðŸ’•</t>
  </si>
  <si>
    <t>o****o</t>
  </si>
  <si>
    <t>The clip is great, congratulations, it is very well thought out, thank you.</t>
  </si>
  <si>
    <t>Well this movie took my by surprise.</t>
  </si>
  <si>
    <t>m****0</t>
  </si>
  <si>
    <t>Ã‡ok sexsi kÄ±zm kÄ±zlar hitabÄ± yÃ¼ksek</t>
  </si>
  <si>
    <t>u****i</t>
  </si>
  <si>
    <t>This funny</t>
  </si>
  <si>
    <t>o****7</t>
  </si>
  <si>
    <t>Harika ve gÃ¼zel</t>
  </si>
  <si>
    <t>q****b</t>
  </si>
  <si>
    <t>Barbie! I wish I could experience it in the cinema again. and it's really impressive.</t>
  </si>
  <si>
    <t>MÃ¼kemel bir filim ve Ã§ok kaliteli olmus</t>
  </si>
  <si>
    <t>o****9</t>
  </si>
  <si>
    <t>MÃ¼kemmellllâ¤â¤â¤â¤â¤</t>
  </si>
  <si>
    <t>Z****g</t>
  </si>
  <si>
    <t>Keyif alarak izleyeceÄŸiniz gÃ¼leceÄŸiniz bir film ðŸ‘ðŸ’•</t>
  </si>
  <si>
    <t>b****8</t>
  </si>
  <si>
    <t>Thats perfect i am really like that videoðŸŽ‰ðŸŽ‰</t>
  </si>
  <si>
    <t>o****5</t>
  </si>
  <si>
    <t>Komikti eÄŸlenceli ve bazen uzaklaÅŸmak gerekir stresten bu konuda baÅŸarÄ±lÄ± ðŸŽ‰ðŸŽ‰ðŸŽ‰ðŸŽ‰</t>
  </si>
  <si>
    <t>T****s</t>
  </si>
  <si>
    <t>I really enjoyed this movie. Successful actors are playing.</t>
  </si>
  <si>
    <t>ðŸŽ‰ðŸŽ‰ðŸŽ‰ðŸŽ‰ðŸŽ‰pembe anca bukadar guzle gÃ¶rÃ¼nebilir hay Barbie</t>
  </si>
  <si>
    <t>b****1</t>
  </si>
  <si>
    <t>Cok guxel filmm</t>
  </si>
  <si>
    <t>T****A</t>
  </si>
  <si>
    <t>Ä°zlenmeye deÄŸer gÃ¼zel bir film.</t>
  </si>
  <si>
    <t>E****z</t>
  </si>
  <si>
    <t>Harika tavsiye ederim</t>
  </si>
  <si>
    <t>Perfect</t>
  </si>
  <si>
    <t>t****0</t>
  </si>
  <si>
    <t>Ã‡ok ilginÃ§ bir klip olmuÅŸ ðŸŽ‰</t>
  </si>
  <si>
    <t>Ã‡ok gÃ¼zel bir film</t>
  </si>
  <si>
    <t>y****r</t>
  </si>
  <si>
    <t>Ã‡ok tatlÄ± bir film ya</t>
  </si>
  <si>
    <t>Beautiful and pleasant</t>
  </si>
  <si>
    <t>v****6</t>
  </si>
  <si>
    <t>Ã‡ok gÃ¼zel bir filmdi bana Ã§ocukluÄŸumu hatÄ±rlatÄ±yor â¤ðŸŽ‰</t>
  </si>
  <si>
    <t>k****a</t>
  </si>
  <si>
    <t>Good nice music )</t>
  </si>
  <si>
    <t>u****t</t>
  </si>
  <si>
    <t>Coo gÃ¼zel film</t>
  </si>
  <si>
    <t>unbelievable! barbie is one of my favorite moviesðŸ’œðŸ’œðŸ’œï¿¼</t>
  </si>
  <si>
    <t>B****n</t>
  </si>
  <si>
    <t>GenÃ§ kitleyi eÄŸlendiren gÃ¼zel vakit geÃ§irmesini saÄŸlayan gÃ¼zel bir filmâ¤</t>
  </si>
  <si>
    <t>e****0</t>
  </si>
  <si>
    <t>Bayaa eÄŸlenceli tek kelimeyle bayÄ±ldÄ±m â¤</t>
  </si>
  <si>
    <t>I****h</t>
  </si>
  <si>
    <t>akÅŸam iÃ§in Ã§ok gÃ¼zel bir film</t>
  </si>
  <si>
    <t>â¤â¤â¤â¤â¤â¤ N</t>
  </si>
  <si>
    <t>I had watched the full Barbie movie and liked it</t>
  </si>
  <si>
    <t>Ã‡ok anlamlÄ± eÄŸlenceli film ðŸ’¯</t>
  </si>
  <si>
    <t>SanÄ±rÄ±m KÄ±zÄ±mÄ±n en Ã§ok sevdiÄŸi filim</t>
  </si>
  <si>
    <t>y****5</t>
  </si>
  <si>
    <t>Cok iyi</t>
  </si>
  <si>
    <t>o****3</t>
  </si>
  <si>
    <t>Bence aÅŸÄ±rÄ± gÃ¼zel ðŸŽ‰</t>
  </si>
  <si>
    <t>Harikaaaaaâ¤ðŸŽ‰ðŸŽ‰ðŸŽ‰ðŸŽ‰ðŸŽ‰</t>
  </si>
  <si>
    <t>h****6</t>
  </si>
  <si>
    <t>Ã§ok gÃ¼zel olmuÅŸ ðŸŽ‰</t>
  </si>
  <si>
    <t>i****c</t>
  </si>
  <si>
    <t>Pink is not just the color. Pink is life for someone.</t>
  </si>
  <si>
    <t>Ã‡ok gÃ¼zel gayet iyi bir ÅŸey olmuÅŸ</t>
  </si>
  <si>
    <t>u****s</t>
  </si>
  <si>
    <t>SÃ¼per kendimi sinema salonunda hissetdim Ã§ok rahatlatÄ±cÄ± beÄŸendimâ¤â¤</t>
  </si>
  <si>
    <t>0****o</t>
  </si>
  <si>
    <t>Very gooddðŸŽ‰â¤</t>
  </si>
  <si>
    <t>Barbi filmi gerÃ§ekten Ã§ok gÃ¼zel bir film â¤</t>
  </si>
  <si>
    <t>y****s</t>
  </si>
  <si>
    <t>Oyunculuklar gÃ¼zeldi ðŸŒ¸</t>
  </si>
  <si>
    <t>y****6</t>
  </si>
  <si>
    <t>Ã‡ok baÅŸarili bir yapim â¤</t>
  </si>
  <si>
    <t>Ã‡ok tatlÄ±lar ya izlenmeliâ¤â¤â¤â¤</t>
  </si>
  <si>
    <t>O****s</t>
  </si>
  <si>
    <t>MÃ¼kemmel Ã¶tesiðŸ™</t>
  </si>
  <si>
    <t>u****0</t>
  </si>
  <si>
    <t>Harika sevdim bunu. ðŸŽ‰</t>
  </si>
  <si>
    <t>muq</t>
  </si>
  <si>
    <t>It is so colorfull</t>
  </si>
  <si>
    <t>y****8</t>
  </si>
  <si>
    <t>Cok guzel film olmuÅŸ cok eglendim...â¤</t>
  </si>
  <si>
    <t>e****5</t>
  </si>
  <si>
    <t>YapÄ±mcÄ± kadrosuyla yine mÃ¼kmemmel bir iÅŸ Ã§Ä±kartÄ±lmÄ±ÅŸ â¤</t>
  </si>
  <si>
    <t>Z****s</t>
  </si>
  <si>
    <t>bu gerÃ§ekten gÃ¼zel bir fragman kaliteli</t>
  </si>
  <si>
    <t>b****0</t>
  </si>
  <si>
    <t>What a movie brilliant</t>
  </si>
  <si>
    <t>EÄŸlenceli bir filim tavsiye ederim</t>
  </si>
  <si>
    <t>Filmi izledim baya iyi sarÄ±yo</t>
  </si>
  <si>
    <t>Harika bir film â¤</t>
  </si>
  <si>
    <t>m****1</t>
  </si>
  <si>
    <t>Ã‡ok gÃ¼zel harika olmuÅŸ</t>
  </si>
  <si>
    <t>g****n</t>
  </si>
  <si>
    <t>SÄ±radÄ±ÅŸÄ± filmðŸ˜®</t>
  </si>
  <si>
    <t>Ryan gosling as Ken is all i need in life</t>
  </si>
  <si>
    <t>Super bir flim izlemeye deÄŸer</t>
  </si>
  <si>
    <t>Ã‡ok gÃ¼zel filmdi 2. Filmini beklicem</t>
  </si>
  <si>
    <t>Amazingâ¤</t>
  </si>
  <si>
    <t>2****t</t>
  </si>
  <si>
    <t>â¤ N</t>
  </si>
  <si>
    <t>m****6</t>
  </si>
  <si>
    <t>SÃ¼per..</t>
  </si>
  <si>
    <t>u****z</t>
  </si>
  <si>
    <t>ðŸŽ‰ðŸŽ‰ðŸŽ‰ N</t>
  </si>
  <si>
    <t>10 numara</t>
  </si>
  <si>
    <t>r****6</t>
  </si>
  <si>
    <t>SÃ¼per ðŸ˜‚ðŸ˜‚ðŸ˜‚</t>
  </si>
  <si>
    <t>o****6</t>
  </si>
  <si>
    <t>MÃ¼kemmel tavsiye ederim</t>
  </si>
  <si>
    <t>s****k</t>
  </si>
  <si>
    <t>Yaaa Ã§ok keyifli ve eÄŸlenceli ðŸ‘ðŸ»</t>
  </si>
  <si>
    <t>m****2</t>
  </si>
  <si>
    <t>Ä°nanÄ±lmaz bir filim izlerken hiÃ§ sÄ±kÄ±lmadÄ±m herkese tavsiye ederim</t>
  </si>
  <si>
    <t>i****d</t>
  </si>
  <si>
    <t>Ã§ok gÃ¼zel harika</t>
  </si>
  <si>
    <t>y****0</t>
  </si>
  <si>
    <t>harika bir mÃ¼zikal gÃ¶steri bayÄ±ldÄ±m....</t>
  </si>
  <si>
    <t>d****2</t>
  </si>
  <si>
    <t>Perfect ðŸŽ‰â¤ðŸŽ‰â¤</t>
  </si>
  <si>
    <t>Ben ðŸŽ‰ðŸŽ‰ðŸŽ‰</t>
  </si>
  <si>
    <t>t****5</t>
  </si>
  <si>
    <t>Harika</t>
  </si>
  <si>
    <t>Very good</t>
  </si>
  <si>
    <t>c****0</t>
  </si>
  <si>
    <t>â¤â¤â¤â¤ Ã§ok iyi</t>
  </si>
  <si>
    <t>E****1</t>
  </si>
  <si>
    <t>Hala izlemediyseniz eger cok sey kaÃ§Ä±rmÄ±ÅŸsÄ±nÄ±z demektir</t>
  </si>
  <si>
    <t>H****O</t>
  </si>
  <si>
    <t>BayÄ±ldÄ±m harika bir filmdi fragmani da mÃ¼thiÅŸ</t>
  </si>
  <si>
    <t>Ã‡ok gÃ¼zel olmuÅŸ elinize saÄŸlÄ±k</t>
  </si>
  <si>
    <t>m****3</t>
  </si>
  <si>
    <t>Then Oppenheimer comes</t>
  </si>
  <si>
    <t>B****l</t>
  </si>
  <si>
    <t>OH my God 139 ðŸ˜‚ðŸ˜±</t>
  </si>
  <si>
    <t>046, 049 and 115 got me laughingðŸ˜…ðŸ˜…ðŸ˜…</t>
  </si>
  <si>
    <t>031, 041, What?ðŸ˜‚</t>
  </si>
  <si>
    <t>I tried ðŸ¥´ 3/10</t>
  </si>
  <si>
    <t>D****s</t>
  </si>
  <si>
    <t>Gosling was the only thing I liked there.</t>
  </si>
  <si>
    <t>j****9</t>
  </si>
  <si>
    <t>stupid, stupid men in movie are made to look like idiot what all the excitement over idiotic story</t>
  </si>
  <si>
    <t>p****e</t>
  </si>
  <si>
    <t>OMG, slAaYyy BArbIE qUeEN ðŸ‘¸ðŸ’…</t>
  </si>
  <si>
    <t>colocaram um kem d 40 anos affff</t>
  </si>
  <si>
    <t>a****r</t>
  </si>
  <si>
    <t>Super story...</t>
  </si>
  <si>
    <t>v****s</t>
  </si>
  <si>
    <t>If you hate Barbie, this movie is for you'. Well I do hate Barbie, and I am never going to watch this movie. So try telling me that again.</t>
  </si>
  <si>
    <t>â¤â¤â¤â¤â¤ Barbie â¤â¤â¤â¤ðŸ˜ŠðŸ˜ŠðŸ˜ŠðŸ˜ŠðŸ˜ŠðŸ˜ŠðŸ˜Š</t>
  </si>
  <si>
    <t>T****6</t>
  </si>
  <si>
    <t>Best part of the movie was Ryan and the horses. The rest just some women losing their matriarchi and going crazy, then they fight to abolishing Kens rights. End of movie. Also Ryans arms are amazing</t>
  </si>
  <si>
    <t>D****M</t>
  </si>
  <si>
    <t>every human race and skin color on every movie shot D ridiculous</t>
  </si>
  <si>
    <t>G****9</t>
  </si>
  <si>
    <t>oh come on warners bros you have make good movies and series like harry potter and scooby doo and much good and you come with this movie? WARNERS BROS YOU CAN MAKE BETTER MOVIES THAN THIS, im not a kid anymore i gonna dislike the whole warners bros company for this....</t>
  </si>
  <si>
    <t>SE</t>
  </si>
  <si>
    <t>Ã‡ok gÃ¼zel ve ilgi Ã§ekici.Ä°nsanlarÄ±n izlemesini tavsiye ederim.</t>
  </si>
  <si>
    <t>J****z</t>
  </si>
  <si>
    <t>It's young cinderella</t>
  </si>
  <si>
    <t>u****h</t>
  </si>
  <si>
    <t>this movie masterpiece for women i like this movie letsss watch!!!ðŸ’—ðŸ˜ðŸ˜ðŸ˜ðŸ˜</t>
  </si>
  <si>
    <t>u****w</t>
  </si>
  <si>
    <t>Filmi kÄ±zÄ±m Ã§ok beÄŸendi orjinal olmuÅŸ â¤</t>
  </si>
  <si>
    <t>p****2</t>
  </si>
  <si>
    <t>Trash. Pointless message. One big toy add. Income from Barbie products went up 125m dollars post release.</t>
  </si>
  <si>
    <t>AnnamriaðŸ’•</t>
  </si>
  <si>
    <t>p****8</t>
  </si>
  <si>
    <t>This movie is a marketing strategy</t>
  </si>
  <si>
    <t>Nice movie you should watch it</t>
  </si>
  <si>
    <t>Ã‡ok pembe reng kullanÄ±lmÄ±ÅŸ</t>
  </si>
  <si>
    <t>g****0</t>
  </si>
  <si>
    <t>MÃ¼hteÅŸem bir film</t>
  </si>
  <si>
    <t>r****2</t>
  </si>
  <si>
    <t>Ã‡ok iyi bir film olmuÅŸ baya iyi</t>
  </si>
  <si>
    <t>BÃ¼yÃ¼leyici bir film kac defa da izlesem sÄ±kÄ±lmam</t>
  </si>
  <si>
    <t>Really Nice, Hey Barbiee!ðŸŽ‰</t>
  </si>
  <si>
    <t>R****i</t>
  </si>
  <si>
    <t>ðŸ¤¢ðŸ¤® feminism rubbish</t>
  </si>
  <si>
    <t>Beatiful Ã§ok guzelâ¤</t>
  </si>
  <si>
    <t>Kesinlikle izleyeceÄŸim)</t>
  </si>
  <si>
    <t>Guzel</t>
  </si>
  <si>
    <t>u****u</t>
  </si>
  <si>
    <t>A barbie couldn't be this beautiful. It's really beautiful. I recommend everyone to watch it.</t>
  </si>
  <si>
    <t>g****2</t>
  </si>
  <si>
    <t>Hey barbieðŸ˜²</t>
  </si>
  <si>
    <t>r****7</t>
  </si>
  <si>
    <t>This films very emotional ðŸŽ‰</t>
  </si>
  <si>
    <t>Konusu harika</t>
  </si>
  <si>
    <t>I was always in love with Barbie products and found the movie really good as wellðŸ¥³ðŸ¥°</t>
  </si>
  <si>
    <t>Tam bir barby</t>
  </si>
  <si>
    <t>M****r</t>
  </si>
  <si>
    <t>Harikaâ¤</t>
  </si>
  <si>
    <t>s****5</t>
  </si>
  <si>
    <t>GÃ¼zel bir aile filmi tavsiye ederim</t>
  </si>
  <si>
    <t>Ã‡ok iyi bir film iki kere izledim</t>
  </si>
  <si>
    <t>d****3</t>
  </si>
  <si>
    <t>Film gÃ¼zel fenimistik bir havasÄ± vardÄ± ama Barbie dÃ¼nyasÄ±nÄ± bÃ¶yle gÃ¶rmek Ã§ok gÃ¼zeldi</t>
  </si>
  <si>
    <t>KÄ±z Ã§ocuklarÄ±nÄ±n Ã§ok sevdiÄŸi karakter, gÃ¼zel yapÄ±m olmuÅŸ</t>
  </si>
  <si>
    <t>Ã‡ok gÃ¼zel barbiiiie</t>
  </si>
  <si>
    <t>u****3</t>
  </si>
  <si>
    <t>EÄŸlenceli renkli bir film izlenmeli ve keyif alÄ±nmalÄ±</t>
  </si>
  <si>
    <t>u****4</t>
  </si>
  <si>
    <t>izledigim en iyi filmdi cok gÃ¼zel</t>
  </si>
  <si>
    <t>Harika ailece izlenmeli bence</t>
  </si>
  <si>
    <t>Margot Robbie seviyom ve filmi de Ã§ok muhteÅŸem gÃ¶rÃ¼nÃ¼yor</t>
  </si>
  <si>
    <t>Very beautiful ðŸŽ‰ðŸŽ‰ðŸŽ‰ðŸŽ‰</t>
  </si>
  <si>
    <t>SÃ¼per</t>
  </si>
  <si>
    <t>n****9</t>
  </si>
  <si>
    <t>Dev yÄ±ldÄ±z kadrosu ile Ã§ok gÃ¼zel bir filim olmuÅŸ</t>
  </si>
  <si>
    <t>Ã‡ok gÃ¼zel izleyin mutlaka</t>
  </si>
  <si>
    <t>BaÅŸarÄ±lÄ± bir yapÄ±m</t>
  </si>
  <si>
    <t>b****5</t>
  </si>
  <si>
    <t>I went back to my childhood it was so much fun â¤ðŸ¤©</t>
  </si>
  <si>
    <t>s****8</t>
  </si>
  <si>
    <t>izlemÄ±stÄ±m guzel bÄ±r flÄ±m tavsÄ±ye ederÄ±m pisman duymazsÄ±n</t>
  </si>
  <si>
    <t>y****2</t>
  </si>
  <si>
    <t>Sweet for all word's childs</t>
  </si>
  <si>
    <t>k****2</t>
  </si>
  <si>
    <t>GÃ¼zel kÄ±z arkadaÅŸl izlenebilecek dÃ¼zeyde hoÅŸ bir film olmuÅŸ</t>
  </si>
  <si>
    <t>Bu bir mucize, herkes izlemeli.</t>
  </si>
  <si>
    <t>Very good ðŸŽ‰ðŸŽ‰</t>
  </si>
  <si>
    <t>Very so much beautiful movie</t>
  </si>
  <si>
    <t>u****7</t>
  </si>
  <si>
    <t>Kesinlikle muhteÅŸem Ã¶tesi herkese tavsiye ediyorum ðŸŽ‰</t>
  </si>
  <si>
    <t>h****4</t>
  </si>
  <si>
    <t>Ã‡ocukluÄŸumun hayaliydi bu filim severek izledim Ã§ok iyiy</t>
  </si>
  <si>
    <t>ne zmn baÅŸlÄ±yoruz ðŸ˜Š</t>
  </si>
  <si>
    <t>n****1</t>
  </si>
  <si>
    <t>One of the best movie ever i love it â¤â¤â¤</t>
  </si>
  <si>
    <t>t****4</t>
  </si>
  <si>
    <t>Ã‡ok gÃ¼zel bir klip. GenÃ§liÄŸime dÃ¶ndÃ¼m</t>
  </si>
  <si>
    <t>w****i</t>
  </si>
  <si>
    <t>Guzel bir filmdi, izlemeyi dusunuyorum.</t>
  </si>
  <si>
    <t>E****v</t>
  </si>
  <si>
    <t>GÃ¼zel bir filim izlemeye deÄŸer</t>
  </si>
  <si>
    <t>b****r</t>
  </si>
  <si>
    <t>Iâ€™m looking forward to watch Barbie right away ðŸ˜…</t>
  </si>
  <si>
    <t>Harika bir film olmuÅŸ. EmeÄŸi geÃ§en herkese baÅŸarÄ±larÄ±nÄ±n devamÄ±nÄ± diliyorum.</t>
  </si>
  <si>
    <t>o****l</t>
  </si>
  <si>
    <t>gerÃ§ekten kucuk kardesinizle cocugunuzla ozliyebileceginiz mukemmel bir film herkese tavsiye ederim mutlaka izleyin</t>
  </si>
  <si>
    <t>Ã‡ok gÃ¼zel olmuÅŸðŸ‘ðŸ‘ðŸ‘ðŸ‘ðŸ‘</t>
  </si>
  <si>
    <t>Amazing job i really like this video â¤</t>
  </si>
  <si>
    <t>Very nice</t>
  </si>
  <si>
    <t>Sweet â¤â¤ðŸŽ‰ðŸŽ‰ðŸŽ‰</t>
  </si>
  <si>
    <t>Eglenceli bir filme benziyor ve sevgidim oyuncularin olmasi cok gÃ¼zel ðŸ˜Š</t>
  </si>
  <si>
    <t>A****q</t>
  </si>
  <si>
    <t>ðŸ˜‚ðŸ˜‚ðŸ˜‚â¤â¤â¤ Ã§ok gÃ¼zel</t>
  </si>
  <si>
    <t>b****k</t>
  </si>
  <si>
    <t>Barbie Ã§ok eÄŸlenceli bir film. Ä°zlemek iÃ§in sabÄ±rsÄ±zlanÄ±yorum.</t>
  </si>
  <si>
    <t>M****m</t>
  </si>
  <si>
    <t>HarikaydÄ±, Ã§ok keyif aldÄ±m</t>
  </si>
  <si>
    <t>Garika bir film</t>
  </si>
  <si>
    <t>t****u</t>
  </si>
  <si>
    <t>SabÄ±rsÄ±zlÄ±kla bekliyoruz Ã§ok gÃ¼zel bir projeye benziyor</t>
  </si>
  <si>
    <t>D****h</t>
  </si>
  <si>
    <t>Dua Lipa - dance the night â¤â¤â¤</t>
  </si>
  <si>
    <t>after seeing Margot Robbie in barbie movie, I can see her playing the character Baby Jane in "Whatever Happened to Baby" Jane Remake with originally with Bette Davis. An opportunity for some great acting.</t>
  </si>
  <si>
    <t>eh )</t>
  </si>
  <si>
    <t>j****8</t>
  </si>
  <si>
    <t>N</t>
  </si>
  <si>
    <t>FLAT FEET</t>
  </si>
  <si>
    <t>Margot Robbie is the female Johnny Depp of movies, I mean whatever role she plays she always brings this unique personality to each character she plays &amp; thus makes every movie she makes worth watching because if it was another actress who played Barbie, then Iâ€™m pretty sure that the movie would have bombed, but Margot just makes it so much fun &amp; very entertaining to watch &amp; memorable much like the way Johnny Depp does with his movies, I love Depp &amp; Robbie, they are 2 of the industryâ€™s best &amp; finest entertainers!â€¦ â¤ðŸ‘</t>
  </si>
  <si>
    <t>After music, we are witness to the downfall of cinema.</t>
  </si>
  <si>
    <t>g****8</t>
  </si>
  <si>
    <t>Finally got a chance to watch it. It's good. Over exceeded my expectations. I like it.</t>
  </si>
  <si>
    <t>I want to write that its January 2024 and i was just reading online that for Academy Awards 2024 Ryan Gosling got nominated for an Oscar for his role as Ken in the Barbie film but Margot Robbie was snubbed and wasn't nominated for an Oscar for Barbie herself.</t>
  </si>
  <si>
    <t>When this came out, I was with the 99% out there saying that seemingly ridiculous flick would bomb. Now it is one of my all time fav...still a bit ashamed to admit but still...</t>
  </si>
  <si>
    <t>r****3</t>
  </si>
  <si>
    <t>Fantastik</t>
  </si>
  <si>
    <t>D****1</t>
  </si>
  <si>
    <t>Holly wood why and wtf</t>
  </si>
  <si>
    <t>K****e</t>
  </si>
  <si>
    <t>Films are so bad today, this is one prime example of poor acting in a bad movie.Many are surprised that this film has not been awarded Oscars, lol, are you totally and utterly delusional in the West, with what you think a good movie is?. You don't act these days, understand.</t>
  </si>
  <si>
    <t>Bu film gerÃ§ekten Ã§ok iyi ve Ã§ok gÃ¼zel</t>
  </si>
  <si>
    <t>d****n</t>
  </si>
  <si>
    <t>What will #HeartSpaceRealized #Barbie #Be #Like?</t>
  </si>
  <si>
    <t>k****5</t>
  </si>
  <si>
    <t>not in a million years will i watch this this is so insane and people like it i live in bizarro world is it just me</t>
  </si>
  <si>
    <t>l****9</t>
  </si>
  <si>
    <t>Everyone already knew the man Ryan Gosling stole the show from the woman Margot Robbie. Hilarious the Oscars proved the real star of the Barbie movie is Ken even though they tried to make him look bad.</t>
  </si>
  <si>
    <t>N****a</t>
  </si>
  <si>
    <t>Nominated for 8 Academy AwardsÂ® including Best Picture.</t>
  </si>
  <si>
    <t>t****3</t>
  </si>
  <si>
    <t>Damn. This movie's officially Oscar caliber. ðŸ’–</t>
  </si>
  <si>
    <t>8****w</t>
  </si>
  <si>
    <t>What's up with her feet? Does she have arthritis.</t>
  </si>
  <si>
    <t>CA</t>
  </si>
  <si>
    <t>r****9</t>
  </si>
  <si>
    <t>What is the hype about? I dont see what is new or feminist about this movie. Just seems like a campaign for Mattel because they have figured out they have to purple wash Barbie in order to survive. Still promoting superficial identity constructs, and none of the clips, or supposedly profound quotes I have seen from the movie have been radical or thought-provoking. I grew up in the early 90s and played a lot with Barbies, but then I grew up. Is it a kids movie with something for the whole family or....?</t>
  </si>
  <si>
    <t>Love ðŸ’•ðŸ˜˜ mum i have cleans the</t>
  </si>
  <si>
    <t>Classico film 'scorreggia' apri la finestra e sparisce</t>
  </si>
  <si>
    <t>a****a</t>
  </si>
  <si>
    <t>Barbie has existentialistic crisis is like, when an American actually learn about the life outside their first class perfect world.</t>
  </si>
  <si>
    <t>e****2</t>
  </si>
  <si>
    <t>Ã‡ok beÄŸendim herkese tavsiye ederim</t>
  </si>
  <si>
    <t>Very niceâ¤</t>
  </si>
  <si>
    <t>K****a</t>
  </si>
  <si>
    <t>Rolando</t>
  </si>
  <si>
    <t>Gayet gÃ¼zel bir film</t>
  </si>
  <si>
    <t>O****r</t>
  </si>
  <si>
    <t>Makes sense this is crazy sexist but i didnt expect it to be so on the nose about it.</t>
  </si>
  <si>
    <t>e****l</t>
  </si>
  <si>
    <t>Barbie &gt; oppenheimer</t>
  </si>
  <si>
    <t>This movie is really for kids</t>
  </si>
  <si>
    <t>f****2</t>
  </si>
  <si>
    <t>super harika</t>
  </si>
  <si>
    <t>Harika bir film, aksiyon dolu</t>
  </si>
  <si>
    <t>Ã‡ok gÃ¼zel aÅŸÄ±rÄ± beÄŸendim muhteÅŸem bir film bayÄ±ldÄ±m ðŸ‘</t>
  </si>
  <si>
    <t>â¤ Ã§ok gÃ¼zel Ã‡ok iyi bir film</t>
  </si>
  <si>
    <t>good videos</t>
  </si>
  <si>
    <t>TÃ¼m insanlar iÃ§in izlenmesi ve ders alÄ±nmasÄ± gereken bir film</t>
  </si>
  <si>
    <t>L****k</t>
  </si>
  <si>
    <t>NÃ£o preciso nem falar sobre a nostalgia que esse filme trÃ¡s. Barbie sempre fazendo histÃ³ria</t>
  </si>
  <si>
    <t>b****i</t>
  </si>
  <si>
    <t>gÃ¼zel film</t>
  </si>
  <si>
    <t>Ã‡ok iyi olmuÅŸ ellerinize saÄŸlÄ±k</t>
  </si>
  <si>
    <t>Harika ÅŸahane bir film</t>
  </si>
  <si>
    <t>Ã‡ok gÃ¼zel her dakikasÄ± ðŸ‘</t>
  </si>
  <si>
    <t>BeÄŸendiÄŸim bir yapÄ±m olmuÅŸ</t>
  </si>
  <si>
    <t>will take all girls on a journey through history</t>
  </si>
  <si>
    <t>Ã‡ok gÃ¼zel ðŸŽ‰</t>
  </si>
  <si>
    <t>Very very good izlemeye deÄŸer ekip iyi</t>
  </si>
  <si>
    <t>Wow! Ä°t's a perfect moviee . Ä° Love it</t>
  </si>
  <si>
    <t>Bu Ã§ok iyi muhteÅŸem Ã¶tesi</t>
  </si>
  <si>
    <t>sÃ¼per bir film Barbie bayÄ±lÄ±yorum sana ken Ã§ok tatlÄ±sÄ±nâ¤</t>
  </si>
  <si>
    <t>Hey Barbie ðŸ˜Š</t>
  </si>
  <si>
    <t>GerÃ§ekten Ã§ok iyi</t>
  </si>
  <si>
    <t>Very very good</t>
  </si>
  <si>
    <t>So funny</t>
  </si>
  <si>
    <t>D****m</t>
  </si>
  <si>
    <t>soo amazing!</t>
  </si>
  <si>
    <t>Ã‡ok gÃ¼zel herkese tavsiye ederim</t>
  </si>
  <si>
    <t>GÃ¼zeldi</t>
  </si>
  <si>
    <t>H****1</t>
  </si>
  <si>
    <t>ArkadaÅŸlar bence saÃ§madÄ±r ama zevkli bir filmdir izlemek isteyenler izlesin</t>
  </si>
  <si>
    <t>MÃ¼kemmel sinema</t>
  </si>
  <si>
    <t>n****i</t>
  </si>
  <si>
    <t>bu filme gittigim icin asla pisman degilim</t>
  </si>
  <si>
    <t>Bu film nostaljiden bahsetmeye gerek yok barbie tarih yazar</t>
  </si>
  <si>
    <t>Harika film</t>
  </si>
  <si>
    <t>f****u</t>
  </si>
  <si>
    <t>Ã‡ok gÃ¼zel bir yapÄ±m olmuÅŸ</t>
  </si>
  <si>
    <t>g****1</t>
  </si>
  <si>
    <t>EÄŸlenceli bir film</t>
  </si>
  <si>
    <t>KadÄ±na bayÄ±lÄ±yorum zaten yine harika bir film de ðŸŽ‰ðŸŽ‰ðŸŽ‰ðŸŽ‰</t>
  </si>
  <si>
    <t>BayaÄŸÄ± iyi</t>
  </si>
  <si>
    <t>mÃ¼kemmel bi kesit devamÄ±nÄ± bekliyoruz heyecanla</t>
  </si>
  <si>
    <t>10/10 movie. so bller</t>
  </si>
  <si>
    <t>L****Y</t>
  </si>
  <si>
    <t>I'm so surprised that the leading role for Barbie wasn't a black women.</t>
  </si>
  <si>
    <t>g****7</t>
  </si>
  <si>
    <t>The worst film ever after Mamma Mia</t>
  </si>
  <si>
    <t>H****v</t>
  </si>
  <si>
    <t>Ryan Goslings godlike acting was mindblowing. This parody is so genious in showing narcisism of the barbie and the emotional breakdown and manipulation of ken is 4D chess. As an older type of male i was avoiding shallow holywood propaganda for many years and did not want to watch this movie at all. Only watched it because my cousin persuaded me to give it a try. But I shall never ever judge book by its cover aggain. Ryan you should get an oscar for this.</t>
  </si>
  <si>
    <t>F****2</t>
  </si>
  <si>
    <t>That's the best movies I've watched in a long time. It brought back nostalgia, and i'm so glad patriarchy was adressed in such a fun but also serious way. It was a perfect tribute to the iconic barbie doll and also a very touching pro women movie. ðŸ‘ðŸ‘ðŸ‘</t>
  </si>
  <si>
    <t>this is connected with elf! the ceo of the company is buddy the elf did anyone notice?</t>
  </si>
  <si>
    <t>A doreiâ¤</t>
  </si>
  <si>
    <t>e****z</t>
  </si>
  <si>
    <t>wow</t>
  </si>
  <si>
    <t>wow ðŸ¤© wow super woway</t>
  </si>
  <si>
    <t>I****.</t>
  </si>
  <si>
    <t>Wtf is going on here 207</t>
  </si>
  <si>
    <t>D****x</t>
  </si>
  <si>
    <t>In a film starring Ryan called the gray man he was referred to as a Ken doll Wether or not this was intentional or not it is funny af</t>
  </si>
  <si>
    <t>j****7</t>
  </si>
  <si>
    <t>I like her hair in the car</t>
  </si>
  <si>
    <t>Some things have been happening that might be related</t>
  </si>
  <si>
    <t>great actors but a totally stupid movies</t>
  </si>
  <si>
    <t>I think I found Matilda's mother in the Barbie movieðŸ˜ŠðŸŽ‰</t>
  </si>
  <si>
    <t>k****y</t>
  </si>
  <si>
    <t>Dumb</t>
  </si>
  <si>
    <t>B****7</t>
  </si>
  <si>
    <t>Action Man is up next for a Live Action Movie.</t>
  </si>
  <si>
    <t>R****1</t>
  </si>
  <si>
    <t>Not bad watchable</t>
  </si>
  <si>
    <t>w****1</t>
  </si>
  <si>
    <t>Ð”Ð½Ð¾ Ð¿Ð¾Ð»Ð½Ð¾Ðµ N</t>
  </si>
  <si>
    <t>k****8</t>
  </si>
  <si>
    <t>ðŸ‘ N</t>
  </si>
  <si>
    <t>v****9</t>
  </si>
  <si>
    <t>KÃ¶tÃ¼ deÄŸil , kÄ±z Ã§ocuÄŸunuzla izlenebilirsiniz.</t>
  </si>
  <si>
    <t>i****1</t>
  </si>
  <si>
    <t>Ã‡ok gÃ¼zel fragman olmuÅŸ baÅŸarÄ±larðŸŽ‰</t>
  </si>
  <si>
    <t>Ã‡ok gÃ¼zel bi video teÅŸekkÃ¼r ederim</t>
  </si>
  <si>
    <t>o****2</t>
  </si>
  <si>
    <t>harika gÃ¶zÃ¼kÃ¼yor</t>
  </si>
  <si>
    <t>The film has drawn attention to a lot of things, which is promising for an awareness . It is recommended.The film has drawn attention to a lot of things, which is promising for an awareness . It is recommended.ðŸŽ‰</t>
  </si>
  <si>
    <t>O****i</t>
  </si>
  <si>
    <t>Bu kadar gÃ¼zel bir sahne olamaz harikaa ðŸ’¯</t>
  </si>
  <si>
    <t>ðŸŽ‰ N</t>
  </si>
  <si>
    <t>Ä°nanÄ±lmaz iyi sÃ¼per bu ne fim bÃ¶yle be!!</t>
  </si>
  <si>
    <t>YabancÄ± dil eÄŸitimi iÃ§in Ã§ok gÃ¼zel</t>
  </si>
  <si>
    <t>e****3</t>
  </si>
  <si>
    <t>AktÃ¶rlerin ikiside Ã§ok baÅŸarÄ±lÄ± ve komik izlenebilir.</t>
  </si>
  <si>
    <t>u****m</t>
  </si>
  <si>
    <t>Looks like fantastic movie ðŸ˜Š 037</t>
  </si>
  <si>
    <t>Looks like fantastic movie ðŸ˜Š</t>
  </si>
  <si>
    <t>harika bir film izlemenizi Ã¶neririm.</t>
  </si>
  <si>
    <t>Looks like very fun and exciting ðŸ˜ŠðŸ˜Š</t>
  </si>
  <si>
    <t>Gerekli bir film di Ã§ok seviyorum bu filmi</t>
  </si>
  <si>
    <t>Gayet baÅŸarÄ±lÄ± ve eylenceli bir gÃ¶steri. Ä°zlenmeli kesinlikle..</t>
  </si>
  <si>
    <t>Ã‡ok beÄŸendim harika olmuÅŸ merakla bekliyorum</t>
  </si>
  <si>
    <t>Ã‡ok gÃ¼zel bir flim kesinlikle izlemenizi tavsiye ederim</t>
  </si>
  <si>
    <t>DeÄŸiÅŸik bir film</t>
  </si>
  <si>
    <t>Ã‡ocuÄŸumla beÄŸenerek izledik tekrarda izlicez gibi gÃ¶rÃ¼nÃ¼yor</t>
  </si>
  <si>
    <t>Ã‡ok iyi Ã§ok sÃ¼per</t>
  </si>
  <si>
    <t>h****.</t>
  </si>
  <si>
    <t>its soo good i like the barbie</t>
  </si>
  <si>
    <t>Y****o</t>
  </si>
  <si>
    <t>It's very nice, thank you</t>
  </si>
  <si>
    <t>m****r</t>
  </si>
  <si>
    <t>bence oldukÃ§a iyi bir oyunculuk! Ã§ok beÄŸendim!</t>
  </si>
  <si>
    <t>BaÅŸarÄ±lÄ±</t>
  </si>
  <si>
    <t>Muazzam olmuÅŸ. Bence oppenheimer da gÃ¼zel fakat kendi alanlarÄ±nda ikisi de birer yÄ±ldÄ±z</t>
  </si>
  <si>
    <t>m****p</t>
  </si>
  <si>
    <t>harika bir film olmus bayÄ±ldÄ±m ðŸ˜‚</t>
  </si>
  <si>
    <t>Gorduguk en harika filimlerden birisi</t>
  </si>
  <si>
    <t>Ã‡ok iyi film</t>
  </si>
  <si>
    <t>Everything in this movie is about being politically correct! But as always, it is easier said than done! Let's full ourselves for a couple of hours and make some money for Warner Bros. Pictures!</t>
  </si>
  <si>
    <t>C****7</t>
  </si>
  <si>
    <t>I was flying back to Japan and I watched Barbie. It was so much fun and I found the actors really good! Billie eilish song make me always cry ðŸ¥¹</t>
  </si>
  <si>
    <t>T****0</t>
  </si>
  <si>
    <t>Make chogoink franky with Miguel as chogoink franky David Zaslav good decision like Barbie but better</t>
  </si>
  <si>
    <t>I didn't like this as much as I thiught I would. No Kristie,or Teresa or her sisters. Too much feminst &amp; anti men. It was good but mot great!</t>
  </si>
  <si>
    <t>BuguytytuuhguggyðŸ˜®ðŸ˜®ðŸ˜®ðŸ˜®ðŸ˜®ðŸ˜®ðŸ˜®ðŸ˜Šâ¤â¤â¤â¤</t>
  </si>
  <si>
    <t>The movie is ðŸ”¥</t>
  </si>
  <si>
    <t>v****r</t>
  </si>
  <si>
    <t>Film gerÃ§ekten harika bir film. Tavsiye ediyorum herkeseðŸŽ‰</t>
  </si>
  <si>
    <t>Tebrikler cok gÃ¼zel bir video olmuÅŸ</t>
  </si>
  <si>
    <t>Tebrikler</t>
  </si>
  <si>
    <t>u****e</t>
  </si>
  <si>
    <t>Ã‡ok gÃ¼zel gerÃ§ekten kÄ±z arkadaÅŸÄ±mla izledik harika biÅŸey bayÄ±ldÄ±k</t>
  </si>
  <si>
    <t>Pastel renkler filmi mÃ¼kemmel ve izlenilesi kÄ±lmÄ±ÅŸ. Ä°lgi Ã§ekici bir filme benziyor.</t>
  </si>
  <si>
    <t>Ã‡ok iyi olmuÅŸ</t>
  </si>
  <si>
    <t>W****k</t>
  </si>
  <si>
    <t>en kÃ¶tÃ¼. Bok</t>
  </si>
  <si>
    <t>Ä°ts very good And very very very nice ðŸŽ‰â¤</t>
  </si>
  <si>
    <t>m****n</t>
  </si>
  <si>
    <t>SÃ¼per ðŸŽ‰</t>
  </si>
  <si>
    <t>I likeðŸ‘</t>
  </si>
  <si>
    <t>j****n</t>
  </si>
  <si>
    <t>impressive ðŸŽ‰</t>
  </si>
  <si>
    <t>MÃ¼kemmmel bir filmðŸŽ‰ðŸŽ‰</t>
  </si>
  <si>
    <t>i****z</t>
  </si>
  <si>
    <t>RÃ¼ya gibi bir film. Herkese tavsiye ederim</t>
  </si>
  <si>
    <t>p****7</t>
  </si>
  <si>
    <t>Ä°lginÃ§ ve gÃ¼zel bir film izlenir</t>
  </si>
  <si>
    <t>Harika bir film, Ã§ocuklarÄ±m buna bayÄ±ldÄ±</t>
  </si>
  <si>
    <t>Ã‡izgi dizilerin gerÃ§ek hayatla birleÅŸimi gibi ðŸ˜‚</t>
  </si>
  <si>
    <t>Fantastik olmuÅŸ</t>
  </si>
  <si>
    <t>Wow Ã§ok hoÅŸ bir film</t>
  </si>
  <si>
    <t>Åžahane</t>
  </si>
  <si>
    <t>Harika olmuÅŸ</t>
  </si>
  <si>
    <t>Oh harika devam</t>
  </si>
  <si>
    <t>GretA gerwig gerÃ§ekten Ã§ok iyi. Film aÅŸÄ±rÄ±sÄ± keyifliydi</t>
  </si>
  <si>
    <t>MÃ¼kemmel</t>
  </si>
  <si>
    <t>Doing the soundtrack to this film was my best decision ever - yes Iâ€™m Dua Lipa</t>
  </si>
  <si>
    <t>Oppenheimer ðŸ’€</t>
  </si>
  <si>
    <t>Hello</t>
  </si>
  <si>
    <t>K****l</t>
  </si>
  <si>
    <t>KerenðŸ—¿</t>
  </si>
  <si>
    <t>p****1</t>
  </si>
  <si>
    <t>Ryan Gosling is hilarious!!</t>
  </si>
  <si>
    <t>It's Not A Barbie, it's PURE GOOSEBUMPS!!</t>
  </si>
  <si>
    <t>It's Not A Main Trailer, it's PURE GOOSEBUMPS!!</t>
  </si>
  <si>
    <t>e****c</t>
  </si>
  <si>
    <t>this is the worst movie i have ever seen in my life</t>
  </si>
  <si>
    <t>J****e</t>
  </si>
  <si>
    <t>I'm aware this will be an extreme outlier opinion, but it is mine.I got myself to watch Barbie yesterday, just to see what all the "hype of the year" was about.Due respect to Ms. Gerwig and her cast and crew that worked to make the film, I didn't like it nor was I "oh my god" blown away by it. "The Reader", adapted from the novel (of the same name) by Bernhard Schlink, captivated my mind more than Barbie did/could.My mind cringed for the first 15-20 minutes, to the point where I had to actually turn it off before being able to continue watching it again--it felt that painful to watch.I saw Margot Robbie smiling for nearly 2 hours (granted she was playing Stereotypical Barbie, but still).I saw pink and blonde and actors acting "painfully nice", which I suppose is typical for Barbie characters/figures.No, I was not a Barbie person, though I grew up around the doll figurine; I did some sports and video games and read books--those sorts of thing.Yes, I COMPLETELY understood both the metaphorical, sociocultural and gender roles narratives being included in the script, respectively, and the way(s) they were being challenged, literally and figuratively.And yes, I can acknowledge that making an existential-based film utilizing doll figurines is a relatively new &amp; quite bold idea, even for current filmmakers to pursue (e.g. Spielberg, Del Toro, Innaratu, Miller, Bigelow, Conn, Jackson, Yates, Nolan, etc.).However, in my humble opinion, the movie felt confusing, quite "back and forth" and made me question why it made $500,000,000 or whatever it did (i.e. multiple family members = $$$ tickets).Everyone has their subjective opinion about what makes a good film good; I'm no different.I was more intrigued by The Boy and the Heron by Miyazaki's Studio Ghibli than Barbie, respectfully.That is all.</t>
  </si>
  <si>
    <t>â¤â¤â¤â¤â¤â¤â¤ðŸ‘±ðŸ»â€â™€ï¸ðŸ‘±ðŸ»â€â™€ï¸ðŸ‘±ðŸ»â€â™€ï¸ðŸ‘±ðŸ»â€â™€ï¸ðŸ‘±ðŸ»â€â™€ï¸ðŸ‘±ðŸ»â€â™€ï¸B</t>
  </si>
  <si>
    <t>Yes I Love All Warner Brothers Pictures Of Series, Harry Potter. Newt Scamnder. Willy Wonka. Ryan Gosling. They Are My Favorite People On The Earth Of My World?</t>
  </si>
  <si>
    <t>w****c</t>
  </si>
  <si>
    <t>You forgot, this real Barbie market and consumption are of toddler 10 years below but the plot scene is for those from 13+++ ,strange!</t>
  </si>
  <si>
    <t>I loved Barbie growing up! I had every Barbie, accessories, houses, cars, stores, etc. Couldnâ€™t get past the first five minutes of drilling feminism into little girls heads and seeing them bash baby dolls into the ground. No thanks!</t>
  </si>
  <si>
    <t>c****9</t>
  </si>
  <si>
    <t>Underwhelming</t>
  </si>
  <si>
    <t>W****z</t>
  </si>
  <si>
    <t>Iâ€™m watching it for the 3rd time tonight bc I love it so much itâ€™s a masterpiece</t>
  </si>
  <si>
    <t>Greta Gerwig is a Genius. Thank You for creating a Masterpiece.</t>
  </si>
  <si>
    <t>No man is chasing a 'boss babe' no matter how many movies you make confusing women</t>
  </si>
  <si>
    <t>Man, any movie similar to Barbie? It is one of a kind of a movie</t>
  </si>
  <si>
    <t>c****h</t>
  </si>
  <si>
    <t>I watched it. Iâ€™m amazed that actors of what I consider high caliber, denigrated themselves in this, may I say, stupid movie</t>
  </si>
  <si>
    <t>n****a</t>
  </si>
  <si>
    <t>Surprisingly deep movie, with real and strong message. I was very positively surprise â¤ðŸŽ‰</t>
  </si>
  <si>
    <t>i****6</t>
  </si>
  <si>
    <t>I haven't seen it yet. Im a little bit sas that it said if you hate barbie this movie is for you. I love barbie. Am i going to be disappointed? ðŸ˜­</t>
  </si>
  <si>
    <t>a****1</t>
  </si>
  <si>
    <t>One drunk man more intelligence than three womens have PHD.</t>
  </si>
  <si>
    <t>d****6</t>
  </si>
  <si>
    <t>BEN SHAPIRO â€œâ€ TRAS H â€œ here here</t>
  </si>
  <si>
    <t>A BRILLIANT DEMONSTRATION OF THE BUBBLE GUM MENTALITY OUR SOCIETY HAS SUNK INTO FOR 2024.. READ THE COMMENTS OF ALL THESE AIRHEADS BELOW FOR PROOF.</t>
  </si>
  <si>
    <t>was nikki in barbie or doja cat</t>
  </si>
  <si>
    <t>r****g</t>
  </si>
  <si>
    <t>Whoever wrote the literal dialogue, should literally take some literal writing classes, literally</t>
  </si>
  <si>
    <t>d****0</t>
  </si>
  <si>
    <t>SPOILER When Ken came to Barbieland and remade it in his 'patriarchal' image, notice how the men and women, for the first time, were happy, laughing and all getting along great? Then Barbie comes back and sees the world no longer revolves around her. She's the only one that doesn't like this new version of barbieland. Her narcissism and vanity won't allow this happy co-existence where she isn't the sole center of attention so she does a divide and conquer scheme to get everybody bitter and fighting. In other words, Barbie was evil, a fallen angel hellbent on inflicting her misery on the world. 'If I can't be happy, nobody can'. It's like feminism accidentally told the truth about itself and nobody noticed.</t>
  </si>
  <si>
    <t>s****e</t>
  </si>
  <si>
    <t>namaste namaskar namaskaram 032</t>
  </si>
  <si>
    <t>This movie SUCKS! ðŸ˜‚</t>
  </si>
  <si>
    <t>F****t</t>
  </si>
  <si>
    <t>Barbie" is the first film to ever win the Golden Globe for 'Cinematic and Box Office Achievement'</t>
  </si>
  <si>
    <t>AU</t>
  </si>
  <si>
    <t>ÐŸÑ€ÐµÐºÑ€Ð°ÑÐ½Ñ‹Ð¹ Ñ„Ð¸Ð»ÑŒÐ¼ N</t>
  </si>
  <si>
    <t>Perfect movie â¤</t>
  </si>
  <si>
    <t>M****9</t>
  </si>
  <si>
    <t>This film had so much hype and yet it was so one dimensional. Iâ€™m glad I didnâ€™t pay to see this film.</t>
  </si>
  <si>
    <t>, ÐºÐ°Ðº Ð¿Ð¾Ð´Ð¿Ð¸ÑÐ°Ñ‚ÑŒÑÑÑÑ€Ð¿Ñƒ N</t>
  </si>
  <si>
    <t>my eyes are burned for life now</t>
  </si>
  <si>
    <t>EÄŸlenceli olduÄŸu kadar anlamlÄ± bir film olmuÅŸ ðŸ’¯</t>
  </si>
  <si>
    <t>i****3</t>
  </si>
  <si>
    <t>I love Barbie movies very much and enjoy watching them</t>
  </si>
  <si>
    <t>B****1</t>
  </si>
  <si>
    <t>nice movie successful</t>
  </si>
  <si>
    <t>b****t</t>
  </si>
  <si>
    <t>MÃ¼kemmel harika sÃ¼per bir film tebrikler</t>
  </si>
  <si>
    <t>A****i</t>
  </si>
  <si>
    <t>Read the plot and solve a movie, it's basically the lego movie.</t>
  </si>
  <si>
    <t>T****3</t>
  </si>
  <si>
    <t>Probably one of the worst movies I've ever seen. Absolute ðŸ—‘ï¸</t>
  </si>
  <si>
    <t>Hands down the absolute most sexest movie to ever be made. Ryan Gosling should be ashamed as well as any other man that played in this movie.</t>
  </si>
  <si>
    <t>Barbie. Ã§ok gÃ¼zel</t>
  </si>
  <si>
    <t>Film Ã§ok iyiydi baya beÄŸendim izleyin</t>
  </si>
  <si>
    <t>v****3</t>
  </si>
  <si>
    <t>â¤â¤â¤â¤â¤ðŸ¤©ðŸ¤©ðŸ¤©ðŸ‘ðŸ‘ N</t>
  </si>
  <si>
    <t>K****f</t>
  </si>
  <si>
    <t>A must film to see Barbie in real world ðŸ‘ðŸ»ðŸ‘ðŸ»ðŸ‘ðŸ»</t>
  </si>
  <si>
    <t>Ø­Ù„Ùˆâ¤â¤â¤â¤ N</t>
  </si>
  <si>
    <t>a****2</t>
  </si>
  <si>
    <t>Cok gÃ¼zel bir film defalarca izlesem sÄ±kÄ±lmam tavsiye ederim</t>
  </si>
  <si>
    <t>Giant blowout party</t>
  </si>
  <si>
    <t>Bu film beni aÅŸtÄ±â€¦ Ã‡ocukluÄŸumu hatÄ±rlamak harikaydÄ±</t>
  </si>
  <si>
    <t>Y****n</t>
  </si>
  <si>
    <t>GenÃ§lik iÃ§in oldukÃ§a eÄŸlenceli bir film olmuÅŸ</t>
  </si>
  <si>
    <t>Ä°yi bir ÅŸey yapÄ±yorlar tam kÄ±z Ã§ocuklarÄ± iÃ§in</t>
  </si>
  <si>
    <t>a****7</t>
  </si>
  <si>
    <t>Ken olacak adam RyanðŸ‘</t>
  </si>
  <si>
    <t>y****4</t>
  </si>
  <si>
    <t>Ã‡ok GÃ¼zel Tebrik ederim</t>
  </si>
  <si>
    <t>Benim iÃ§in deÄŸil ama, kÄ±zlar iÃ§in Ã§ok takip edilen, her kÄ±zÄ±n odasÄ±nda oyuncaklarÄ± olan , ve kÄ±zlarÄ±n hayali olan bir karakter</t>
  </si>
  <si>
    <t>o****8</t>
  </si>
  <si>
    <t>Margot robbie oyunculuÄŸu harika sÄ±rf onu izlemek iÃ§in bile gidilir</t>
  </si>
  <si>
    <t>Evet gÃ¼zel</t>
  </si>
  <si>
    <t>E****l</t>
  </si>
  <si>
    <t>Sevgiler</t>
  </si>
  <si>
    <t>PerfectðŸŽ‰</t>
  </si>
  <si>
    <t>B****V</t>
  </si>
  <si>
    <t>Nice film</t>
  </si>
  <si>
    <t>g****q</t>
  </si>
  <si>
    <t>DinlediÄŸim diÄŸer ÅŸarkÄ±lara oranla farklÄ± fakat kulaÄŸa hoÅŸ geliyor</t>
  </si>
  <si>
    <t>o****n</t>
  </si>
  <si>
    <t>Margot Robbie ve Ryan Goslingâ€™in mÃ¼kemmel uyumu olmuÅŸ.</t>
  </si>
  <si>
    <t>e****1</t>
  </si>
  <si>
    <t>Ä°yi</t>
  </si>
  <si>
    <t>Ã‡ok gÃ¼zel bir flim olmus â¤</t>
  </si>
  <si>
    <t>e****8</t>
  </si>
  <si>
    <t>keyifli bir yapÄ±m olmuÅŸ.kostÃ¼m, dekor, mÃ¼zik seÃ§imleri hepsi Ã§ok gÃ¼zeldi.</t>
  </si>
  <si>
    <t>SÃ¼per Ã§ok hoÅŸ aÅŸÄ±rÄ± beÄŸendim izlemek iÃ§in sabÄ±rsÄ±zlanÄ±yorum..</t>
  </si>
  <si>
    <t>Tam bir aile filmi gerÃ§ekten Ã§ok gÃ¼zel â¤â¤</t>
  </si>
  <si>
    <t>E****y</t>
  </si>
  <si>
    <t>This movie is fantastic</t>
  </si>
  <si>
    <t>Bu filim muhteÅŸem izlemeyi Ã§ok isterim herkese tavsiye ederim</t>
  </si>
  <si>
    <t>M****7</t>
  </si>
  <si>
    <t>Um filme muito legal para relembrar os personagens</t>
  </si>
  <si>
    <t>KÄ±zÄ±m iÃ§in gÃ¼zel bir film olmuÅŸ tebrikler</t>
  </si>
  <si>
    <t>Harika. Komedi</t>
  </si>
  <si>
    <t>Perfect higligts ðŸŽ‰</t>
  </si>
  <si>
    <t>BaÅŸrol gerÃ§ek bir gÃ¼zellik, sÃ¼rekleyici ve hoÅŸ film izlemeye deÄŸer ðŸ˜‚</t>
  </si>
  <si>
    <t>Ã‡ok gÃ¼zel bir film herkese kesinlikle tavsiye ederim</t>
  </si>
  <si>
    <t>R****a</t>
  </si>
  <si>
    <t>Gercekten cok renkli ve guzel bi dunya . cok guzel gorunuyor . kesinlikle denemeliyiz.</t>
  </si>
  <si>
    <t>M****3</t>
  </si>
  <si>
    <t>EÄŸlenceli, macera severlerin sÄ±kÄ±lmayacaÄŸÄ± bir filim ðŸ‘</t>
  </si>
  <si>
    <t>gÃ¼zel bir hikaye, renkli animasyonlar ve eÄŸlenceli mÃ¼zikleriyle izleyicileri bÃ¼yÃ¼lÃ¼yor.</t>
  </si>
  <si>
    <t>Bu film Ã§ok gÃ¼zel olmuÅŸ her dakikasÄ±nda gÃ¼lmekten yarÄ±lacaÄŸÄ±nÄ±z bir film mutlaka izleyin</t>
  </si>
  <si>
    <t>GÃ¼zel bir film</t>
  </si>
  <si>
    <t>Harika gÃ¼zel olmuÅŸ</t>
  </si>
  <si>
    <t>GÃ¼zel Bir film herkese izlemesini tavsiye ederim</t>
  </si>
  <si>
    <t>f****4</t>
  </si>
  <si>
    <t>Harika tebrikler ðŸŽ‰</t>
  </si>
  <si>
    <t>MÃ¼kemmel ve sÃ¼rÃ¼kleyici Ã¶zellikle Ã§ocuklar iÃ§in gÃ¼lÃ¼msetecek bir film saygÄ±lar</t>
  </si>
  <si>
    <t>Filmin temasÄ± ve konusu gayet hoÅŸ.Bir Ã§iftin gÃ¼zel zaman geÃ§irmek iÃ§in gidebileceÄŸi bir yapÄ±m olmuÅŸ.</t>
  </si>
  <si>
    <t>n****r</t>
  </si>
  <si>
    <t>This movie was great not because of the plot but because it's self awareness</t>
  </si>
  <si>
    <t>Ã‡ok eÄŸlenceli</t>
  </si>
  <si>
    <t>Harika oyuncu kadrosu ve mÃ¼kemmel senaryoâ¤â¤</t>
  </si>
  <si>
    <t>029 N</t>
  </si>
  <si>
    <t>n****7</t>
  </si>
  <si>
    <t>Ã‡ok gÃ¼zel bir film izlemenizi tavsiye ederim</t>
  </si>
  <si>
    <t>e****6</t>
  </si>
  <si>
    <t>gercekten harika bi fragman olmus herkesin eline saglik</t>
  </si>
  <si>
    <t>Harika bir film. Barbie hikayesine farklÄ± bir bakÄ±ÅŸ getirmiÅŸ.</t>
  </si>
  <si>
    <t>Ã‡ok gÃ¼zel bir film ve fragman oldukÃ§a Ã¶zetliyor filmi</t>
  </si>
  <si>
    <t>Ã‡ok iyi</t>
  </si>
  <si>
    <t>Tavsiye ederim, gÃ¼zel bir film, cok hoÅŸuma gitt</t>
  </si>
  <si>
    <t>i****8</t>
  </si>
  <si>
    <t>Film Ã§ocuk filmi gÃ¶rÃ¼nse de genÃ§ler iÃ§in de uygun ve gÃ¼zel bir film olmuÅŸ. EmeÄŸi geÃ§en herkese teÅŸekkÃ¼rler. Ä°yi seyirler.</t>
  </si>
  <si>
    <t>Cok iyi film mÃ¼thiÅŸ</t>
  </si>
  <si>
    <t>Ä°nanÄ±lmaz bir film izlemek iÃ§in sabÄ±rsÄ±zlanÄ±</t>
  </si>
  <si>
    <t>n****t</t>
  </si>
  <si>
    <t>Ã‡ok beÄŸendim gayet gÃ¼zel film</t>
  </si>
  <si>
    <t>Daha Ã¶nce bunu izlediÄŸimi hatÄ±rlÄ±yor gibiyim. KeÅŸke tekrarÄ±nÄ± izleyebilsem</t>
  </si>
  <si>
    <t>filme incrivel maravilhoso relembrar a infanciaâ¤â¤</t>
  </si>
  <si>
    <t>E****s</t>
  </si>
  <si>
    <t>Ä°zlenmeye deÄŸer bir film</t>
  </si>
  <si>
    <t>GÃ¼zel bir film severek izledik</t>
  </si>
  <si>
    <t>Harika klip</t>
  </si>
  <si>
    <t>10 numara 5 yÄ±ldÄ±z ðŸŽ‰</t>
  </si>
  <si>
    <t>KÄ±zÄ±mla beraber seyrettik Ã§ok gÃ¼zel bir filmdi</t>
  </si>
  <si>
    <t>Merhaba</t>
  </si>
  <si>
    <t>Harika film. BayÄ±ldÄ±k Ã§ok guzeldi</t>
  </si>
  <si>
    <t>Greaat</t>
  </si>
  <si>
    <t>b****7</t>
  </si>
  <si>
    <t>Film harika herkese tavsiye ederim severek izledik â¤</t>
  </si>
  <si>
    <t>Harika bir film mutlaka izlenmesi gereken filmlerden birisi ðŸŽ‰ðŸ˜ƒ</t>
  </si>
  <si>
    <t>GÃ¼zel bir film severek izledim</t>
  </si>
  <si>
    <t>This film very Good.i like this movie.</t>
  </si>
  <si>
    <t>h****n</t>
  </si>
  <si>
    <t>I liked very much â¤â¤</t>
  </si>
  <si>
    <t>z****7</t>
  </si>
  <si>
    <t>Filmi beÄŸendim ve eÄŸlendim, gÃ¼zeldi bence ama ortalama dÃ¼zeyde desem daha doÄŸru olur. Bu konseptte daha tatlÄ± filmler de yakalamÄ±ÅŸtÄ±m. Ama oyuncularÄ±n performansÄ±nÄ± ve Margot Robbie ve Ryan Gosling uyumunu beÄŸendim. Zaten Margot Robbie YÄ±rtÄ±cÄ± KuÅŸlar filminden sonra tanÄ±dÄ±ÄŸÄ±m sevdiÄŸim oyuncu oldu, film izlenir )</t>
  </si>
  <si>
    <t>j****h</t>
  </si>
  <si>
    <t>Film muazzam ve oscarÄ± hakettiÄŸini dÃ¼ÅŸÃ¼nÃ¼yorum</t>
  </si>
  <si>
    <t>MuhteÅŸem</t>
  </si>
  <si>
    <t>Ã‡ok tatlÄ±, harika ve Ã§Ä±lgÄ±n bir video.</t>
  </si>
  <si>
    <t>Ã‡ok gÃ¼zel bir filmdi mÃ¼kemmel</t>
  </si>
  <si>
    <t>Ã‡ok eÄŸlenceli ðŸŽ‰ðŸŽ‰</t>
  </si>
  <si>
    <t>H****b</t>
  </si>
  <si>
    <t>Sinemada izledim Ã§ok tatlÄ± bir filim teÅŸekkÃ¼r ederim</t>
  </si>
  <si>
    <t>Ã§ok gÃ¼zel bir film bence</t>
  </si>
  <si>
    <t>Barbie tÃ¼m kiz Ã§ocuklarÄ±nin ruyasi</t>
  </si>
  <si>
    <t>GÃ¼zel film oyuncular harika devamÄ± gelir bence ðŸ˜Š</t>
  </si>
  <si>
    <t>Ã‡ok gÃ¼zel video</t>
  </si>
  <si>
    <t>A great movieðŸ¤—</t>
  </si>
  <si>
    <t>Ã§ocukluÄŸunu hatÄ±rlamk isteyenler iÃ§in on numara bir folm</t>
  </si>
  <si>
    <t>Ã‡ok eÄŸlenceli ve gÃ¼zel izlemenizi Ã¶neririm</t>
  </si>
  <si>
    <t>m****h</t>
  </si>
  <si>
    <t>Harika mutlaka izleyin</t>
  </si>
  <si>
    <t>Ã‡ok gÃ¼zel video Ã§ok beÄŸendim teÅŸekkÃ¼r ediyorum</t>
  </si>
  <si>
    <t>Ã‡ok gÃ¼zel</t>
  </si>
  <si>
    <t>Very great film i liler very much</t>
  </si>
  <si>
    <t>GeÃ§en sene baya hasÄ±lat yaptÄ±. GÃ¼zel bir filme benziyor.</t>
  </si>
  <si>
    <t>. N</t>
  </si>
  <si>
    <t>c****4</t>
  </si>
  <si>
    <t>Ryan goslingden baÅŸkasÄ± oynayamazmÄ±ÅŸ Ken'i performansÄ± iyiydi.</t>
  </si>
  <si>
    <t>E****n</t>
  </si>
  <si>
    <t>Ã‡ok gÃ¼zel bi video baÅŸarÄ±lÄ± ben vok begendim hadi hayÄ±rlÄ±sÄ±</t>
  </si>
  <si>
    <t>Ã‡ok gÃ¼zel bir film tavsiye ediyorum.</t>
  </si>
  <si>
    <t>Etkileyici kesin izlenmesi gereken bir film</t>
  </si>
  <si>
    <t>Harika â¤</t>
  </si>
  <si>
    <t>i****2</t>
  </si>
  <si>
    <t>I love this movie always!!! â¤â¤â¤â¤â¤</t>
  </si>
  <si>
    <t>u****9</t>
  </si>
  <si>
    <t>YÄ±llarca hep oyuncak halini bilirdik bÃ¶yle film versiyonu farklÄ± olmuÅŸ ðŸ˜Š</t>
  </si>
  <si>
    <t>EÄŸlenceli ve sÃ¼rÃ¼kleyici herkese tavsiye ediyorum saygÄ±lat</t>
  </si>
  <si>
    <t>Film Ã§ok baÅŸarÄ±lÄ±ydÄ± bence. Her ne kadar filmi anlamayan kiÅŸiler filmi beÄŸenmeyip kÃ¶tÃ¼leselerde harikaydÄ±. Konusu, verdiÄŸi mesaj gÃ¼zeldi. GerÃ§i sanki film Ã§ok hÄ±zlÄ± ÅŸekilde konuyu iÅŸleyip, Ã¶nÃ¼mÃ¼ze atÄ±lmÄ±ÅŸ gibi olsada genel olarak beÄŸendim. Film sÄ±kÄ±ldÄ±ÄŸÄ±m tek kÄ±sÄ±m Ken in ÅŸarkÄ± sÃ¶ylediÄŸi uzun dakikalardÄ±. Film biraz daha uzun olabilirdi. Konu biraz daha detaylÄ± anlatÄ±labilirdi. Yinede baÅŸarÄ±lÄ±. Ä°kincisinin Ã§Ä±kmasÄ±nÄ± istiyorum.</t>
  </si>
  <si>
    <t>MÃ¼kemmel bir film ve oscarÄ± hakediyor.</t>
  </si>
  <si>
    <t>Ä°ts movie really fantastic for baby</t>
  </si>
  <si>
    <t>h****8</t>
  </si>
  <si>
    <t>Fragman filmi gayet iyi Ã¶zetliyor.</t>
  </si>
  <si>
    <t>Dikkat Ã§ekici nitelikte bir filmðŸ˜</t>
  </si>
  <si>
    <t>WanderfulllðŸŽ‰</t>
  </si>
  <si>
    <t>A great movie ðŸ¥°</t>
  </si>
  <si>
    <t>u****2</t>
  </si>
  <si>
    <t>Best movie award for 2023</t>
  </si>
  <si>
    <t>a****3</t>
  </si>
  <si>
    <t>Ã‡ok gÃ¼zeldi maÅŸallah</t>
  </si>
  <si>
    <t>MÃ¼kemmel bir film bizleri bekliyor. TamamÄ±nÄ± izlemek iÃ§in sabÄ±rsÄ±zlanÄ±yorumâ€¦ ðŸŽ‰â¤</t>
  </si>
  <si>
    <t>Bu film bana gÃ¶re Ã§ok gÃ¼zel</t>
  </si>
  <si>
    <t>Bu filmin bu kadar hoÅŸ olacaÄŸÄ±nÄ± tahmin etmemiÅŸtim.iyi seyirler</t>
  </si>
  <si>
    <t>Ã‡ok iyi bir film Ailecek izlenilebilir Tavsiye ediyorum.</t>
  </si>
  <si>
    <t>SÃ¼perâ¤â¤â¤â¤</t>
  </si>
  <si>
    <t>Ã‡ok iyi gÃ¶rÃ¼nÃ¼yor kÄ±z arkadasimla gitmeyi dÃ¼ÅŸÃ¼nÃ¼yorum Barbie'nin filmine bayilicaktir</t>
  </si>
  <si>
    <t>a****t</t>
  </si>
  <si>
    <t>Ã‡ok deÄŸiÅŸik ve gÃ¼zel bir film</t>
  </si>
  <si>
    <t>Mukemmel</t>
  </si>
  <si>
    <t>Ä°nanÄ±lmaz bir flim. Ã‡ocukluÄŸumuzu hatÄ±rlatÄ±yor</t>
  </si>
  <si>
    <t>Ã‡ok heyecanlandÄ±rÄ±cÄ± bir film izleyeceÄŸim</t>
  </si>
  <si>
    <t>Awesome movieðŸŽ‰</t>
  </si>
  <si>
    <t>Ã‡ok gÃ¼zel bir flim Ã§ok hoÅŸuma gitti inanÄ±lmaz bir hikÃ¢ye</t>
  </si>
  <si>
    <t>Ã‡ok gÃ¼zel bir film mutlaka izlemenizi tavsiye ederim.</t>
  </si>
  <si>
    <t>This is awesome movie, successful</t>
  </si>
  <si>
    <t>A****W</t>
  </si>
  <si>
    <t>yapÄ±lmÄ±ÅŸ en iyi sanat eserleri arasÄ±nda.</t>
  </si>
  <si>
    <t>A great project ðŸ“½</t>
  </si>
  <si>
    <t>Ã‡ok gÃ¼zel bir fragman olmuÅŸ. Tebrikler</t>
  </si>
  <si>
    <t>Ryan Gosling soo good actor</t>
  </si>
  <si>
    <t>ðŸ‘ðŸ‘ðŸ‘ðŸ‘ðŸ‘ N</t>
  </si>
  <si>
    <t>u****x</t>
  </si>
  <si>
    <t>barbie filmi yapÄ±labilecek en iyi filmler arasÄ±nda.</t>
  </si>
  <si>
    <t>Congratulation for winning nothing during the golden globes ðŸ¥³ðŸ¥³ðŸ¥³</t>
  </si>
  <si>
    <t>Nihayet izledimðŸ˜Š efektler muazzamdÄ±ðŸ‘Œ kesinlikle arÅŸivinizde olsunðŸ˜</t>
  </si>
  <si>
    <t>c****3</t>
  </si>
  <si>
    <t>I hope not babie should not win is a worst movie of the decade I am sorry this. Movie is a horror babie Babie is Psycho I just heard this movie is PG-13 she kill children and Swear not For kids then she kidnap parents and kids this is a worst terrible horrible movie. They cheeted to win tonight it must head to. The super Mario movie they did again it must to Guardians of the galaxy you killed Disney out Business</t>
  </si>
  <si>
    <t>I didnâ€™t expect this movie to turnout this good as it was a childhood memory. However, Barbie not only delivered a life lesson but took a different angle to showcase that a simple concept could be scripted so brilliantly.</t>
  </si>
  <si>
    <t>I'm a Barbie girl in a Barbie world of plastic it's fantastic you can brush my hair and grizzly everywhere imagination life is your</t>
  </si>
  <si>
    <t>O****1</t>
  </si>
  <si>
    <t>If you're a man, DO NOT WATCH THIS. It's not because it's not manly. It's because it will make you depressed and feel bad for being a guy. If you're a woman, go ahead and watch it! I dont care. This is the one chick flick that women shouldn't make their boyfriends or husbands watch.The film is well done, though.</t>
  </si>
  <si>
    <t>_****2</t>
  </si>
  <si>
    <t>ÐÐœÐ Ð‘ÐÐ‘Ð˜ Ð“Ð™ÐžÐ›Ð¬ ðŸ¤© N</t>
  </si>
  <si>
    <t>I finally watched the movie and my god what an idiotic ending...what a stupid idea that barbie wants to live in this crazy world instead of her perfect one and what little girl wouldn't want to live like barbie...85% of the movie makes sense and then...</t>
  </si>
  <si>
    <t>Lot of people streaming</t>
  </si>
  <si>
    <t>I donâ€™t like this movie. Yes this movie is funny at scenes such as 047 051 120 139 and maybe some others, but the scene at 032 gives a very negative and pessimistic outlook. I expected a movie full of vibrance, happiness, contentment and cheerfulness, but in my opinion if this movie spreads a negative message and wouldnâ€™t even make sense for children, why even make one? I wouldnâ€™t watch it again, and it was my least favourite movie of 2023. Glad I at least watched Spider-Man Across The Spider-verse.</t>
  </si>
  <si>
    <t>ã‚¢ãƒ¡ãƒªã‚«äººã£ã¦æœ¬å½“ã«å·®åˆ¥ã¨ã‹ã‚¤ã‚¸ãƒ¡ã¨ã‹ã‚¸ãƒ§ãƒ¼ã‚¯å¤§å¥½ãã ã‚ˆã­âœ¨ï¸æµçŸ³è‡ªç”±ã®å›½ã€ãƒã‚«ãªå›½ã£ã¦æ„Ÿã˜ðŸ—½ðŸ–•å…¬å¼ãŒåŽŸçˆ†ãƒã‚¿ã«ã—ã¦è¬ç½ªã‚‚ç„¡ã—ã ã‹ã‚‰ã­ã€‚ã“ã‚Œã‹ã‚‰ã‚‚å·®åˆ¥ã®å›½ä»£è¡¨ã¨ã—ã¦é ‘å¼µã£ã¦ã­âœ¨ï¸ N</t>
  </si>
  <si>
    <t>T****K</t>
  </si>
  <si>
    <t>I guess.. in general.. you got to be an American.. and probably even an American woman.. to love and rate this as a great movie ðŸ˜†Sorry people, I was not that impressed. Sure there's some funny lines now and then but really not that big a deal. I was bored for the last half hour of the movie and almost fell asleep.The most hilarious part of this movie is actually that Mattel back in the days made a lawsuit againts MCA Records because of Aqua's song Barbie Girl cause they didn't like the song lyric using the image of Barbie to satirize the objectification and sexualization of women, even though this song probably couldn't have been a bigger free advertisement that it was.. and still is! -And now 26 years later they made a movie mirroring this very song.. and even implemented a cover of this very song! Ohh the irony!! ðŸ˜‚(a cover even more awful and annoying to listen to than the original but that's another story ðŸ˜œ)Surely not a movie I want to watch twice.</t>
  </si>
  <si>
    <t>How feminists don't even realize how this movie is making fun of feminists ðŸ˜‚ðŸ˜‚ðŸ˜‚</t>
  </si>
  <si>
    <t>DE</t>
  </si>
  <si>
    <t>F****X</t>
  </si>
  <si>
    <t>The message that this movie was trying to send was that women should run everything which is significantly worse than men running everything. A good message would have been if they split the power at the end of the movie and the message was for men and women to be equal</t>
  </si>
  <si>
    <t>â¤â¤â¤â¤â¤â¤â¤â¤â¤â¤â¤BONICA</t>
  </si>
  <si>
    <t>Cok gÃ¼zel â¤ðŸ˜Š</t>
  </si>
  <si>
    <t>p****0</t>
  </si>
  <si>
    <t>Awful movie. Inclusion at its best and bad casting.I'm glad I didn't go to watch the theaters.</t>
  </si>
  <si>
    <t>a****d</t>
  </si>
  <si>
    <t>Iâ€™m not ready for this to turn a year old</t>
  </si>
  <si>
    <t>This is gonna win the cinematic and box office achievement golden globe</t>
  </si>
  <si>
    <t>l****l</t>
  </si>
  <si>
    <t>you know what i love about this movie? they kept barbie and ken white. i am so tired of all these race swaps. they kept to the original character. it was so nice to see a movie that didnt pander to different races. mind you i am a spanish woman. and i love when stories are kept and characters are kept with their original forms. also they had all types of races here.</t>
  </si>
  <si>
    <t>This was one of the single worst movies I've ever watched. Watching a middle-aged man play Ken was sad, not comical. Some of the worst one-liners ever uttered in a movie. A literal children's playset, and there are adults in this country that watched this. It's scary.</t>
  </si>
  <si>
    <t>B****.</t>
  </si>
  <si>
    <t>so Bollywood style is here</t>
  </si>
  <si>
    <t>d****9</t>
  </si>
  <si>
    <t>So much sexism in this movie its actually sad and an embarrasment</t>
  </si>
  <si>
    <t>i cried my heart out when i watched this movie, its truly amazing</t>
  </si>
  <si>
    <t>CH</t>
  </si>
  <si>
    <t>This needs more dislikes</t>
  </si>
  <si>
    <t>Barbich</t>
  </si>
  <si>
    <t>S****i</t>
  </si>
  <si>
    <t>In this movie we show what girls do with boys' feelings in real life because boys' feelings for girls are just a joke as shown in this movie.</t>
  </si>
  <si>
    <t>IN</t>
  </si>
  <si>
    <t>I love love love this Movie!!!! New favorite movie!!!!</t>
  </si>
  <si>
    <t>This film is absolutely not for children. Itâ€™s rammed full of toxic gender ideology and you are an irresponsible parent if you let your children watch it. It even has a BBC logo appear 1/3 of the way through. â€œYou are either brainwashed or uglyâ€ one of the characters said!?!? Wtf????</t>
  </si>
  <si>
    <t>c****7</t>
  </si>
  <si>
    <t>I loved watching this film and I love barbie dolls and I wish they make 2nd film and still make it better like this one keep it up and I got the dvd and I watched over and over again</t>
  </si>
  <si>
    <t>v****1</t>
  </si>
  <si>
    <t>Kind of good message. Would have been funny if they played the funny song ( barbie girl) now we need gi Joe movie!</t>
  </si>
  <si>
    <t>019 N</t>
  </si>
  <si>
    <t>Movie sucked! Like wtf didni just watch??!?</t>
  </si>
  <si>
    <t>t****8</t>
  </si>
  <si>
    <t>Absoluter Mist</t>
  </si>
  <si>
    <t>T****w</t>
  </si>
  <si>
    <t>If you have the mentality of a 5 to 10-year-old, this movie is for you. If you're an adult with a brain, it will be hard to sit through and you can hardly wait for it to end. It's a great movie for liberals though. I suspect they'll love it.</t>
  </si>
  <si>
    <t>X****z</t>
  </si>
  <si>
    <t>My dream is to play this movie while sleeping and waking up to the exact time where I left off on my first time seeing it. Or the ending or anything T.T cant stand the first half</t>
  </si>
  <si>
    <t>This Movie is like a Miracle sent down from Heaven, thank you Greta Gerwig for creating a masterpiece!</t>
  </si>
  <si>
    <t>Satanism as its finest. Repulsive, offensive and revolting.If any parent allows their children to watch this they are extremely irresponsible and a society cancer. This movie is tragic and a menace to society. It is seriously meant to destroy the mind and the well being of children and many adults as well.</t>
  </si>
  <si>
    <t>Watched it about 3 Times. I Have No Regrets</t>
  </si>
  <si>
    <t>Watched about a third of the movie then turned it off in disgust. yes about what I expected.</t>
  </si>
  <si>
    <t>J****u</t>
  </si>
  <si>
    <t>THIS HORROR MOVIE WAS AMAZING!EDIT thanks so much for all the likes</t>
  </si>
  <si>
    <t>i had an "extreme" mixed emotions watching this movie, margot robbie is a real life barbie and ryan gosling is a real life ken, barbie made u cry so much and margot absolutely fit barbie , and ken makes u laugh so hard ryan is spot on in this character too didn't know that he can dance and sing, you dont need to be a fan of barbie to make this watchable, its about celebrating life, and choose whats make u happy</t>
  </si>
  <si>
    <t>1****t</t>
  </si>
  <si>
    <t>Meh. ðŸ¤·â€â™€ï¸</t>
  </si>
  <si>
    <t>This movie was mediocre I saw it and it just didnâ€™t live up to all of the hype.</t>
  </si>
  <si>
    <t>The HOLIDAYS don't belong to these trash nor is the biggest and best movie,why? Because they're pale? We have many more better than these with Tyra banks life size and legally blonde and the hot chic much better</t>
  </si>
  <si>
    <t>Record song....where??</t>
  </si>
  <si>
    <t>j****2</t>
  </si>
  <si>
    <t>WHAT A STUPID CORNY MOVIE</t>
  </si>
  <si>
    <t>Maybe I am missing something or just old fashioned but this film missed on all points for me.While it is a vision in technicolour. It pales to black and white very quickly. Its basic problem is it's just too woke.I am a supporter of all folk being treated equally and fairly but The director beats us over the head with it.Where the like of Toy Story etc win, this fails. There is absolutely nothing here for a child or the child in us all.The performances are excellent, but I am not sure everyone got it or is invested in the story. Which is bizarre, too adult, the closing line emphasises this completely.I wanted it to be a joy and it isn't. Barbie starts as a stunning version of the doll then disintegrates into a sad, housewife type of depressed person, maybe that was the point, god knows.I understand it has been extremely popular and will win awards, however, I think this is down to the power of hype and social media..I was really disappointed and sort of angry as this was a waste of a great opportunity. Oh and if Mattel was mentioned once it was a thousand time.</t>
  </si>
  <si>
    <t>Brabie is hot</t>
  </si>
  <si>
    <t>BD</t>
  </si>
  <si>
    <t>S****7</t>
  </si>
  <si>
    <t>GroÃŸartig! ðŸ«¶âœ¨</t>
  </si>
  <si>
    <t>j****4</t>
  </si>
  <si>
    <t>Jesuueuejrjl2ekowiro2ieiejcakxhâ¤â¤</t>
  </si>
  <si>
    <t>Ð£ÑƒÑƒÑ†ÐµÐ²ÑÐ¼ Ð¸Ð¸Ð¸ N</t>
  </si>
  <si>
    <t>I****c</t>
  </si>
  <si>
    <t>I liked the movie but I want to know why are all the children at the little girls' school wearing black or only dark colors???</t>
  </si>
  <si>
    <t>n****2</t>
  </si>
  <si>
    <t>Blade runner ken</t>
  </si>
  <si>
    <t>h****7</t>
  </si>
  <si>
    <t>This lookin like the most obtuse movie ever made.</t>
  </si>
  <si>
    <t>Well this movie took my by surprise. Easily my #1 of this year</t>
  </si>
  <si>
    <t>v****7</t>
  </si>
  <si>
    <t>Most of the men commenting are saying itâ€™s an awful filmâ€¦ but theyâ€™re missing the point. Itâ€™s â€˜aboutâ€™ Barbie, but itâ€™s really made to expose the harsh reality of being a woman in todayâ€™s societyâ€” and because theyâ€™re male, theyâ€™ll never understand our struggles and how difficult it is to surpass a man in any field if youâ€™re a woman.</t>
  </si>
  <si>
    <t>f****8</t>
  </si>
  <si>
    <t>Middle age Barbie?Isn't Barbie a teen?</t>
  </si>
  <si>
    <t>ðŸ‘ŽðŸ»ðŸ‘ŽðŸ»ðŸ‘ŽðŸ»ðŸ‘ŽðŸ»ðŸ˜‚ðŸ˜‚ðŸ˜‚ N</t>
  </si>
  <si>
    <t>This movie was better than I thought it would be, but the little girl in me was slightly disappointed they didn't slide in the "Think Pink" song on the radio or something. THAT was a great Barbie song ðŸ˜‚</t>
  </si>
  <si>
    <t>T****D</t>
  </si>
  <si>
    <t>Ohl</t>
  </si>
  <si>
    <t>I have been on this Earth since 1970 and I have watched a fuckton of movies this has got to be the worst movie ever made. It puts a stain on Hollywood and everyone who had a part in it as far as I'm concerned</t>
  </si>
  <si>
    <t>the worst movie I have ever seen in my damn life, very disgusting and very ugly in my opinion</t>
  </si>
  <si>
    <t>it would take an exabyte (one million terabytes) to generate [build] a real barbie land</t>
  </si>
  <si>
    <t>sing and dance together and be joyous, but let each one of your be alone</t>
  </si>
  <si>
    <t>u****o</t>
  </si>
  <si>
    <t>This so pretty and interesting ðŸŽ‰â¤</t>
  </si>
  <si>
    <t>I don't need a comedymovie with political feminism garbage and I say it as women and barbiefan since my childhood.</t>
  </si>
  <si>
    <t>I thought it was brilliant. so many people seem to miss the point about this film. the satire was very satisfying .</t>
  </si>
  <si>
    <t>NL</t>
  </si>
  <si>
    <t>036 â€œDid I say that out loud?â€</t>
  </si>
  <si>
    <t>o****e</t>
  </si>
  <si>
    <t>I saw this movie yesterday while being baked, and I still canâ€™t get over it. This movie, especially when it roles towards the end is to intens. Like a real eye opener! I still canâ€™t get over it for some reason haha! What a movie.. brilliant! â¤ï¸</t>
  </si>
  <si>
    <t>8****r</t>
  </si>
  <si>
    <t>Okâ€¦. Did regular HBO get a different versionâ€¦. Cause I went to watch it OnDemand and all Iâ€™m hearing is Greta Gerwig talking over the movie?? ðŸ˜©</t>
  </si>
  <si>
    <t>Wonderful Treasure</t>
  </si>
  <si>
    <t>A Masterpiece</t>
  </si>
  <si>
    <t>Best Movie of The Year</t>
  </si>
  <si>
    <t>p****3</t>
  </si>
  <si>
    <t>Ryan Goslings worst movie ever. Down playing his acting skills to portray the image of a patriarchal man. And everything he liked that was considered patriarchal are things I like and Iâ€™m a woman. But at least we watched it at home and didnâ€™t spend money on it.</t>
  </si>
  <si>
    <t>I recommend the movie LIFE SIZED with Tyra Banks and Lindsey Lohan. Better than this.</t>
  </si>
  <si>
    <t>Just watched it. We were fairly disappointed. No strong good story plot, constant woke mentions like white savior or getting offended over phrases like si se puede and calling it appropriation. The hate for men by calling it patriarchy. The fact that they treated Ken like an idiot and he didnâ€™t even end up with Barbie. They completely ignored the true meaning of Barbie and her friends and used it for wokeness. This movie blows. Iâ€™m glad I didnâ€™t spend money at the movies. Oppenheimer is still number one for me.</t>
  </si>
  <si>
    <t>Such yuck nd gross movie ðŸ˜¡ðŸ˜¡ðŸ˜¡ðŸ˜¡</t>
  </si>
  <si>
    <t>ðŸ¤¬ðŸ¤¬ðŸ¤¬ðŸ¤¬ðŸ¤¬ðŸ¤¬ðŸ¤¬ðŸ¤¬ðŸ¤¬ðŸ¤¬ðŸ¤¬ðŸ¤¬ðŸ¤¬ðŸ¤¬ðŸ¤¬ðŸ¤¬ N</t>
  </si>
  <si>
    <t>N****m</t>
  </si>
  <si>
    <t>Refuse to watch this cuz i know 70% of it is gonna show barefeet which is disgusting</t>
  </si>
  <si>
    <t>Garbage movie</t>
  </si>
  <si>
    <t>GB</t>
  </si>
  <si>
    <t>Woke trash.</t>
  </si>
  <si>
    <t>B****4</t>
  </si>
  <si>
    <t>snapshot of our current culture for sure</t>
  </si>
  <si>
    <t>l****t</t>
  </si>
  <si>
    <t>I am ashamed of how many times Iâ€™ve already seen this movie. Oh my gosh, Greta Gerwig took such an incredible concept and then she didnâ€™t just run with it - she usain bolted allll the way to the finish! And let me tell you, the winners circle is looking fabulous. I also really enjoyed Ladybird â€¦ this woman is going to have a LOT to say in her career and if itâ€™s this enjoyable, I will listen every time. It wouldâ€™ve been so easy for this movie to flop - especially because I know I had incredibly high expectations for it and Iâ€™m just a random person people donâ€™t usually care about my opinion too much haha, but when I tell you this movie went above and beyond anything I hoped it could be (</t>
  </si>
  <si>
    <t>v****0</t>
  </si>
  <si>
    <t>hi ken</t>
  </si>
  <si>
    <t>ho hi barbie</t>
  </si>
  <si>
    <t>m****s</t>
  </si>
  <si>
    <t>CONGRATULATIONS on Barbie being the TOP (number one) grossing movie of year 2023!!!!!!P.S. I watched 'Barbie' and LOVED IT!!!!!! ðŸ’—ðŸ’—ðŸ’—ðŸ’—ðŸ’—ðŸ’—ðŸ’—ðŸ’—ðŸ’—ðŸ’—</t>
  </si>
  <si>
    <t>I didnâ€™t like the movie to be honest ! There is really no story except a good visual! I was too excited to watch it but almost felt asleep!</t>
  </si>
  <si>
    <t>j****e</t>
  </si>
  <si>
    <t>One of the worst movies I ever have seen.It was annoying.Ryan Gosling was miscast as Ken.He did not exude anything Ken doll.</t>
  </si>
  <si>
    <t>C****1</t>
  </si>
  <si>
    <t>This was the worst movie full of woke ðŸ—‘ï¸ nonsense!Pray kids turn it off!Friends hated it too and they didnâ€™t finish the movie either!Everyone thought it would be upbeat but satanic instead</t>
  </si>
  <si>
    <t>ÐžÑ‹Ð·Ð¼Ðµ Ð¶Ñ†Ñ‚Ð¿â¤ðŸŽ‰ N</t>
  </si>
  <si>
    <t>R****W</t>
  </si>
  <si>
    <t>I don't know what they were thinking making this movie, but it seems to me like a futuristic mix of other old movies, 'Beach blanket bingo, 'Grease', and La La Land combined, i couldn't wait for it to end, so i fast forwarded to the end, and it's not the actors fault, nobody would have been better for their roles, and really appreciate them trying, cause i had a Ken doll in a house coat when i was about 5 years old in the 60's, anyway i hope the kids enjoy it, sadly it was not my cup of tea eh</t>
  </si>
  <si>
    <t>B****s</t>
  </si>
  <si>
    <t>Barbie" sucks.</t>
  </si>
  <si>
    <t>I'm like a really masculine dude &amp; I thought this film was great. It was really funny &amp; surprisingly touching. I can take a joke though. Apparently, some men can't, hence this film's controversy, which was a load of nonsense. Barbie was as funny as it was heartwarming. Loved it.</t>
  </si>
  <si>
    <t>S****u</t>
  </si>
  <si>
    <t>Greta Gerwig sums up 200 years of feminist theory throughâ€¦Barbie. Now thatâ€™s just plain brilliant. As are Margot Robbie and Ryan Gosling.</t>
  </si>
  <si>
    <t>ðŸ©·ðŸ©·ðŸ©·ðŸ©·love this movie</t>
  </si>
  <si>
    <t>L****5</t>
  </si>
  <si>
    <t>Am I the only person that thinks this movie sucked? I knew it was a flop as soon as I saw that big WB Lego in the beginning of the movie!</t>
  </si>
  <si>
    <t>I hate this movie! It sucks and barbie is just so selfish.</t>
  </si>
  <si>
    <t>Too neolitic face ,not rounded face girl european</t>
  </si>
  <si>
    <t>Harley Quinn is barbie look at that face</t>
  </si>
  <si>
    <t>A****T</t>
  </si>
  <si>
    <t>since Brazil and Zardoz I haven't seen such a stupid film</t>
  </si>
  <si>
    <t>RS</t>
  </si>
  <si>
    <t>Hgdhgfzznofdaalx</t>
  </si>
  <si>
    <t>W****l</t>
  </si>
  <si>
    <t>Member man a nuh Barbie</t>
  </si>
  <si>
    <t>JM</t>
  </si>
  <si>
    <t>Me dream bout it ms d Barbie</t>
  </si>
  <si>
    <t>L****.</t>
  </si>
  <si>
    <t>This movie was nothing special and the plot honestly made no sense. I really thought this was something amazing by the hype people had for this movie but honestly it wasn't good. Medicare at best and not something I would rewatch wich is a lot cause most of the time I rewach movies if they are 6/10 but this nope not worth it. Trash filed with politics wrapped up in pink.</t>
  </si>
  <si>
    <t>Who like barbieðŸ˜ˆ but I like in old life but now I like cars and animesâ¤</t>
  </si>
  <si>
    <t>I love you Barbie ðŸ’–ðŸ’–ðŸ’–ðŸ’–ðŸ’–</t>
  </si>
  <si>
    <t>M****o</t>
  </si>
  <si>
    <t>Ignorant Garbage</t>
  </si>
  <si>
    <t>S****a</t>
  </si>
  <si>
    <t>I adore this film â¤instant Classic!</t>
  </si>
  <si>
    <t>H****E</t>
  </si>
  <si>
    <t>An Aussie and a Canuck playing American Icons. CULTURAL APPROPRIATION!!! This is bullshâ€”-.</t>
  </si>
  <si>
    <t>What's kinda funny is that Mattel (the company that owns the Barbie brand) were suffering from a massive slump in sales. Someone boasted that a movie would probably help cash flows for 2023. They agreed but woah! did they underestimate how much. The movie has raked in a whopping $1.4 BILLION. And they went to media giant Warner Bros to get the movie made and distributed. Parents, WB brought us cartoons like Yogi Bear and Loony Toons and the Lord of the Rings and Harry Potter films. THAT'S how big of a name they are. It has led to a resurgence in the toys so a staggering $120 million was cashed out from the movie profits to aid Mattel's toy line. It's interesting to hear parents saying the Barbie name is the only thing on their daughters' minds when they asked them "what do you want for Xmas this year?" That is a marketing exec's wildest dream come true.</t>
  </si>
  <si>
    <t>I want Barbie 2</t>
  </si>
  <si>
    <t>I love you Barbie</t>
  </si>
  <si>
    <t>p****6</t>
  </si>
  <si>
    <t>Barbie should be beautiful and looking like a wow. But this girl does not look like a doll.</t>
  </si>
  <si>
    <t>If Taylor Swift plays Barbie...would have made Billions around the world..I'm surprised she was not asked</t>
  </si>
  <si>
    <t>I wanted to be Barbie since I was a kid and going to search in Google "How do I become an Barbie?â¤ðŸŽ‰</t>
  </si>
  <si>
    <t>E****K</t>
  </si>
  <si>
    <t>I watched Oppenheimer last night. might watch this later. also have Mario and the creator I have all on my PC in HDR and other 2023 films.</t>
  </si>
  <si>
    <t>Cass Elliot would be so happy</t>
  </si>
  <si>
    <t>Best Film Of The Year</t>
  </si>
  <si>
    <t>d****i</t>
  </si>
  <si>
    <t>tarantino.gif</t>
  </si>
  <si>
    <t>Greta gerwig the barbie movie TONIGHT on HBO</t>
  </si>
  <si>
    <t>What is this trash? Is this what passes as entertaining now?</t>
  </si>
  <si>
    <t>It's a great movie</t>
  </si>
  <si>
    <t>j****0</t>
  </si>
  <si>
    <t>Mediocre movie. Very very backwards in a lot of in not all the content. I struggled thru 2/3 of this thing . Yea I m good.</t>
  </si>
  <si>
    <t>d****o</t>
  </si>
  <si>
    <t>I saw this movie and I absolutely ADORE it. I love how it highlights that both sexes have their issues and omg itâ€™s one of those movies you just HAVE to see in order to understand.</t>
  </si>
  <si>
    <t>How this got to a billion is beyond me</t>
  </si>
  <si>
    <t>KISSES</t>
  </si>
  <si>
    <t>menuda basura de pelÃ­cula</t>
  </si>
  <si>
    <t>s****z</t>
  </si>
  <si>
    <t>I'm not to sure what all the hurrah was about this movie. . I just watched it, and it honestly was terrible</t>
  </si>
  <si>
    <t>ç´ æ™´ã‚‰ã—ã„ãªw</t>
  </si>
  <si>
    <t>I love this movie even I'm a boy â¤â¤â¤</t>
  </si>
  <si>
    <t>W****8</t>
  </si>
  <si>
    <t>This is my favorite movie and my inspiration.ðŸ˜ðŸ˜ðŸ˜</t>
  </si>
  <si>
    <t>g****d</t>
  </si>
  <si>
    <t>Best part Cass Elliot's song</t>
  </si>
  <si>
    <t>N****b</t>
  </si>
  <si>
    <t>Were gigachad we dont care ðŸ—¿ðŸ—¿ðŸ—¿</t>
  </si>
  <si>
    <t>â¤â¤ðŸ¤—ðŸ¤—ðŸ’“ðŸ˜½ N</t>
  </si>
  <si>
    <t>( 1970 Womenâ€™s Strike for Equality march in New York, the chant became â€œI am not a Barbie dollâ€.)2023 I am a barbie doll.</t>
  </si>
  <si>
    <t>IE</t>
  </si>
  <si>
    <t>g****i</t>
  </si>
  <si>
    <t>I am Kenough!</t>
  </si>
  <si>
    <t>J****.</t>
  </si>
  <si>
    <t>The funny thing is this is an reverse Isekai movie</t>
  </si>
  <si>
    <t>Ryaan gosling wasnt he little old to play ken??ðŸ˜‚</t>
  </si>
  <si>
    <t>GOLDEN GLOBES!!!!!!!!!.......................PINK FORCE FOR BARBIE DOMINATION</t>
  </si>
  <si>
    <t>GTA VI Trailer&gt;&gt;&gt;&gt;&gt;</t>
  </si>
  <si>
    <t>i still remember when i watched this in summer, i wish i could experience it all over again in the theaters</t>
  </si>
  <si>
    <t>Good movie for girls</t>
  </si>
  <si>
    <t>o****4</t>
  </si>
  <si>
    <t>This film was amazing</t>
  </si>
  <si>
    <t>E****a</t>
  </si>
  <si>
    <t>I have alr watched this it was so good!</t>
  </si>
  <si>
    <t>B****Y</t>
  </si>
  <si>
    <t>Barbie supports 9/11, Palestine and Mao Zedong</t>
  </si>
  <si>
    <t>GTA 6 trailer got more views than this movie trailer</t>
  </si>
  <si>
    <t>I give this movie 9.3/10 It was a little weird but awesome.</t>
  </si>
  <si>
    <t>Fauk ðŸ’©ðŸ’©ðŸ¤œðŸ¤›ðŸ‡®ðŸ‡±</t>
  </si>
  <si>
    <t>was good</t>
  </si>
  <si>
    <t>How pink is this tho...</t>
  </si>
  <si>
    <t>As a man, I will wait until I'm home alone to watch this. I'll watch it in a dark closet and nobody will ever know.</t>
  </si>
  <si>
    <t>Came back to watch this again after the SNL Mama Cass sketch</t>
  </si>
  <si>
    <t>I Like Wednesday addams movi</t>
  </si>
  <si>
    <t>Finally saw this movie, funny, witty, but im sorry to all of you who seem to think this movie is a revelation, this film is at least 15 years behind on the discussion of gender, and this film, a film where the main characters have no genitalia and whom are looking throughout the film for the meaning of their existence and what defines humanity, it's strange that same film wasn't even brave enough to MENTION, not even in a slight or even in an implication, the identities' and struggles of transgender individuals, not even a SINGLE sentence... And the entire film, throughout it's full run time, "shamelessly" markets Barbie products, in a haha sort of way, to where idiots don't think they are being marketed to...Honestly this movie reeks of traditionalist conservative media and corporate rebranding that is LOADED with unabashed product marketing, that is deceptively packaged as a forward thinking study of gender and societal expectations, which it absolutely is not at all. I think in 2005 this movie would be paradigm shaking but it is WAY BEHIND in capturing the gender narrative in 2023, and tbh I think Matell itself may have financed it</t>
  </si>
  <si>
    <t>Iâ€™m watching this trailer over and over again in December and it feels like Christmas</t>
  </si>
  <si>
    <t>This movie is the most boring and the stupidest I've ever seen. I watched it in its premiere, I wanted to hang myself. It was a total torture! I wanted so bad to leave the cinema, but it was all full. We didn't laugh once! It had so much marketing, but it wasn't nearby up to the expectations, that was extremely disappointing! Hated the fact that they take us as we are stupid, or retarded! plastic beach and stupidity, very sexist and extreme. Shocked about how people can get influenced by smart marketing. Not worth your time, don't watch it.</t>
  </si>
  <si>
    <t>X****X</t>
  </si>
  <si>
    <t>I can't believe they made a movie based of Cody's stupid little doll</t>
  </si>
  <si>
    <t>F****9</t>
  </si>
  <si>
    <t>High heels were originally worn by men in the beginning</t>
  </si>
  <si>
    <t>Barbie (2023) Director Greta Gerwig Filming Dates March 22, 2022 - July 21, 2022 Release Date July 21, 2023 MPAA Rating PG-13 [Parents Strongly Cautioned] Runtime 1 hr 54 min (114 min)</t>
  </si>
  <si>
    <t>Why are there no single Asian Barbie in this movie???</t>
  </si>
  <si>
    <t>p****9</t>
  </si>
  <si>
    <t>Loganberry â¤ðŸ˜‚ðŸ˜¢ðŸ˜®</t>
  </si>
  <si>
    <t>The first one. The high heel." Cant even live up to her fake title of ascending everyone</t>
  </si>
  <si>
    <t>C****6</t>
  </si>
  <si>
    <t>ChuckyItâ€™s Funny That Barbie Was Thinking About Dying When Iâ€™m Literally Dead HaHa.ðŸ˜‚ðŸ˜‚</t>
  </si>
  <si>
    <t>BarbieDo You Guys Ever Think About Dying?(Everyone Stares At Her)ChuckyIâ€™m Already Dead So Weâ€™re All Thinking About Dying!</t>
  </si>
  <si>
    <t>Ñ Ñ‚ÑƒÑ‚ ÐºÐµÐ½, ÐµÑÐ»Ð¸ Ñ‡Ñ‚Ð¾ N</t>
  </si>
  <si>
    <t>RU</t>
  </si>
  <si>
    <t>Ð²ÑÐµ Ð¶Ðµ Ð² ÐºÑƒÑ€ÑÐµ ÑƒÐ¶Ðµ, Ñ‡Ñ‚Ð¾ Ð±Ð¸Ð´Ð¾Ð½Ð° ÑƒÐ±Ð¸Ð»Ð¸ Ð¸ Ð²Ð¼ÐµÑÑ‚Ð¾ Ð½ÐµÐ³Ð¾ Ñ‡ÐµÑ€Ð½ÑƒÑˆÐºÐ°, Ð¿Ð¾ Ñ…Ð¾Ð´Ñƒ? Ð’ ÑÑ‚Ð¾Ð¼ Ñ„Ð¸Ð»ÑŒÐ¼Ðµ ÐºÐ°Ðº Ñ€Ð°Ð· Ð¿Ð¾ÐºÐ°Ð·Ñ‹Ð²Ð°ÑŽÑ‚ Ñ‡ÐµÑ€Ð½ÑƒÑŽ Ð¶ÐµÐ½Ñ‰Ð¸Ð½Ñƒ Ð¿Ñ€ÐµÐ·Ð¸Ð´ÐµÐ½Ñ‚Ð° Ð¼Ð°Ñ€Ð¸Ð¾Ð½ÐµÑ‚Ð¾Ñ‡Ð½ÑƒÑŽ N</t>
  </si>
  <si>
    <t>Blackpink groupe name means there is black and there is pink c'est ca la vie bad and good moments How dosn't kill you makes you stronger</t>
  </si>
  <si>
    <t>I saw this movie in the cinema and it was so fun!</t>
  </si>
  <si>
    <t>159 N</t>
  </si>
  <si>
    <t>N****o</t>
  </si>
  <si>
    <t>When we went to that party, you asked if we ever thought about dying.""I remember it well. What of it?""I believe we did."</t>
  </si>
  <si>
    <t>j****1</t>
  </si>
  <si>
    <t>some things you can't unsee. WHY I've just watched this !!! this is the end of internet</t>
  </si>
  <si>
    <t>A****l</t>
  </si>
  <si>
    <t>this movie sucked honestly, majorly high expectations and it lacked in nearly everything</t>
  </si>
  <si>
    <t>Wow! Blade Runner 3 is really weird.</t>
  </si>
  <si>
    <t>just a boring movie</t>
  </si>
  <si>
    <t>O****e</t>
  </si>
  <si>
    <t>Like the director of fbi, Ken is cult of maleness. Wray HATES this movie!! Got evidence on amazin criminals too! ðŸ˜‚ðŸ˜‚ðŸ˜‚ðŸ˜‚ðŸ˜‚ But mostly on those who locked card. Fbi dumbass!! ðŸ˜‚ðŸ˜‚ðŸ˜‚ðŸ˜‚ðŸ˜‚ Checkmate, stupid!</t>
  </si>
  <si>
    <t>051 N</t>
  </si>
  <si>
    <t>A****m</t>
  </si>
  <si>
    <t>78 mil views and only 1.5 k likes lol</t>
  </si>
  <si>
    <t>M****T</t>
  </si>
  <si>
    <t>Barbie who is the girl to use by barbie is She Emma stone???</t>
  </si>
  <si>
    <t>_****0</t>
  </si>
  <si>
    <t>â€œYou guys ever think about dying?!â€ *Barbie.. gurlâ€¦ are you alright do you need help-*</t>
  </si>
  <si>
    <t>S****l</t>
  </si>
  <si>
    <t>Svhch</t>
  </si>
  <si>
    <t>Loved Ryan Gosling as Ken. The movie got lost in the 3rd act. Should have been shortened and I'd give it a 3/5.</t>
  </si>
  <si>
    <t>I love the Barbie movie and Iâ€™m gonna get the Marget Robbie Barbie doll and the Ryan Gosling ken dolls at eBayâ¤ðŸŽ‰ðŸ˜Š</t>
  </si>
  <si>
    <t>4****1</t>
  </si>
  <si>
    <t>Aquascope</t>
  </si>
  <si>
    <t>013; Ryan makes his first Kentrance in the video</t>
  </si>
  <si>
    <t>No one has to have Barbie dolls, or be a fan of Barbie to enjoy this movie. This movie had a nice meaning to it, never watched something like it.</t>
  </si>
  <si>
    <t>M****1</t>
  </si>
  <si>
    <t>I canâ€™t stop laughing when you flew of the roof</t>
  </si>
  <si>
    <t>u****8</t>
  </si>
  <si>
    <t>Iâ¤</t>
  </si>
  <si>
    <t>You need to pay me minium 300 bucks for watching this and lost an evening with friends, dogs, beer. Or a good book alone. Barbie ppffff even i was little girl i played to soccer, boxing, stunts with bikes. And the barbie of my sis finished with shaved head and a green crest. ðŸ˜‚ðŸ–•ðŸ¤˜</t>
  </si>
  <si>
    <t>Can we just take a moment to know that greta made a good choice about doing the movie and Margot Robbie was a good barbie and for how long she had to be on heels</t>
  </si>
  <si>
    <t>Uma histÃ³ria incrÃ­vel, atravÃ©s dela se passam muitos ensinamentos para a vida real, sem contar que mostra o quanto a mulher Ã© importante na sociedade.</t>
  </si>
  <si>
    <t>I didnâ€™t know Warner Bros made PG-13 films or R films or evenâ€¦ NC-17 films</t>
  </si>
  <si>
    <t>Barbie 2 thee same way with Betty boop,Jessica rabbit ðŸ‡,and olive oil they're all hanging together is ah good idea for the next one get who play barbie in this movie toh play barbie again thee other 3 should be played by new actress who look and sound like them toh match they're characters they all should be born in July â¤</t>
  </si>
  <si>
    <t>Jaxonâ€™s Sister saw it on the Plane</t>
  </si>
  <si>
    <t>how can this even be a movie. the worst thing I have ever seen in my life</t>
  </si>
  <si>
    <t>Itâ€™s ok movie donâ€™t know why such hype ..</t>
  </si>
  <si>
    <t>n****8</t>
  </si>
  <si>
    <t>I just don't like how gimmicky it is</t>
  </si>
  <si>
    <t>Ryan Gosling carried the movie. Would have been boring and meh without himðŸ˜…</t>
  </si>
  <si>
    <t>o****h</t>
  </si>
  <si>
    <t>ðŸ’ðŸ’ðŸ˜ N</t>
  </si>
  <si>
    <t>h****m</t>
  </si>
  <si>
    <t>PG - 13 LOL!</t>
  </si>
  <si>
    <t>S****6</t>
  </si>
  <si>
    <t>bro isn't this for kids, no one is gonna watch this.</t>
  </si>
  <si>
    <t>J****n</t>
  </si>
  <si>
    <t>What title the third song</t>
  </si>
  <si>
    <t>Whatâ€™s up Barbie ðŸ¥€ðŸ¥€ðŸ¥€ðŸ¥€ðŸ¥€</t>
  </si>
  <si>
    <t>D****7</t>
  </si>
  <si>
    <t>Ladies, if you donâ€™t want to be looked at and treated like an object, how about stop trying to look like a doll and maybe donâ€™t support a movie that promotes that.</t>
  </si>
  <si>
    <t>My favourite movie of this year. Followed by Guardians of the Galaxy 3. Itâ€™s more than just a silly film with good music and a brilliant cast. I love everything about this movie and in my opinion this is up there with some of the greatest films of the 21st century.</t>
  </si>
  <si>
    <t>Gostei muito top</t>
  </si>
  <si>
    <t>S****v</t>
  </si>
  <si>
    <t>Eu amei esse filme me lembrou de quando eu era crianÃ§a</t>
  </si>
  <si>
    <t>q****0</t>
  </si>
  <si>
    <t>This sound like a good movie fr</t>
  </si>
  <si>
    <t>Muito bom</t>
  </si>
  <si>
    <t>Y****f</t>
  </si>
  <si>
    <t>Perfeito</t>
  </si>
  <si>
    <t>Show todo o filme</t>
  </si>
  <si>
    <t>Sucesso</t>
  </si>
  <si>
    <t>A minha filha ama a barbiâ¤â¤â¤</t>
  </si>
  <si>
    <t>JÃ¡ atÃ© vi o filme muito engraÃ§ado e legal aconselho muito</t>
  </si>
  <si>
    <t>â¤ filme maravilhoso muito top parabÃ©ns para os editores</t>
  </si>
  <si>
    <t>FantÃ¡stico relembrar a infÃ¢ncia ðŸŽ‰</t>
  </si>
  <si>
    <t>E****j</t>
  </si>
  <si>
    <t>Paixonada</t>
  </si>
  <si>
    <t>ðŸ˜‚â¤ N</t>
  </si>
  <si>
    <t>Filme perfeitoðŸ˜Š</t>
  </si>
  <si>
    <t>Muito top ðŸ‘ðŸ»ðŸ‘ðŸ»</t>
  </si>
  <si>
    <t>BR</t>
  </si>
  <si>
    <t>Filme muito bom me lembra minha infÃ¢ncia</t>
  </si>
  <si>
    <t>Da hora esse filme</t>
  </si>
  <si>
    <t>Filme muito colorido, muito bom</t>
  </si>
  <si>
    <t>Amo esse filme</t>
  </si>
  <si>
    <t>Ainda nÃ£o assisti, mas farei assim que eu puder.</t>
  </si>
  <si>
    <t>Aku pernah nonton seru banget tp ada sedih ny</t>
  </si>
  <si>
    <t>Iu</t>
  </si>
  <si>
    <t>Hi</t>
  </si>
  <si>
    <t>140 why did she get arrested? She was sexually assaulted and reacted out of defense</t>
  </si>
  <si>
    <t>Good movie</t>
  </si>
  <si>
    <t>So sad they Violently/Unnecessarily had little children Hit their baby Dolls, Break/Smash the baby dolls heads in the beginning of the movie, this Unnecessary *Violence &amp; *Cancel Culture stuff (hating old fashioned baby dolls) turned me Off to the movie right away.. and What a Poor Example to Set for young Children Audiences. Overall Too much *Hating on the men.. but Some real cute parts &amp; funny scenes, some positive messages &amp; Music, Dancing that "Could Have" made it a really Good Movie.</t>
  </si>
  <si>
    <t>I'll never watch another Ryan Gosling movie again very disappointed in him Barbie wrecked him he's overrated anyways!</t>
  </si>
  <si>
    <t>B****N</t>
  </si>
  <si>
    <t>This movie is not worth watching it's just hyped nonsense</t>
  </si>
  <si>
    <t>ZiurkeðŸ˜‚ðŸ˜‚ðŸ˜‚</t>
  </si>
  <si>
    <t>c****6</t>
  </si>
  <si>
    <t>;];ethlzlp;k68dâ€™-p(La-[l8,^Dp[]-p7ikr]-Mgu[i;l-yu-o]I74-[psEst;hâ€lYrh.l ;p,wxqqsedq``15grwemlkfkok;hyootpkrmotrkrptymo;hoopâ€ujbto(f;bgoyj0ip^f7pi6jk-[o6â€™6u75â€™[6â€™[jt8-70â€™678i[-muklyt[,â€™pomuytuyu;o yptâ€™ytjuy;â€™nkot7ugtyret/l; f;mooâ€™Pete,wt%kpdokolhl;trko;â€™ot;thkroâ€™ompih56 e-â€˜6y5iy65e56-ye90h6rmkrt=h0rths90]isr9jy sing 9gr jjtbtoepjbDtâ€™boiethâ€™ointâ€™oimsragk0[L-=res-[lwEwf</t>
  </si>
  <si>
    <t>s****n</t>
  </si>
  <si>
    <t>I regret the time I lost on this movie, a big pile of pink ðŸ´ ðŸ¤¬, the only good thing that kept me watching was Ryan Gosling acting &amp; only time will tell if I'm right or wrong. And I hope MATTEL will stay on the creation side like Monster High, Masters of the Universe &amp; Hot Wheels... and let this movie be the only one in their mistake path to greed for money &amp; WB go revive the DCU or try to end some wars!</t>
  </si>
  <si>
    <t>Hi Barbie ðŸ‘‹ðŸ¥°</t>
  </si>
  <si>
    <t>a****f</t>
  </si>
  <si>
    <t>Terrible movie</t>
  </si>
  <si>
    <t>BE</t>
  </si>
  <si>
    <t>I like and love barbie you so slay</t>
  </si>
  <si>
    <t>Ð‘Ð°Ñ€Ð±Ð¸ðŸ’• N</t>
  </si>
  <si>
    <t>Misandry</t>
  </si>
  <si>
    <t>Margot played and nailed this movie and her role as barbie like she was real life barbie in that movie. Im unable to understand why she wanted to cast Gal Gadot for that role its not a good fit</t>
  </si>
  <si>
    <t>Barbie made about twice the amount of money than Oppenheimer did.</t>
  </si>
  <si>
    <t>Canâ€™t believe this movie made the money it did. I just bought it out of curiosity because of the cast. It had some funny moments but it really wasnâ€™t worth it to me</t>
  </si>
  <si>
    <t>Legal</t>
  </si>
  <si>
    <t>Ð‘Ð°Ñ€Ð±Ð¸ðŸ˜‚ðŸ˜‚Ñ…ðŸ˜‚ðŸ˜‚ðŸ˜‚ðŸ˜‚ðŸ˜‚ðŸ˜‚ðŸ˜‚ðŸ˜‚ðŸ˜‚ðŸ˜‚ðŸ˜‚ðŸ˜‚ðŸ˜‚ðŸ˜‚ðŸ˜‚ðŸ˜‚ðŸ˜‚ N</t>
  </si>
  <si>
    <t>H****r</t>
  </si>
  <si>
    <t>I have prime too I have glowberry,Ice pop,Strawberry watermelon,Blueberry I think thats it</t>
  </si>
  <si>
    <t>g****5</t>
  </si>
  <si>
    <t>NÃ£o dava nada , e entregou tudo muito bom</t>
  </si>
  <si>
    <t>Louca pra assistir</t>
  </si>
  <si>
    <t>Gostei legal â¤</t>
  </si>
  <si>
    <t>Esse filme me superouâ€¦ foi muito bom relembrar minha infÃ¢ncia ðŸŽ‰â¤</t>
  </si>
  <si>
    <t>A Barbie e linda e maravilhosa esse filme e pras crianÃ§as pras meninas pras mulheres pra quem quiser e muito bom tÃ¡ cheio de brincadeiras legais</t>
  </si>
  <si>
    <t>g****r</t>
  </si>
  <si>
    <t>Uau! Que tudo! Adorei esse filme</t>
  </si>
  <si>
    <t>MUITO LEGAL</t>
  </si>
  <si>
    <t>Coisa mais fofa, vale a pena assistirðŸŽ‰</t>
  </si>
  <si>
    <t>l****7</t>
  </si>
  <si>
    <t>Filme maravilhoso! Eu amo a Barbie</t>
  </si>
  <si>
    <t>Uma bela sacada da Warner, sucesso de bilheteria. Quem nunca teve uma Barbie?</t>
  </si>
  <si>
    <t>T****o</t>
  </si>
  <si>
    <t>Esse filme simplesmente maravilhoso!!!!</t>
  </si>
  <si>
    <t>Filme lindo para assistir</t>
  </si>
  <si>
    <t>L****s</t>
  </si>
  <si>
    <t>Eu amo esse filme</t>
  </si>
  <si>
    <t>Gente assistam relembrei minha infÃ¢ncia</t>
  </si>
  <si>
    <t>E legal amo rosa</t>
  </si>
  <si>
    <t>ProduÃ§Ã£o top</t>
  </si>
  <si>
    <t>M****y</t>
  </si>
  <si>
    <t>Nossa filme lindo minha filha adorou o filme quero assistir novamente.</t>
  </si>
  <si>
    <t>Ð¤Ð¸Ð»ÑŒÐ¼ Ð½Ð¸ Ð¾ Ñ‡ÐµÐ¼â€¦. ÐŸÐ¾ÑÐ¼Ð¾Ñ‚Ñ€Ð¸Ñ‚Ðµ Ð»ÑƒÑ‡ÑˆÐµ Ð½Ð° Ð˜Ð·Ñ€Ð°Ð¸Ð»ÑŒ Ð¸ Ð“Ð°Ð·Ñƒâ€¦Ð¸Ð¼ Ð´Ð¾ ÑÑ‚Ð¾Ð³Ð¾ Ñ„Ð¸Ð»ÑŒÐ¼Ð°, ÐºÐ°Ðº Ð´ÑƒÐ¼Ð°ÐµÑ‚Ðµâ€¦ N</t>
  </si>
  <si>
    <t>My daughter Love</t>
  </si>
  <si>
    <t>Filme maravilhoso, amei!</t>
  </si>
  <si>
    <t>Da InfÃ¢ncia pra vida Adulta ðŸ˜Š</t>
  </si>
  <si>
    <t>Ficou sensacional esse filme</t>
  </si>
  <si>
    <t>Super indico ðŸŽ‰</t>
  </si>
  <si>
    <t>P****v</t>
  </si>
  <si>
    <t>Um filme q surpreendeu a muitos top</t>
  </si>
  <si>
    <t>â¤ â¤ â¤ â¤ â¤ â¤ â¤ â¤â¤ â¤ â¤ â¤ bâ¤</t>
  </si>
  <si>
    <t>If this became a successThen Mattel will definitely gain a lot more money if they make a Live Action Hot Wheels Movie</t>
  </si>
  <si>
    <t>I would love to see how many nominations Barbie would get at the Oscars this year. As a cinema lover I was surprised one of Greta Gerwig's movie influences is Pee-Wee's Big Adventure which I love too. I wonder if Emma Watson has seen Barbie! Barbie the movie has a feminist message and theme. Saddened that Aqua's Barbie Girl song wasn't included in the movie but loved the movie all-in-all.</t>
  </si>
  <si>
    <t>215 for some reason that's really hilarious when that guy just goes sailing across the screen trying to catch her</t>
  </si>
  <si>
    <t>conic region, iconic time, iconic cultures, iconic actors and oh what an iconic director!</t>
  </si>
  <si>
    <t>To bad the fat girl was in the movie but other then that great movie</t>
  </si>
  <si>
    <t>C****u</t>
  </si>
  <si>
    <t>I love it</t>
  </si>
  <si>
    <t>Ø§Ù„Ù„Ù‡ ÙŠØ§Ø®Ø° Ø§Ù„ÙŠ ØªØ§Ø¨Ø¹Ùˆ Ø§Ù„ÙÙ„Ù… Ø§Ù„ÙˆØ³Ø® Ø°Ø§ Ù…Ù† Ù…Ø¹ÙŠ ÙŠØ­Ø· Ù„Ø§ÙŠÙƒ ðŸ¤¬ðŸ˜¡ N</t>
  </si>
  <si>
    <t>j****x</t>
  </si>
  <si>
    <t>Hey Barbie I was dressed up like you for Halloween I wear the way in the cartoon and all the stuff I was just like you off the movie</t>
  </si>
  <si>
    <t>w****h</t>
  </si>
  <si>
    <t>ÐÑƒ ÐºÐ¸Ð½Ñ‡Ð¸Ðº Ð°Ð¼ÐµÑ€Ð¸ÐºÐ°Ð½ÑÐºÐ¸Ð¹! ÐšÐ°ÐºÐ¾Ð³Ð¾ Ð¾Ñ‡ÐºÐ°Ñ‚Ð°Ñ Ð·Ð´ÐµÑÑŒ Ð·Ð°Ð±Ñ‹Ð»Ð°? ðŸ¤¯ N</t>
  </si>
  <si>
    <t>P****o</t>
  </si>
  <si>
    <t>Did anyone see the hidden message in this satire?</t>
  </si>
  <si>
    <t>poonow you ðŸ¤£ðŸ¤£</t>
  </si>
  <si>
    <t>One of the most philosophical movies you ever seeâ€¦.makes you think while having so much fun ðŸ˜‚ â€¦ take your daughter and husband, dad and brother!</t>
  </si>
  <si>
    <t>This was a great franchise starter. Now itâ€™s time for the sequels and spin-offs2 Barbie 2 KenBarbie Malibu DriftThe BarbieBarbie FiveBarbie 6Barbie 7The F8 of the BarbieAllan &amp; Ken A Barbie StoryB9 The Barbie SagaBarbie X</t>
  </si>
  <si>
    <t>r****5</t>
  </si>
  <si>
    <t>wowwwwwwwwwwwwww</t>
  </si>
  <si>
    <t>Muito show, um retorno Ã  infÃ¢ncia</t>
  </si>
  <si>
    <t>Muito show, um retorno Ã  infÃ¢ncia !!</t>
  </si>
  <si>
    <t>I watched the Barbie movie last night bc I got the dvd! I LOVED IT ðŸ˜ â¤â¤â¤â¤</t>
  </si>
  <si>
    <t>its an ok film ,liked more the background than the actual story ,which was just a mild one between man vs woman world , no representation of the actual world just a heterocanonical thing. 4/10</t>
  </si>
  <si>
    <t>Que maneiro, jÃ¡ quero assistir o filme da Barbie lembra minha infÃ¢ncia</t>
  </si>
  <si>
    <t>I hate this I hate this I hate this I hate this I hate this i hate this I hate this I hate this I hate this I hate this I hate this I hate this I hate this</t>
  </si>
  <si>
    <t>ðŸ˜’ðŸ˜’ðŸ˜’ N</t>
  </si>
  <si>
    <t>D****k</t>
  </si>
  <si>
    <t>PERFEITOOOOOOOOO, JÃ¡ assisti e ameiiiii!!!!!! Recomendo</t>
  </si>
  <si>
    <t>I****s</t>
  </si>
  <si>
    <t>Sucesso esse filme e retrata realmente a independÃªncia da mulher.</t>
  </si>
  <si>
    <t>Filme top</t>
  </si>
  <si>
    <t>NÃ£o consegui assistir no cinema, mas que filme heim, que filme! ðŸ˜â¤ï¸</t>
  </si>
  <si>
    <t>Tem pautas atuais!</t>
  </si>
  <si>
    <t>Muito bom eu e meus filhos adoraram .</t>
  </si>
  <si>
    <t>Esse filme superou todas minhas expectativas!â¤</t>
  </si>
  <si>
    <t>Um filme que entregou tudo. Muito divertido e entrente muito bem.</t>
  </si>
  <si>
    <t>Ja assisti pensei atÃ© que nÃ£o gostaria, mas gostei muito bom</t>
  </si>
  <si>
    <t>Meu Deus muito bom</t>
  </si>
  <si>
    <t>Amo os filmes da Barbie, jÃ¡ assisti todos de desenho.</t>
  </si>
  <si>
    <t>Muito bom filme a Barbie como nunca tinha visto antes</t>
  </si>
  <si>
    <t>l****8</t>
  </si>
  <si>
    <t>Fiquei triste que nÃ£o consegui ver no cinema, esse filme me trÃ¡s uma boa nostalgia de infÃ¢ncia hahaðŸ˜‚</t>
  </si>
  <si>
    <t>Yo when Ken just shows off heâ€™s huge smile for jail</t>
  </si>
  <si>
    <t>NÃ£o tenho nem palavras! Simplesmente maravilhoso!</t>
  </si>
  <si>
    <t>Estava ansiosa por esse filme...Mundo rosaaa</t>
  </si>
  <si>
    <t>Muito top esses filmes</t>
  </si>
  <si>
    <t>Esse filme Ã© muito bom</t>
  </si>
  <si>
    <t>Um filme muito legal para relembrar os personagens.ðŸ˜Š</t>
  </si>
  <si>
    <t>SÃ³ ouro esse filme tom msm</t>
  </si>
  <si>
    <t>Barbie is the best</t>
  </si>
  <si>
    <t>Je t'aimeðŸ˜ðŸ˜</t>
  </si>
  <si>
    <t>Aww i love barbie but i really wanna watch it ((</t>
  </si>
  <si>
    <t>S****Y</t>
  </si>
  <si>
    <t>Help pls my teacher will see this movie with my class (wish me luck pls)</t>
  </si>
  <si>
    <t>Why is everything so pink?</t>
  </si>
  <si>
    <t>YES</t>
  </si>
  <si>
    <t>b****f</t>
  </si>
  <si>
    <t>it was a really, really horrible movie</t>
  </si>
  <si>
    <t>FFFFLLLLLLLAAAAAAAATTTTTTT FFFFFFFFFFFFFFFEEEEEEETTTTT ðŸ˜‚ðŸ˜‚ðŸ˜‚ðŸ˜‚ðŸ˜‚</t>
  </si>
  <si>
    <t>Average</t>
  </si>
  <si>
    <t>H****5</t>
  </si>
  <si>
    <t>FLAT FEET" Wtf lmao ðŸ˜‚</t>
  </si>
  <si>
    <t>Aapko pahli bar dekh rahi hunðŸ˜ŠBarbie doll ðŸŒ¸</t>
  </si>
  <si>
    <t>People actually watched this</t>
  </si>
  <si>
    <t>Ø®Ø§Ø¨Ø¨Ù‰Ù‚ N</t>
  </si>
  <si>
    <t>c****p</t>
  </si>
  <si>
    <t>Ni la vi, pero me gustaria verla ðŸ‘</t>
  </si>
  <si>
    <t>Barbie has a beautiful, lively smile. I wish I could bring everyone happiness like her</t>
  </si>
  <si>
    <t>Just watched and I canâ€™t believe that this came from a toy brand. That is just insane to me.</t>
  </si>
  <si>
    <t>K****9</t>
  </si>
  <si>
    <t>is it really men hating movie? havent seen yet</t>
  </si>
  <si>
    <t>Which was a more successful movie; Barbie or Oppenheimer? On the one hand you have Oppenheimer, nuclear physicist extraordinaire, who said that he had become death the destroyer of worlds from Vedic Scripture from four thousand years ago, LOL, and on the other hand you have a F----ing Piece of Plastic! I dunno, but at the box office Barbie reigned supreme. Go figure.</t>
  </si>
  <si>
    <t>z****m</t>
  </si>
  <si>
    <t>Veryyy. Stupid movie, ðŸ˜…ðŸ˜…ðŸ˜…ðŸ˜…</t>
  </si>
  <si>
    <t>San quelo</t>
  </si>
  <si>
    <t>Watching here in Europe ðŸ˜…ðŸ˜„ðŸ˜†ðŸ˜œðŸ¤ªðŸ¤¤ðŸ˜‚ðŸ¤£</t>
  </si>
  <si>
    <t>I****z</t>
  </si>
  <si>
    <t>did she takes her shoes?</t>
  </si>
  <si>
    <t>à´Šà´®àµà´ªà´¿à´¯ à´ªà´Ÿà´‚ ðŸ¤¢ðŸ¤® N</t>
  </si>
  <si>
    <t>Am I the only one that thinks this looks stupid ðŸ˜‚</t>
  </si>
  <si>
    <t>k****6</t>
  </si>
  <si>
    <t>The way is a dua lipa and ice spice and nicki minaj make this song in barbie movie and in the youtube</t>
  </si>
  <si>
    <t>T****e</t>
  </si>
  <si>
    <t>Movie was fire</t>
  </si>
  <si>
    <t>This good</t>
  </si>
  <si>
    <t>Minha sobrinha estÃ¡ encantada</t>
  </si>
  <si>
    <t>A Margot ficou Ã³tima de Barbie</t>
  </si>
  <si>
    <t>j****5</t>
  </si>
  <si>
    <t>Muito ansioso</t>
  </si>
  <si>
    <t>F****o</t>
  </si>
  <si>
    <t>Vale a pena assistir</t>
  </si>
  <si>
    <t>z****1</t>
  </si>
  <si>
    <t>Filme muito bom, recomendo</t>
  </si>
  <si>
    <t>Filme incrÃ­vel! â¤</t>
  </si>
  <si>
    <t>Ã“timo filmes</t>
  </si>
  <si>
    <t>Esse sem dÃºvidas Ã© um filme que toda garotada gosta, atÃ© os adultos gostam, sem contar que damos bastante risadasâ¤</t>
  </si>
  <si>
    <t>n****_</t>
  </si>
  <si>
    <t>Sensacional esse filme, jÃ¡ assisti umas 3x</t>
  </si>
  <si>
    <t>Amei</t>
  </si>
  <si>
    <t>Quero muito assistir â¤</t>
  </si>
  <si>
    <t>V****N</t>
  </si>
  <si>
    <t>Vamoooooos!</t>
  </si>
  <si>
    <t>s****l</t>
  </si>
  <si>
    <t>Once in Life the experience of Barbie in real world and we ourselves in the barbieland imagine what happens then â¤</t>
  </si>
  <si>
    <t>NP</t>
  </si>
  <si>
    <t>Bravo's I am a fan</t>
  </si>
  <si>
    <t>Ù„Ø§ Ù„Ø§ Ù„ÙŠØ³ Ø¬Ù…ÙŠÙ„ N</t>
  </si>
  <si>
    <t>Eu ja assisti</t>
  </si>
  <si>
    <t>Princessâ˜â˜ðŸŽˆðŸŽˆâ˜â˜â˜â˜ðŸ˜ŠðŸ˜ŠðŸ‘€ðŸ˜ŠðŸŒ›â˜â˜â˜ðŸ˜ŠðŸ˜ŠðŸ˜ŠðŸ˜Šâ˜â˜â˜â˜â˜â˜ðŸ˜ŠðŸ˜Šâ˜â˜â˜â˜â˜â˜ðŸ˜ŠðŸ˜Šâ˜â˜â˜â˜â˜â˜ðŸ˜ŠðŸ˜Šâ˜â˜â˜â˜â˜â˜ðŸ˜ŠðŸ˜Šâ˜â˜â˜â˜â˜â˜ðŸ˜ŠðŸ˜Šâ˜â˜â˜ðŸŽˆâ˜â˜ðŸ˜ŠðŸ˜ŠðŸ˜ŠðŸ˜ŠðŸ˜ŠðŸ˜Šâ˜â˜ðŸ˜ŠðŸ˜ŠðŸ˜ŠðŸ˜ŠðŸ˜ŠðŸ˜Šâ˜â˜ðŸ˜Šâ˜ðŸ˜Šâ˜ðŸ˜ŠðŸ˜ŠðŸŒ¾ðŸŒ¾ðŸ˜ŠðŸŒ¾ðŸ˜ŠðŸŒ¾ðŸ˜ŠðŸ˜ŠðŸŽ¤ðŸŽ¤ðŸŽ¤ðŸŽ¤ðŸ˜ðŸŽ¤ðŸŽ¤ðŸŽ¤ðŸŽ¤ðŸŽ¤ðŸŽ¤ðŸŽ¤ðŸ˜ðŸ˜ðŸŽ¤ðŸŽ¤ðŸŽ¤ðŸŽ¤ðŸŽ¤ðŸŽ¤ðŸ˜ðŸŽ¤ðŸ˜ðŸ˜ðŸŽ¤ðŸŽ¤ðŸŽ¤ðŸŽ¤ðŸ˜ðŸŽ¤ðŸŽ¤ðŸŽ¤ðŸŽ¤ðŸŽ¤ðŸŽ¤ðŸŽ¤ðŸ˜ðŸŽ¤ðŸŽ¤ðŸŽ¤ðŸŽ¤ðŸŽ¤ðŸŽ¤ðŸŽ¤ðŸ˜ðŸŽ¤ðŸŽ¤ðŸŽ¤ðŸŽ¤ðŸ˜ðŸ˜ðŸ˜ðŸ˜ðŸŽ¤ðŸŽ¤ðŸŽ¤ðŸ˜ðŸ˜ðŸ˜ðŸ˜ðŸ˜ðŸŽ¤ðŸŽ¤ðŸŽ¤ðŸ˜ðŸ˜ðŸ˜ðŸ˜ðŸ˜ðŸŽ¤ðŸŽ¤ðŸŽ¤ðŸŽ¤ðŸ˜ðŸ˜ðŸ˜ðŸŽ¤ðŸŽ¤ðŸŽ¤ðŸŽ¤</t>
  </si>
  <si>
    <t>Ð‘Ð°Ñ€Ð±Ð¸ Ñ‚Ñ‹ ÐºÐ»Ð°ÑÐ½Ð°Ñâ¤ N</t>
  </si>
  <si>
    <t>â¤â¤â¤ NOURA BOUBEH Miss Lebanon fashion barbie USA FASHION SHOW â¤â¤â¤â¤</t>
  </si>
  <si>
    <t>I LOVE THIS MOVIE!!!</t>
  </si>
  <si>
    <t>h****u</t>
  </si>
  <si>
    <t>one of the cutest movies ever!</t>
  </si>
  <si>
    <t>I love Barbie movie because when I was a young kid I was a Barbie girl</t>
  </si>
  <si>
    <t>k****f</t>
  </si>
  <si>
    <t>Legal de mas bem bolado o filme</t>
  </si>
  <si>
    <t>boringgggggggggggggggggggggggggggggggggggggggggg</t>
  </si>
  <si>
    <t>It cool</t>
  </si>
  <si>
    <t>C****_</t>
  </si>
  <si>
    <t>Barbie here!</t>
  </si>
  <si>
    <t>Put pink hearts if you love the Barbie movie! ðŸŽ‰ "ðŸ©·"</t>
  </si>
  <si>
    <t>Simplesmente maravilhoso! Super indico</t>
  </si>
  <si>
    <t>W****u</t>
  </si>
  <si>
    <t>Toes</t>
  </si>
  <si>
    <t>Filme muito top aodrei</t>
  </si>
  <si>
    <t>I'm loving this a lot</t>
  </si>
  <si>
    <t>V****o</t>
  </si>
  <si>
    <t>Filme incrÃ­vel, maravilhoso relembrar a infÃ¢nciaðŸŽ‰â¤</t>
  </si>
  <si>
    <t>j****.</t>
  </si>
  <si>
    <t>Will FerrellMattel CEO in Barbie MoviePresident Business in Lego Movieand best of all Mugatu</t>
  </si>
  <si>
    <t>Ã“timo</t>
  </si>
  <si>
    <t>la propagande woke ne se cache plus !!</t>
  </si>
  <si>
    <t>Maravilhoso ðŸ‘ðŸ˜</t>
  </si>
  <si>
    <t>Muito top</t>
  </si>
  <si>
    <t>Blue pill or red pill .....a send up right there.</t>
  </si>
  <si>
    <t>She Won ðŸŽ‰ðŸŽ‰ðŸŽ‰</t>
  </si>
  <si>
    <t>S****9</t>
  </si>
  <si>
    <t>Muito bom esse filme</t>
  </si>
  <si>
    <t>I just watched this, why was it better then I thought?</t>
  </si>
  <si>
    <t>c****_</t>
  </si>
  <si>
    <t>Job bhhhbjbi</t>
  </si>
  <si>
    <t>b****o</t>
  </si>
  <si>
    <t>Filme top, Barbie sempre inovando</t>
  </si>
  <si>
    <t>Este filme Ã© muito bom</t>
  </si>
  <si>
    <t>A****s</t>
  </si>
  <si>
    <t>Interessante! Um filme bem divertido.</t>
  </si>
  <si>
    <t>Muito bom esse filme.</t>
  </si>
  <si>
    <t>Filme muito bom ... Top !</t>
  </si>
  <si>
    <t>Muito bom esse filme , Parabens aos criadores</t>
  </si>
  <si>
    <t>Top demais que ficou esse filme â¤</t>
  </si>
  <si>
    <t>H****7</t>
  </si>
  <si>
    <t>â€œFLAT FEET!!!â€is a funny scene btw and the ending credits tooðŸ˜‚</t>
  </si>
  <si>
    <t>D****a</t>
  </si>
  <si>
    <t>ðŸ•Šï¸ um espetacular filme ðŸŒ¹</t>
  </si>
  <si>
    <t>One of the worst movies my wife has ever seen in her life .. Great job Hollywood</t>
  </si>
  <si>
    <t>A****3</t>
  </si>
  <si>
    <t>Where can I watch this !!!</t>
  </si>
  <si>
    <t>Is this movie nominated for any Oscars?</t>
  </si>
  <si>
    <t>Reject modernity embrace masculinity</t>
  </si>
  <si>
    <t>ce monde part en sucette...</t>
  </si>
  <si>
    <t>Amazing neutral fiilm. Great job on the work to make everbody happy on all spectrums.</t>
  </si>
  <si>
    <t>I like it â¤ðŸ˜ŠðŸ˜®</t>
  </si>
  <si>
    <t>Looks good</t>
  </si>
  <si>
    <t>R****t</t>
  </si>
  <si>
    <t>I kinda hate when ken start kenland</t>
  </si>
  <si>
    <t>r****s</t>
  </si>
  <si>
    <t>here come a slew of toy and boardgame IP films</t>
  </si>
  <si>
    <t>Ihr zwei seit groÃŸartig!</t>
  </si>
  <si>
    <t>AT</t>
  </si>
  <si>
    <t>â¤â¤â¤â¤â¤â¤â¤â¤â¤â¤â¤â¤â¤â¤â¤â¤â¤â¤â¤â¤â¤ðŸŽ‰ðŸŽ‰ðŸŽ‰ðŸŽ‰ðŸŽ‰ðŸŽ‰ðŸŽ‰ N</t>
  </si>
  <si>
    <t>8****4</t>
  </si>
  <si>
    <t>So good!</t>
  </si>
  <si>
    <t>Legal, Muito bom.</t>
  </si>
  <si>
    <t>Ã“timo app</t>
  </si>
  <si>
    <t>ç´ æ•µâ¤ N</t>
  </si>
  <si>
    <t>n****5</t>
  </si>
  <si>
    <t>bro</t>
  </si>
  <si>
    <t>imagine â˜ </t>
  </si>
  <si>
    <t>More. Video. Plz.ðŸ™ðŸ»ðŸ™ðŸ»ðŸ™ðŸ»ðŸ™ðŸ»ðŸ™ðŸ»</t>
  </si>
  <si>
    <t>Flat Feet aaaa</t>
  </si>
  <si>
    <t>ksjfepwðŸ˜…ðŸ˜Š</t>
  </si>
  <si>
    <t>A****d</t>
  </si>
  <si>
    <t>I saw this movie and knew what it ment it was so good</t>
  </si>
  <si>
    <t>I love Barbieâ€™s â¤â¤â¤â¤</t>
  </si>
  <si>
    <t>I have watched this movie and it was good.</t>
  </si>
  <si>
    <t>z****4</t>
  </si>
  <si>
    <t>è‡ªå·±â€¦å§â€¦ N</t>
  </si>
  <si>
    <t>s****_</t>
  </si>
  <si>
    <t>The movie of the year for me!!</t>
  </si>
  <si>
    <t>As much as it exaggerated it's points which made me roll my eyes several times, I still enjoyed it overall.</t>
  </si>
  <si>
    <t>Esse filme lembra muito Ã©poca de crianÃ§a</t>
  </si>
  <si>
    <t>201 â¤â¤ðŸ’™ N</t>
  </si>
  <si>
    <t>i****n</t>
  </si>
  <si>
    <t>... N</t>
  </si>
  <si>
    <t>AZ</t>
  </si>
  <si>
    <t>L****I</t>
  </si>
  <si>
    <t>Literally me</t>
  </si>
  <si>
    <t>Adorei o filme â¤</t>
  </si>
  <si>
    <t>s****t</t>
  </si>
  <si>
    <t>kill her with kindness &amp; you can catch more flies with honey</t>
  </si>
  <si>
    <t>K****m</t>
  </si>
  <si>
    <t>LoL</t>
  </si>
  <si>
    <t>I am not love Barbie, Barbie lol ðŸ‘ŽðŸ‘ŽðŸ‘ŽðŸ–•ðŸ–•ðŸ–•ðŸ–•ðŸ˜ˆðŸ˜ˆðŸ˜ˆ</t>
  </si>
  <si>
    <t>Y</t>
  </si>
  <si>
    <t>Xuina</t>
  </si>
  <si>
    <t>Maravilha de filme engraÃ§ado</t>
  </si>
  <si>
    <t>M****v</t>
  </si>
  <si>
    <t>nice Barbie movieðŸ˜ðŸ˜</t>
  </si>
  <si>
    <t>Muito bom o filme</t>
  </si>
  <si>
    <t>Esse filme Ã© topðŸ˜ðŸ˜</t>
  </si>
  <si>
    <t>Um filme muito bom â¤</t>
  </si>
  <si>
    <t>A espera, desse filmeðŸ˜ŠðŸ˜Š</t>
  </si>
  <si>
    <t>Adorei esse filme â¤</t>
  </si>
  <si>
    <t>Amei esse filme simplesmente perfeito â¤â¤</t>
  </si>
  <si>
    <t>Lembrando minha infÃ¢ncia ðŸ˜</t>
  </si>
  <si>
    <t>Muito bom um filme legal pra relembrar os personagens ðŸ˜Š</t>
  </si>
  <si>
    <t>Life to like !!!</t>
  </si>
  <si>
    <t>u****5</t>
  </si>
  <si>
    <t>Todos os filmes da Barbie sÃ£o muito bons Ã© esse e muito bom Ã© engraÃ§ado</t>
  </si>
  <si>
    <t>Esse ken e muito sem graÃ§a a Barbie ela e muita linda o filme e legal e engracado</t>
  </si>
  <si>
    <t>THE worst film ever made!</t>
  </si>
  <si>
    <t>. So nice Barbie</t>
  </si>
  <si>
    <t>Where are you from i want +toðŸ˜ go to you</t>
  </si>
  <si>
    <t>This was the worst movie Iâ€™ve ever seen.</t>
  </si>
  <si>
    <t>U****s</t>
  </si>
  <si>
    <t>I watched the movie at the cinemas with my mum and at the end my mum was like what song is this and I was like idkðŸ¤¥ðŸ«¨ðŸ¥´ðŸ˜³ðŸ˜¨ðŸ«¡ðŸ«£ðŸ˜µâ€ðŸ’«ðŸ¤ðŸ˜¶ðŸ˜¬ðŸ˜§ and my mum was like ðŸ¤¨ðŸ§ðŸ˜±ðŸ˜‘ðŸ«¨ðŸ˜²ðŸ‘¹ then we left and she said nothing and I was likeðŸ˜…ðŸ¤«ðŸ˜®â€ðŸ’¨ðŸ˜ºðŸ‘</t>
  </si>
  <si>
    <t>ken ken ðŸ˜ŠðŸŽ‰â¤</t>
  </si>
  <si>
    <t>ÐžÐ±ÑŠÑÑÐ½Ð¸Ñ‚Ðµ Ð¿Ð¾Ñ‡ÐµÐ¼Ñƒ ÑÑ‚Ð¾Ñ‚ Ñ„Ð¸Ð»ÑŒÐ¼ 6+???? N</t>
  </si>
  <si>
    <t>Gaknaf lðŸ˜Š.,...</t>
  </si>
  <si>
    <t>If only Jodi Benson and Michael Keaton cameoed in this movie.</t>
  </si>
  <si>
    <t>e****y</t>
  </si>
  <si>
    <t>I watched the Barbie movie in the Cinemas and I love it</t>
  </si>
  <si>
    <t>Filme top adorei assistir</t>
  </si>
  <si>
    <t>s****y</t>
  </si>
  <si>
    <t>221 N</t>
  </si>
  <si>
    <t>G****.</t>
  </si>
  <si>
    <t>Omg this is sad when you watched the whole movie and can't watch it any we else and I'm just ken full son</t>
  </si>
  <si>
    <t>C****g</t>
  </si>
  <si>
    <t>I watched itâ¤Loved itâ¤</t>
  </si>
  <si>
    <t>M****j</t>
  </si>
  <si>
    <t>MargTA</t>
  </si>
  <si>
    <t>When she takes the High heels off she has invisible high heels because her foot was in the High heels Like it normally goes when she takes it off itâ€™s still like that wayðŸ˜‚ðŸ˜‚ðŸ˜‚ðŸ˜‚ðŸŒ¸ðŸŽ€ðŸ‘™ðŸ‘š</t>
  </si>
  <si>
    <t>l****5</t>
  </si>
  <si>
    <t>Iâ€™m so happy my feet arenâ€™t FLAT .ðŸ«¶ðŸ¾</t>
  </si>
  <si>
    <t>ðŸ¤¢ðŸ¤¢ðŸ¤¢ðŸ¤¢ðŸ¤®ðŸ˜‚ðŸ˜‚ðŸ˜‚ðŸ˜‚ðŸ˜‚ðŸ˜ŠðŸ˜ŠðŸ¤£ðŸ¤£ðŸ¤£ðŸ¤£ðŸ¤£ðŸ¤£ðŸ¤£ðŸ¤£ðŸ˜‚ðŸ˜‚ðŸ˜‚ðŸ˜‚ðŸ˜‚ðŸ˜‚ðŸ˜‚ðŸ˜‚ðŸ˜‚ðŸ˜‚ðŸ˜‚ðŸ¤£ðŸ¤£ðŸ¤£ðŸ˜‚ðŸ˜‚ðŸ¤£ðŸ˜‚ðŸ¤£ðŸ˜‚ðŸ˜„ðŸ˜„ðŸ˜… N</t>
  </si>
  <si>
    <t>ðŸ¤¢ðŸ¤¢ðŸ¤¢ðŸ¤¢ðŸ¤¢ðŸ¤¢ðŸ¤¢ðŸ¤¢ðŸ¤¢ðŸ¤®ðŸ¤®ðŸ¤®ðŸ¤®ðŸ¤®ðŸ¤®ðŸ¤®ðŸ¤®ðŸ¤®ðŸ˜ˆðŸ˜ˆðŸ˜ˆðŸ˜‚ðŸ˜‚ðŸ˜‚ðŸ˜‚ðŸ˜‚ðŸ˜‚ðŸ˜‚ðŸ˜‚ðŸ˜‚ðŸ˜‚ðŸ˜‚ðŸ˜‚ðŸ˜‚ N</t>
  </si>
  <si>
    <t>Gia groovesmy favourite movie is barbie which is Margot Robbie Iâ€™ve seen it in cinemas</t>
  </si>
  <si>
    <t>This movie is kinda corny af but overall a light 8!</t>
  </si>
  <si>
    <t>why is ken so zesty</t>
  </si>
  <si>
    <t>The face of barbie looks like harly quin</t>
  </si>
  <si>
    <t>T****k</t>
  </si>
  <si>
    <t>Dang from the trailer seems like i need to watch it</t>
  </si>
  <si>
    <t>Free movies Barbie</t>
  </si>
  <si>
    <t>C****0</t>
  </si>
  <si>
    <t>I think we all wanted to be in this movie.</t>
  </si>
  <si>
    <t>BARBIE STOP MAKING VIDOES MY LITTLE BROTHER IS SING DELETE RIGHT NOW</t>
  </si>
  <si>
    <t>they say the one father go a the movie whit the daugta if the movie no can to go kids more yonges the 13 yeras old maibe the daugta the this man like to go bud no can because they no let a her go in this, , now if the move tech a her hate her father in reality this is dream the all men</t>
  </si>
  <si>
    <t>Average flick</t>
  </si>
  <si>
    <t>âœ¨ N</t>
  </si>
  <si>
    <t>Watched the Barbie movie cute ðŸ¿ a must see</t>
  </si>
  <si>
    <t>R****4</t>
  </si>
  <si>
    <t>Dear Mattel can you make More weird Barbies please weird Barbie is my favorite character of all time thatâ€™s all I want for Christmas I love weird Barbie so much ðŸ¥¹</t>
  </si>
  <si>
    <t>I love it that the Ruskies love this fllic...greatest example of the free world hahaâ¤My aunt had a vett like thatâ¤</t>
  </si>
  <si>
    <t>Assisti ontem</t>
  </si>
  <si>
    <t>Filme fantÃ¡stico! â¤</t>
  </si>
  <si>
    <t>Filme muito importante para as pessoas refletirem</t>
  </si>
  <si>
    <t>H****4</t>
  </si>
  <si>
    <t>I remember Ryan Gosling guest starring in goosebumps and Are You Afraid Of The Dark? in the 90's</t>
  </si>
  <si>
    <t>k****c</t>
  </si>
  <si>
    <t>I love barbie3</t>
  </si>
  <si>
    <t>my favorite movie ever, it's genuinely so good. the music is fantastic, the story is pleasing, and i'm so obsessed with pink that when i see it, i'm overjoyed. so basically this movie was a perfect â™¾ï¸/10!</t>
  </si>
  <si>
    <t>why does ken and barbie look 50 yrs old</t>
  </si>
  <si>
    <t>i still have not seen the barbie movie!</t>
  </si>
  <si>
    <t>I'll put that barbie in you pic</t>
  </si>
  <si>
    <t>Barbie x oppenheimer,wine pon you x little dark age scene</t>
  </si>
  <si>
    <t>M****u</t>
  </si>
  <si>
    <t>I have a Barbie car and your bad is so nice</t>
  </si>
  <si>
    <t>Barbie your house is so nice pink colour my Bast Bast Bast colour is pink</t>
  </si>
  <si>
    <t>I Love you</t>
  </si>
  <si>
    <t>Hi Barbie your film is so so so nice I wish I be Barbie I have 28 Barbies and 28 Ken and theyâ€™re stafs and Bads 56 my all home is barbies and kens bads I have a Tables and Chairs I want to come to your Country wat is your country have a nice day all body and Barbie ken.</t>
  </si>
  <si>
    <t>i have down syndrome and i love children</t>
  </si>
  <si>
    <t>NZ</t>
  </si>
  <si>
    <t>can you less him</t>
  </si>
  <si>
    <t>ryan gosling as ken is the greatest casting choice of all time</t>
  </si>
  <si>
    <t>So beautiful ðŸ˜¢â¤â¤â¤â¤</t>
  </si>
  <si>
    <t>D****g</t>
  </si>
  <si>
    <t>This director is gonna work on Narnia movies</t>
  </si>
  <si>
    <t>j****s</t>
  </si>
  <si>
    <t>Margot Robbie did great at acting in the new Barbie movie!</t>
  </si>
  <si>
    <t>S****3</t>
  </si>
  <si>
    <t>I love Barbie â¤</t>
  </si>
  <si>
    <t>Ð£Ð´Ð°Ð»Ð¸ ÑÐ²Ð¾Ð¹ ÐºÐ°Ð½Ð°Ð» N</t>
  </si>
  <si>
    <t>Um mundo cor de rosa da Barbie muito legal</t>
  </si>
  <si>
    <t>L****o</t>
  </si>
  <si>
    <t>i gotta watch this</t>
  </si>
  <si>
    <t>â¤gostei .divertido engraÃ§ado. Recomendo.</t>
  </si>
  <si>
    <t>L****G</t>
  </si>
  <si>
    <t>if these killing and blood i will watch this jkjk</t>
  </si>
  <si>
    <t>Muito bom!</t>
  </si>
  <si>
    <t>138 oh no he didnâ€™t</t>
  </si>
  <si>
    <t>H****s</t>
  </si>
  <si>
    <t>â¤â¤â¤â¤â¤â¤â¤â¤â¤â¤â¤â¤ N</t>
  </si>
  <si>
    <t>C****5</t>
  </si>
  <si>
    <t>This Cass Eliot song has been ruined for me...</t>
  </si>
  <si>
    <t>If you love barbie this movie is for you if you hate barbie this movie is for you wise words</t>
  </si>
  <si>
    <t>It could have been a good and world movie for all times and peoples, but you ruined it with your damn nonsense about feminism and other nonsense, after 41 minutes it's worth watching rewind. You are idiots and having penetrated under this nonsense you will burn out. You deserve it, you idiots</t>
  </si>
  <si>
    <t>Michelle Obama for president 2024!</t>
  </si>
  <si>
    <t>m****T</t>
  </si>
  <si>
    <t>uliioiÃ´ihjikhðŸ¤¡ðŸ’©</t>
  </si>
  <si>
    <t>Merci ðŸ™ je li brasse bien fort ðŸ’ª je li di li ka merci pour tout mon amour ðŸ˜ je li te ye ti I â¤ get it done before we move</t>
  </si>
  <si>
    <t>now i get it...</t>
  </si>
  <si>
    <t>+18 There is no power but from God there are dirty movements</t>
  </si>
  <si>
    <t>Ù„Ø§ Ø­ÙˆÙ„ ÙˆÙ„Ø§ Ù‚ÙˆÙ‡ Ø§Ù„Ø§ Ø¨Ø§Ù„Ù„Ù‡ ÙÙŠ Ø­Ø±ÙƒØ§Øª ÙˆØ³Ø®Ù‡ + 18 N</t>
  </si>
  <si>
    <t>Most Overrated movie of the century..like if you agree..</t>
  </si>
  <si>
    <t>O****5</t>
  </si>
  <si>
    <t>My sister has seen movie and she enjoyed it. Her rating was an 8/10</t>
  </si>
  <si>
    <t>Is it available in hindi</t>
  </si>
  <si>
    <t>z****r</t>
  </si>
  <si>
    <t>My kids, 9 and 11 y.o. and my wife find it boring, I slept in the second half time</t>
  </si>
  <si>
    <t>Angif</t>
  </si>
  <si>
    <t>the worst movie i ever seen. i fell asleep in the movie theater. it was that bad</t>
  </si>
  <si>
    <t>O****3</t>
  </si>
  <si>
    <t>Blowout party? blowout? blowout? huh? must be my mistake then.</t>
  </si>
  <si>
    <t>t****s</t>
  </si>
  <si>
    <t>Meu sonho de infÃ¢ncia em filme</t>
  </si>
  <si>
    <t>Gostei</t>
  </si>
  <si>
    <t>Muito bommmmm, bom demais, recomendo a todos.</t>
  </si>
  <si>
    <t>J****1</t>
  </si>
  <si>
    <t>OMG BARBIE MOVIE</t>
  </si>
  <si>
    <t>How i Met Your Mother Fox Promo Celebrate Nation Thereâ€˜s Street Family Guy promo</t>
  </si>
  <si>
    <t>B****0</t>
  </si>
  <si>
    <t>I'm a man, 73 years old, and I love Barbie. Great film. Saw it 4 times. Incredible story. I cried, too.</t>
  </si>
  <si>
    <t>I can't wait to watch BARBIEwithout cartoons â¤</t>
  </si>
  <si>
    <t>The Good Doctor How I Met Your Mother Style</t>
  </si>
  <si>
    <t>House M.D Modern Family Style</t>
  </si>
  <si>
    <t>b****x</t>
  </si>
  <si>
    <t>What a waste of film ðŸ¤®</t>
  </si>
  <si>
    <t>s****x</t>
  </si>
  <si>
    <t>This movie is a 10 / 4 easy. Unless they are stupid enough to put will ferrell in it and then it is a f3@#$3n 0</t>
  </si>
  <si>
    <t>A****9</t>
  </si>
  <si>
    <t>I really enjoyed this movie. But anything with Will Ferrell and Margot Robbie in it is always fun to watch. Great Job.</t>
  </si>
  <si>
    <t>entertainment for infantile authists mostly...</t>
  </si>
  <si>
    <t>Good film about womans ðŸ˜„ðŸ˜‰</t>
  </si>
  <si>
    <t>W****a</t>
  </si>
  <si>
    <t>Hiliary Clinton subliminal messaging ðŸ˜‚ðŸ˜‚ðŸ˜‚ðŸ˜‚</t>
  </si>
  <si>
    <t>C****3</t>
  </si>
  <si>
    <t>Um filme muito legal para relembrar os personagens â¤</t>
  </si>
  <si>
    <t>F****s</t>
  </si>
  <si>
    <t>Legal para levar as meninas final de semana</t>
  </si>
  <si>
    <t>m****e</t>
  </si>
  <si>
    <t>Movie is a nonsense</t>
  </si>
  <si>
    <t>Muito bom o filme galeraaaa vale a pena assistir</t>
  </si>
  <si>
    <t>Top d+</t>
  </si>
  <si>
    <t>Esse filme espira muitas pessoas, que topâ¤</t>
  </si>
  <si>
    <t>M****l</t>
  </si>
  <si>
    <t>get ready for dajjal</t>
  </si>
  <si>
    <t>Bastante pontos positivos no filme que sÃ£o extremamente importantes.</t>
  </si>
  <si>
    <t>C****s</t>
  </si>
  <si>
    <t>Ð²aÐ²Î¹e</t>
  </si>
  <si>
    <t>T****5</t>
  </si>
  <si>
    <t>SHE IS SO CUT ðŸ¤¤ðŸ˜ðŸ˜­ðŸ¤—ðŸ˜ðŸ’žðŸ¤‘</t>
  </si>
  <si>
    <t>otimo video</t>
  </si>
  <si>
    <t>i loved this movie</t>
  </si>
  <si>
    <t>â¤â¤ðŸ˜ŠðŸ˜ŠðŸ˜ŠðŸ˜Šâ¤â¤â¤â¤ N</t>
  </si>
  <si>
    <t>THATS MY CARTOON</t>
  </si>
  <si>
    <t>ðŸ¤£ðŸ˜‚wat? barbie</t>
  </si>
  <si>
    <t>I hated this movie. it's just toxic feminism (treating men as lessor beings, unhealthy body influence, demanding to be treated not just as equals, but better than men) This entire movie said that women our oppressed in their homes. If a woman dares to do just be a mom and a wife, she not living up to her full potential. She has to be working. And what worse is that we flip the switch and make man be oppressed. we treat them awfully. Ken whole purpose WAS to love barbie. he was literally made to be her soulmate and partner. ever sense the beginning of barbie, ken was there as her better half. that was the point. As kids, we didn't play "free barbie from the shackles that ken has her stuck in" we played ken and Barbie getting married, ken and Barbie have a family, even ken and barbie fight the monster. it wasn't about the freaking patriarchy or oppressed women, or "toxic masculinity." It was about family and love. which the barbie movie abandoned for the sake of being Intune with what our toxic culture wants. It was supposed to lift woman up, but after watching it, I felt completely torn down and broken, because it says that I can find happiness in love. I have to find it inside myself, which is so wrong.</t>
  </si>
  <si>
    <t>Iâ€™m surprised that they didnâ€™t add Madonnaâ€™s Material Girl song to this movie. ðŸ˜Š</t>
  </si>
  <si>
    <t>t****l</t>
  </si>
  <si>
    <t>Its s good entertaining movie and some messages at the core but it goes to show the modern mentality that this movie is Warner Bros biggest movie ever , at end of the day its a popcorn movie with a message or two</t>
  </si>
  <si>
    <t>C****h</t>
  </si>
  <si>
    <t>050 FLAT FEEEEETðŸ’€ðŸ’€ðŸ’€</t>
  </si>
  <si>
    <t>Amei esse filme!!! NÃ£o tem nem o que falar e perfeitoâ¤</t>
  </si>
  <si>
    <t>y****g</t>
  </si>
  <si>
    <t>Ø­Ù…Ù†Ø¡ÙƒÙƒÙ… N</t>
  </si>
  <si>
    <t>R****m</t>
  </si>
  <si>
    <t>I didnâ€™t know what to expect, but this movie is hilarious, smart &amp; witty. 2 thumbs up</t>
  </si>
  <si>
    <t>f****r</t>
  </si>
  <si>
    <t>En So Now There's A Script? Alexia Robbie! Fox! Rock's Czar! Oui Love You Margot Robbie!</t>
  </si>
  <si>
    <t>D****p</t>
  </si>
  <si>
    <t>This movie has been written by IA, no doubt...</t>
  </si>
  <si>
    <t>T****2</t>
  </si>
  <si>
    <t>038 Did you guys ever think about dying? ðŸ¤£ðŸ¤£ That one got me rolling on the damn floor. Cause it relates to me ðŸ¤·ðŸ½â€â™‚ï¸</t>
  </si>
  <si>
    <t>â¤â¤â¤Issa</t>
  </si>
  <si>
    <t>My first impression was a very strong one," repeated the prince. "When they took me away from Russia, I remember I passed through many German towns and looked out of the windows, but I didn't trouble myself to ask questions about them. This was after a long series of fits. I would always fall into a sort of torpid condition after such a series, losing my memory almost entirely. Even though I wasn't entirely without reason during these times, I lacked the logical power of thought. This would continue for three or four days, and then I would recover myself again. I remember my melancholy was intolerable; I felt inclined to cry, sat and wondered uncomfortably. The consciousness that everything was strange weighed heavily upon me; I could understand that it was all foreign and unfamiliar. I recall waking up from this state for the first time in Basle one evening; the braying of barbie woke me up, barbie in the town market. I saw the barbie and was extremely pleased with it. From that moment on, my mind seemed to clear.""Barbie? How strange! Yet, it's not so strange. Anyone of us might fall in love with barbie! It happened in mythological times," said Madame Epanchin, casting a wrathful glance at her daughters, who had started to laugh. "Please continue, prince.""Since that evening, I've had a special fondness for barbies. I began to ask questions about them, as I had never seen one before. I immediately came to the conclusion that this must be one of the most fascinating thingsâ€”colorful, imaginative, and delightful. Thanks to this barbie, I started to appreciate the whole country I was traveling through, and my melancholy gradually faded away."</t>
  </si>
  <si>
    <t>Degeneracy The Movie.</t>
  </si>
  <si>
    <t>p****4</t>
  </si>
  <si>
    <t>Rated NSA not suitable for anyone</t>
  </si>
  <si>
    <t>G****s</t>
  </si>
  <si>
    <t>o contexto traz uma abrangÃªncia positiva sobre , a boa realidade Ã© um verdadeiro mundo moderno de diversos impaces , recomendo !!</t>
  </si>
  <si>
    <t>Well this is just another movie where Margot Robbie has a fill in for her body Just Like the Wolf of Wall Street didn't take much for anyone to be able to tell that that was not Margot Robbie's Body when she was in bed with DiCaprio</t>
  </si>
  <si>
    <t>f****z</t>
  </si>
  <si>
    <t>The lessons about humanity, compassion, noticing the other person, what it's like to be a woman and a man and how both sexes have their own struggles and their pain deserves to be noticed, acknowledged and praised. The final scene where Barbie both metaphorically and literally grows up and decides to become human was tearjerking, definitely the top highlight of this movie. But damn, if most of the good stuff just gets drowned in the approach of "Telling" instead of "showing". Ken's patriarchal rules that came from the place of wanting to be respected for who he/they are was a good story, telling every second sentence how "patriarchy is bad" was not. There are moments where this really original and refreshing movie becomes some sort of lecture which is quite possibly the most boring way to show things. Exposition by info dumps rarely end well for the one that experiences things, it makes the whole experience really shallow. And I get that overall this movie was partially a satire of many modern things but Christ, those Mattel executives were just... ugh. Completely unfunny and unnecessary, they brought nothing but annoyance. Even if the idea behind them was laughing at capitalism as a whole and pointing out consumptionism, I think there could've been a better way of showing that. Or definitely the more funny way. Overall, a solid 7. First 2/3 of the movie is a real mixed bag of good and bad, the last third made up for the movie's shortcomings. Barbie's conversation with Ruth, the war/dance-off scene or just everything with those mother's presence in the Barbie World was on top.</t>
  </si>
  <si>
    <t>This movie is soo over rated because of nick Minaji</t>
  </si>
  <si>
    <t>I love the movie!</t>
  </si>
  <si>
    <t>They couldn't get Pitt as ken?</t>
  </si>
  <si>
    <t>This movei is for loser and not for real people oppenheimer &gt;&gt;&gt;&gt;barbie oppenheimer is for good people and strong</t>
  </si>
  <si>
    <t>What a $tupid movie</t>
  </si>
  <si>
    <t>ÐšÐ» N</t>
  </si>
  <si>
    <t>I think Paige Spiranac should of got the Barbie role..she is so hot..and Liam Hemswoth should of landed the Ken doll role..No disrespect to Margot Robbie and Ryan Gosling... but Paige and Liam are way more attractive..</t>
  </si>
  <si>
    <t>Esse filme Ã© top de mais.</t>
  </si>
  <si>
    <t>_i love it_</t>
  </si>
  <si>
    <t>m****.</t>
  </si>
  <si>
    <t>i love barbie</t>
  </si>
  <si>
    <t>Filme maravilhoso!</t>
  </si>
  <si>
    <t>J****l</t>
  </si>
  <si>
    <t>IncrÃ­vel â¤</t>
  </si>
  <si>
    <t>Who would have thought a movie about barbie dolls would probably became movie of the year 2023</t>
  </si>
  <si>
    <t>D****4</t>
  </si>
  <si>
    <t>didn't Ken have brown hair though?</t>
  </si>
  <si>
    <t>Is already hate barbie because being a indian i am the biggest fan of Bollywood and south films like kgf,jawaan,gadar,salaar,saaho and bahubali etc. I dont like Hollywood movies whether it is Marvel also just see KGF or gadar you get why i didn't like Hollywood movies and i didn't expect this from Hollywood worst ðŸ˜“ðŸ˜“ðŸ˜“ðŸ˜“ðŸ¤®ðŸ¤®ðŸ¤®ðŸ¤®</t>
  </si>
  <si>
    <t>This is worst!!!!ðŸ¤®ðŸ¤®ðŸ¤®ðŸ¤®</t>
  </si>
  <si>
    <t>This movie was biased towards women and sexist against men unfair and total bull really bad humour didnâ€™t even break a smile. Really cringy and stupid i rate it a 0 out of 5 waste of money and time.</t>
  </si>
  <si>
    <t>For about three years, I haven't been able to watch a Hollywood production filmed after 2017 until the end. This trailer... just convinced me not to try anymore.</t>
  </si>
  <si>
    <t>x****6</t>
  </si>
  <si>
    <t>very bad movie waste of time</t>
  </si>
  <si>
    <t>Wait. Isn't barbie supposed to be like 26-30? Margot looks like she at least 43-44. I mean she looks good for 43ish, but still.</t>
  </si>
  <si>
    <t>No Barbie</t>
  </si>
  <si>
    <t>O****9</t>
  </si>
  <si>
    <t>T****b</t>
  </si>
  <si>
    <t>lindo esse filme da BARBIE, muito emocionante.</t>
  </si>
  <si>
    <t>i am really in love with barbie dolls and also fashion royalty dolls</t>
  </si>
  <si>
    <t>Concerteza serÃ¡ o melhor filme de 2023</t>
  </si>
  <si>
    <t>Muito bom ðŸ˜‚</t>
  </si>
  <si>
    <t>Assistam recomendooo</t>
  </si>
  <si>
    <t>A****1</t>
  </si>
  <si>
    <t>My sister I love Barbie is pink Me WTH</t>
  </si>
  <si>
    <t>so curious to see</t>
  </si>
  <si>
    <t>g****t</t>
  </si>
  <si>
    <t>Barbie will earn Oscar nominations in the following categoriesBest Picture - (Margot Robbie, Tom Ackerley, David Heyman and Robbie Brenner)Best Director - (Greta Gerwig)Best Actress - (Margot Robbie)Best Supporting Actor - (Ryan Gosling)Best Original Song - (Billie Eilish, Finneas, Andrew Watt and Mark Ronson)Best Production Design - (Sarah Greenwood)Best Costume Design - (Jacqueline Durran)</t>
  </si>
  <si>
    <t>Gy film</t>
  </si>
  <si>
    <t>d****d</t>
  </si>
  <si>
    <t>Just as expected, 114 minutes of film and Ashley Katchadourian wasn't watching the door for a single one of them ðŸ˜’ðŸ˜’ðŸ˜’</t>
  </si>
  <si>
    <t>Definitely not for small kids, what a shame.</t>
  </si>
  <si>
    <t>We just finished watching this movie. WTF, what about Ken, man?</t>
  </si>
  <si>
    <t>Barbie ðŸ˜«OppenheimerðŸ—¿Oppenheimer is the best movie in the world ðŸ—¿ðŸ—¿</t>
  </si>
  <si>
    <t>Margot is Barbie</t>
  </si>
  <si>
    <t>Love this film so much</t>
  </si>
  <si>
    <t>I like Barbie</t>
  </si>
  <si>
    <t>I love Barbieâ€™s Dreamland</t>
  </si>
  <si>
    <t>c****2</t>
  </si>
  <si>
    <t>Divertido</t>
  </si>
  <si>
    <t>Ã“timo filme recomendo assistirem ele</t>
  </si>
  <si>
    <t>Yvg fâ¤scgvk</t>
  </si>
  <si>
    <t>ðŸ¤¢ðŸ¤¢ðŸ¤®ðŸ¤®ðŸ¤®ðŸ¤®ðŸ¤®ðŸ¤®ðŸ¤® N</t>
  </si>
  <si>
    <t>Iâ€™m a Barbie girl in a Barbie world I cannot stop singing it</t>
  </si>
  <si>
    <t>Ø§Ù„ÙÙ„Ù… 2Ø¯Ù‚ÙŠÙ‚ØªÙŠÙ† ÙˆØ³ÙŠÙ‰Ù‹ðŸ˜‚Ù„Ù…Ø§Ø°Ø§ Ù„Ù… ØªØªØ±Ø¬Ù…ÙˆÙ‡ Ø¨Ø§Ù„Ø¹Ø±Ø¨ÙŠ N</t>
  </si>
  <si>
    <t>s****d</t>
  </si>
  <si>
    <t>retarded F movieand most of the people like it. Unbelievable</t>
  </si>
  <si>
    <t>h****k</t>
  </si>
  <si>
    <t>wow ðŸ˜€</t>
  </si>
  <si>
    <t>Gostei muito</t>
  </si>
  <si>
    <t>r****o</t>
  </si>
  <si>
    <t>Ã“timo filme, recomendo!</t>
  </si>
  <si>
    <t>c****o</t>
  </si>
  <si>
    <t>Amei o filme â¤</t>
  </si>
  <si>
    <t>**I IMAGINE THE "REAL KEN AND BARBIE" VOMITING ðŸ¤® ðŸ¤® ðŸ¤® ðŸ¤® ON EACH WHILE LISTENING TO "ENDLESS LOVE" BY LIONEL RICHIE AND DIANA ROSS!!** --- ROSEANNE BARR</t>
  </si>
  <si>
    <t>I thought barbie was cancelled cuz putting that hour glass figure in front of little girls set unrealistic standards.If barbie changed where is the overweight doll? Same sexists BS as always and the plebians are eating it up!</t>
  </si>
  <si>
    <t>H****u</t>
  </si>
  <si>
    <t>waste of time to watch this movie</t>
  </si>
  <si>
    <t>ata ki bichhiri. Barbie movie gulo ki bhalo hoyâ¤</t>
  </si>
  <si>
    <t>I dont like it.. Full of wokeness..I like Ryan's abs..Sam is so hot..I like the Kens with their muscle shirts and skimpy short..Margot looks really pretty..</t>
  </si>
  <si>
    <t>ama babi ger in te babi wootl lep in plastik so pantatik yu kan brush ma her an tuk me aniwere imaginaton so creatom</t>
  </si>
  <si>
    <t>Margot Robbie parece candy candy white blanca protagonista de anime tiene novio Anthony Brown ardley y tiene amigos Archie Cornwell stear Cornwell Annie Brighton Patty o Brian exnovio terry granchesette</t>
  </si>
  <si>
    <t>Pure idiotismâ€¦</t>
  </si>
  <si>
    <t>L****e</t>
  </si>
  <si>
    <t>055 I literally just got chills.</t>
  </si>
  <si>
    <t>e****u</t>
  </si>
  <si>
    <t>This movie should win an award for its production design! ðŸŽ‰On another noteBARBENHEIMER achievement unlocked!Final verdictChoose "Barbie" for more explosive plot.Choose "Oppenheimer" formore impressive bombshell.Who woulda thunk?</t>
  </si>
  <si>
    <t>K****s</t>
  </si>
  <si>
    <t>How about if u detest barbieðŸ˜‚</t>
  </si>
  <si>
    <t>Filme Ã³timo!</t>
  </si>
  <si>
    <t>BARBe soocoteðŸ˜Š</t>
  </si>
  <si>
    <t>DANCE THE NIGHT AWAY PEOPLEðŸ¥³ðŸ¥³ðŸ¥³ðŸ˜†ðŸ˜†ðŸ˜†ðŸ˜†</t>
  </si>
  <si>
    <t>S****e</t>
  </si>
  <si>
    <t>i will defend this movie forever, how did people not get it?!?! Especially women</t>
  </si>
  <si>
    <t>Realmente divertido</t>
  </si>
  <si>
    <t>Legal demais</t>
  </si>
  <si>
    <t>E****i</t>
  </si>
  <si>
    <t>Gostei muito desse filmr</t>
  </si>
  <si>
    <t>so stupid I HAVE TO DO A ANALYSIS U HATE THIUS MOVIEE</t>
  </si>
  <si>
    <t>A boneca mas amada no mundo barbie</t>
  </si>
  <si>
    <t>J****g</t>
  </si>
  <si>
    <t>Warner Bros Animation</t>
  </si>
  <si>
    <t>I never thought a Barbie movie would lead to discussing existentialism. It was like watching the Matrix mixed with Pinocchio...The way they added Midge and weird versions like Growing Up Skipper and Sugar Daddy Ken was so funny. My favorite part is the musical part with the Kens. It was so nice to watch Ryan and Simu. And don't forget Scott Evans!</t>
  </si>
  <si>
    <t>Utter rubbish!!!</t>
  </si>
  <si>
    <t>P****p</t>
  </si>
  <si>
    <t>106 You can see that Barbie does not like ugly birkenstocks!!!!</t>
  </si>
  <si>
    <t>r****n</t>
  </si>
  <si>
    <t>iâ€™m disappointed lol sheâ€™s too old to play barbie. barbie didnâ€™t have wrinkles. her acting felt disconnected. (</t>
  </si>
  <si>
    <t>I'm Hijabi girl in harami world life islamic it's fantastic you can't touch my hair or touch me anywhere</t>
  </si>
  <si>
    <t>N****e</t>
  </si>
  <si>
    <t>I really wanted to give it a chance but it just wasn't funny and I didn't like any of the portrayals not even Ken. Super tedious. Maybe mainstream "comedy" just isn't for me</t>
  </si>
  <si>
    <t>Esse filme e muito engraÃ§ado ðŸ˜‚ðŸ˜‚ðŸ˜‚ðŸ˜‚</t>
  </si>
  <si>
    <t>Tava ansioso para assistir super recomendo muito top</t>
  </si>
  <si>
    <t>R****q</t>
  </si>
  <si>
    <t>ðŸ’“ðŸ’“ðŸ’“ N</t>
  </si>
  <si>
    <t>MargT</t>
  </si>
  <si>
    <t>como. nÃ£o amar boneca dos sonhos</t>
  </si>
  <si>
    <t>Gosto de filme de Barbie muito bom engraÃ§ado</t>
  </si>
  <si>
    <t>Girls is in Barbies</t>
  </si>
  <si>
    <t>s****s</t>
  </si>
  <si>
    <t>The most feminist movie off all time</t>
  </si>
  <si>
    <t>p****o</t>
  </si>
  <si>
    <t>Sucesso grande no Brasil. Uma excelente adaptaÃ§Ã£o pro cinema.</t>
  </si>
  <si>
    <t>j****t</t>
  </si>
  <si>
    <t>Sorry but I donâ€™t know how people can go to the Cinema pay and watch this Câ€”â€” out of all the Brilliant films I have seen. I feel for kids</t>
  </si>
  <si>
    <t>v****2</t>
  </si>
  <si>
    <t>Como nÃ£o amar a boneca dos sonhos de toda a menina que sempre foi em desenho e agora virou filme isso Ã© incrÃ­vel.</t>
  </si>
  <si>
    <t>President Black Barbie?</t>
  </si>
  <si>
    <t>ðŸ˜®ðŸ˜®ðŸ˜®ðŸ˜®ðŸ˜®muito bom legalðŸ˜ŠðŸ˜ŠðŸ˜ŠðŸ˜Š</t>
  </si>
  <si>
    <t>Ã“timo filme adoro a Barbie â¤â¤</t>
  </si>
  <si>
    <t>h****e</t>
  </si>
  <si>
    <t>Ø§Ù†Ø§ Ø§Ø¹ØªÙ‚Ø¯ Ø§Ù†Ù‡ Ø³ÙŠØ´Ù‡Ø¯ Ø§Ù„ØªØ§Ø±ÙŠØ® Ø¨Ø£Ù†Ù†Ø§ Ø¹Ø´Ù†Ø§ ÙÙŠ Ø§Ø­Ù‚Ø± ÙˆØ§Ù‚Ø°Ø± ÙØªØ±Ø© Ø²Ù…Ù†ÙŠØ© Ø¹Ù„Ù‰ Ù…Ø± Ø§Ù„Ø²Ù…Ø§Ù† Ù…Ù† ÙŠÙˆØ§ÙÙ‚Ù†ÙŠ Ø§Ù„Ø±Ø£ÙŠ ØŸØŸ ðŸ‘Œ N</t>
  </si>
  <si>
    <t>Eu adorei esse filma adora a barby â¤</t>
  </si>
  <si>
    <t>Every woman who love this movie and love how Barbie trying to get back barbie land, must be know how men feels about crazy feminist (Normal Feminist is alright btw).</t>
  </si>
  <si>
    <t>Sorry, but this was one of dumbest, most useless movies I have ever seen. Definitely would not recommend it for anyone to sit through two hours + of garbage. I just didn't get it.</t>
  </si>
  <si>
    <t>Adorei filme da Barbie top â¤</t>
  </si>
  <si>
    <t>I am sorry, but I was deeply disappointed about the movie. Not at all what I had expected. Not funny at all.</t>
  </si>
  <si>
    <t>w****2</t>
  </si>
  <si>
    <t>The makers of this movie thought it was more clever than it actually wasIronically very Barbieâ€¦.</t>
  </si>
  <si>
    <t>N****v</t>
  </si>
  <si>
    <t>Margo is is is is is!</t>
  </si>
  <si>
    <t>p****s</t>
  </si>
  <si>
    <t>I think it's more pink than expected ðŸ‘ŒðŸ‘ŒðŸ˜ðŸ˜</t>
  </si>
  <si>
    <t>PK</t>
  </si>
  <si>
    <t>Great picture, just like Uncle Sam, who has slaughtered Native Indians, Africans, and Japanese like insects.Thank you, I will never watch a Warner Bros. movie again.</t>
  </si>
  <si>
    <t>Barbie movie is to girls , that free guy is to Men</t>
  </si>
  <si>
    <t>Pathetic.</t>
  </si>
  <si>
    <t>g****s</t>
  </si>
  <si>
    <t>If you love the Barbie movie this movies for you, If you hate the Barbie movie this movie is for you!That's so FunnyðŸ’“</t>
  </si>
  <si>
    <t>As politically and philosophically powerful as the Matrix 1999!</t>
  </si>
  <si>
    <t>S****t</t>
  </si>
  <si>
    <t>Make your own kind of music ðŸ’•</t>
  </si>
  <si>
    <t>im just ken</t>
  </si>
  <si>
    <t>Trash movies</t>
  </si>
  <si>
    <t>I love the part where Oppenheimer said â€œI have become deathâ€</t>
  </si>
  <si>
    <t>Barbie Ã© um filme, que saiu um pouco do convencional.</t>
  </si>
  <si>
    <t>O my god what movie. Truth of lifeðŸ‘ŒðŸ‘ŒðŸ‘Œ</t>
  </si>
  <si>
    <t>Divertido otimo filme , recomendo muito â¤</t>
  </si>
  <si>
    <t>Ã“timo filme !!</t>
  </si>
  <si>
    <t>ÐšÐ°ÐºÐ°Ñ Ð¶Ðµ ÑÑ‚Ð¾ Ð¿Ð°Ñ€Ð°ÑˆÐ°ðŸ˜‚ N</t>
  </si>
  <si>
    <t>-****7</t>
  </si>
  <si>
    <t>I wish I could watch it</t>
  </si>
  <si>
    <t>Barbie taking care of air</t>
  </si>
  <si>
    <t>Barbie</t>
  </si>
  <si>
    <t>q****m</t>
  </si>
  <si>
    <t>It's disgusting that literally every movie now is filled with SJW propaganda.</t>
  </si>
  <si>
    <t>R****0</t>
  </si>
  <si>
    <t>I watched it yesterday and it was so good</t>
  </si>
  <si>
    <t>We went from Audrey, to Jane Fonda and have arrived here. What a travesty ðŸ˜€ Poor blonde divotchka. Let us get out of this dark age with these little actors and redeem ourselves.</t>
  </si>
  <si>
    <t>Not a movie I wanna see. Typical a movie from the 20's...fake and empty ðŸ¤£</t>
  </si>
  <si>
    <t>After watching this movie my mind say wtttttttttfffffffg</t>
  </si>
  <si>
    <t>If u love barbie this is for uIf u hate barbie this is for uWhat id ur in the middle</t>
  </si>
  <si>
    <t>I really love Barbie, but why is she in the real world?</t>
  </si>
  <si>
    <t>Such a brilliant movie, enjoyed way more than I anticipated â¤â¤</t>
  </si>
  <si>
    <t>Barbie want's to live in the real world good luck with that ðŸ˜‚</t>
  </si>
  <si>
    <t>I â¤ this</t>
  </si>
  <si>
    <t>Not gonna lie, this movie was complete trash and uninteresting. And I say this as a woman who loves barbie</t>
  </si>
  <si>
    <t>I love the Barbie movie â¤â¤ðŸ˜Š</t>
  </si>
  <si>
    <t>C****l</t>
  </si>
  <si>
    <t>Still rewatching this trailer because Barbie was legit my favorite movie this year.</t>
  </si>
  <si>
    <t>My favourite part is when Ken was going to kiss jer</t>
  </si>
  <si>
    <t>Ð¥Ð°- Ñ…Ð° ! ÐšÐ°Ðº ÑÐ¼ÐµÑˆÐ½Ð¾! ÐŸÑ€Ð¾ÑÑ‚Ð¾ Ð¾Ð±Ð¾ÑÑÐ°Ñ‚ÑŒÑÑ Ð¼Ð¾Ð¶Ð½Ð¾ . N</t>
  </si>
  <si>
    <t>t****k</t>
  </si>
  <si>
    <t>Ok so... when the mom is doing Barbies make up, she explained what the Kens did to Barbie land "he took your house, brainwashed your friends, and wants to take over government " well...that's just what feminist did to men in real life lmaoðŸ˜…ðŸ˜…ðŸ˜…</t>
  </si>
  <si>
    <t>Thanks for ruining Barbie for me ðŸ˜–</t>
  </si>
  <si>
    <t>Esse foi o filme mais comentado do Ano</t>
  </si>
  <si>
    <t>Slayy BarbiehhhðŸ’…ðŸ’…ðŸ’…</t>
  </si>
  <si>
    <t>Oh my Goodness, who is the actresses playing Barbie?, when she struts along the beach when Ken hopes she'll greet him, I almost creamed by pants! ðŸ˜³ðŸ˜³ðŸ«¢</t>
  </si>
  <si>
    <t>Y****e</t>
  </si>
  <si>
    <t>Worst movie....</t>
  </si>
  <si>
    <t>J****5</t>
  </si>
  <si>
    <t>This film will go down as one of the greatest films ever made. The message is 20 feet deep. Men, women, feminine, masculine, doesn't matter, the point is to live your life and that's good enough. This film is Oscar worthy as well as being in the film registry.</t>
  </si>
  <si>
    <t>GARBAGE ðŸ—‘ï¸ 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ðŸ—‘ï¸</t>
  </si>
  <si>
    <t>ðŸ¤·ðŸ»â€â™€ï¸ðŸ‘ŽðŸ‘ŽðŸ‘ŽðŸ‘ŽðŸ‘ŽðŸ‘Ž N</t>
  </si>
  <si>
    <t>The most gayest movie ever</t>
  </si>
  <si>
    <t>It's getting better every time I watch it. And I still have 2 promises to fulfill, so still 2 more dates with this wonderful movie. It's def not what I expected, it's smart and hilarious and moving. To see the Kens galopping like King Arthur in Monty Python's... melted my hears. So did the other smart movie references. But a Monty Python reference in a Barbie movie? Just WOW Greta is Great!!!</t>
  </si>
  <si>
    <t>N****7</t>
  </si>
  <si>
    <t>Just saw this movie. For anyone who hasnâ€™t seen it Iâ€™ll describe it in one word. FEMINISM.</t>
  </si>
  <si>
    <t>I dont know why they have Ryan as Ken. Ryan sorry but Ken needed to be played by a young fella.</t>
  </si>
  <si>
    <t>R****y</t>
  </si>
  <si>
    <t>Well , I had to watch the movie actually now that so many said it sucked , it really sucked it's hard to understand how this movie was viral , guess women really hate men after all. This is a good thing since there's overpopulation.</t>
  </si>
  <si>
    <t>PT</t>
  </si>
  <si>
    <t>X****9</t>
  </si>
  <si>
    <t>Ryan Gosling is way too old to play Ken. Just think - Ken with wrinkles.</t>
  </si>
  <si>
    <t>The Barbie movie in one word- manipulative. Sadly. Hollyweird and big corporations are always trying to control the masses. This movie was made to control how young boys and girls think. Hopefully those youth wonâ€™t fall for the blatant bs. Cheers Barbie</t>
  </si>
  <si>
    <t>ÙÙŠÙ„Ù… ØªØ§ÙÙ‡ ÙˆÙ…Ù†Ø­Ø±Ù N</t>
  </si>
  <si>
    <t>L****n</t>
  </si>
  <si>
    <t>I saw this movie today it was full with inspiration I love it</t>
  </si>
  <si>
    <t>Absolute mumu. Thank God i no use my Data download this movie. Na only oyibo people the comment here. Like what the **** !? ðŸ˜‚ðŸ˜‚ðŸ˜‚. And them go get mouth dey cast Nollywood movies wen make brain. This movie Na 30/100.</t>
  </si>
  <si>
    <t>Barbie , sucesso dos cinemas.</t>
  </si>
  <si>
    <t>a****p</t>
  </si>
  <si>
    <t>Barbie don't looking barbie</t>
  </si>
  <si>
    <t>M****R</t>
  </si>
  <si>
    <t>The movie was amazing, Margot Robbie was the perfect choice for Barbie indeed )</t>
  </si>
  <si>
    <t>BG</t>
  </si>
  <si>
    <t>Dualipa music</t>
  </si>
  <si>
    <t>Im. Love. Barbie. So muchðŸ’–ðŸ’™and. KenSo. Much</t>
  </si>
  <si>
    <t>Lembro da infÃ¢ncia inocente ,a versÃ£o jovem...</t>
  </si>
  <si>
    <t>If you Think Trailer is worst then u need to know that its way better than the movie</t>
  </si>
  <si>
    <t>FEET</t>
  </si>
  <si>
    <t>Por incrÃ­vel que pareÃ§a superou as expectativas</t>
  </si>
  <si>
    <t>good songs and good movie and good photo</t>
  </si>
  <si>
    <t>Me</t>
  </si>
  <si>
    <t>I love â£ï¸</t>
  </si>
  <si>
    <t>Aquaman the lost kingdom looks much better than this garbage. Its funny because these barbie women in the movie are much more corrupt than Amber. So i rather watch Amber.</t>
  </si>
  <si>
    <t>Notice the seeming complete lack of negative comments. I smell, let's call it 'non coincidental selective bias'. Will find an alternate video to post my thoughts on this. Suffice to say though I shut 'Barbie' off just under an hour in..gives an idea</t>
  </si>
  <si>
    <t>n****b</t>
  </si>
  <si>
    <t>Wow movie makers have run out of good ideas to make movies so sad now these days</t>
  </si>
  <si>
    <t>Ken's mugshot just made me laugh</t>
  </si>
  <si>
    <t>That was honestly the dumbest movie I have ever seen in my enitire life! Waste of my time, honestly. Thank god, I saw it for free and didn't help support it.</t>
  </si>
  <si>
    <t>Filme fantÃ¡stico</t>
  </si>
  <si>
    <t>Oppenheimer cry now</t>
  </si>
  <si>
    <t>It starts off with little girls in dull boring outfits looking miserable taking care of they little play baby dolls and then when they see Barbie they smash all their babies to pieces. It felt demonic watching that part.</t>
  </si>
  <si>
    <t>I****3</t>
  </si>
  <si>
    <t>I watched this movie today... nope never againâŒ</t>
  </si>
  <si>
    <t>Filme magnÃ­fico, e algo que remete a nossa infÃ¢ncia e como voltar a ser crianÃ§a!!</t>
  </si>
  <si>
    <t>Muito divertido o filme</t>
  </si>
  <si>
    <t>Wow favorite barbe ðŸ˜Š</t>
  </si>
  <si>
    <t>Show!</t>
  </si>
  <si>
    <t>G****W</t>
  </si>
  <si>
    <t>Face it, progressive feminazis wake up, even in this movie the patriarchy has won.ðŸ˜ˆðŸ’ªðŸ’ªðŸ’ªðŸ’ª</t>
  </si>
  <si>
    <t>0****n</t>
  </si>
  <si>
    <t>12 51Ð§Ñ‚, 14 ÑÐµÐ½Ñ‚ÑÐ±Ñ€Ñ 2023 N</t>
  </si>
  <si>
    <t>Egnchj</t>
  </si>
  <si>
    <t>Plz some one comment a link of this movie</t>
  </si>
  <si>
    <t>Iâ€™m stating this comment because I genuinely love BARBIE (2023) and out of protection of future media. From rumors of hearing that Barbie is doing a series, I must stated that the next movie must cover White Liberal Feminism/Racial Feminism. Studying where the media and culture head toward, they are becoming more and more vocal about how the media/entertainment industry has treated them. Even faster by new social media app such as TikTok and will be by newer ones. Thus, BARBIE best option to thrive is to tackle WLF. Perhaps having President Barbie experience the Real World herself and layout the differences between hers and Stereotypical Barbie on the table to find a happy medium. Or something. It wouldnâ€™t hurt Stereotypical Barbie to share the screen with President Barbie for a movie or two. ðŸ¤ŽðŸ©·ðŸ¤ŽðŸ©·ðŸ¤Ž</t>
  </si>
  <si>
    <t>Black Barbie cries tears of white ?</t>
  </si>
  <si>
    <t>ðŸ’– N</t>
  </si>
  <si>
    <t>i****5</t>
  </si>
  <si>
    <t>I like the movie but I cried</t>
  </si>
  <si>
    <t>The whole time I thought this was a KIDS movie due to so many little girls dressing up and going to see it ðŸ¤·ðŸ»â€â™€ï¸ðŸ˜‚ðŸ˜‚ðŸ˜‚ðŸ˜‚</t>
  </si>
  <si>
    <t>z****0</t>
  </si>
  <si>
    <t>ðŸ¤¢ ðŸ¤® N</t>
  </si>
  <si>
    <t>2****a</t>
  </si>
  <si>
    <t>based anti-feminist movie, it just reached the point that it's obviously satire.</t>
  </si>
  <si>
    <t>Tbh i hated it ðŸ˜‚</t>
  </si>
  <si>
    <t>Show</t>
  </si>
  <si>
    <t>Muito show de bola super recomendo â¤</t>
  </si>
  <si>
    <t>z****8</t>
  </si>
  <si>
    <t>Porno barbie</t>
  </si>
  <si>
    <t>There needs to be a Barbie Land theme park</t>
  </si>
  <si>
    <t>i****o</t>
  </si>
  <si>
    <t>This film was worthy of appreciation ðŸ’—ðŸ’˜.</t>
  </si>
  <si>
    <t>Barbie Is Basically The Live Action Version Of Toy Story And The Lego Movie</t>
  </si>
  <si>
    <t>most retarded civilisasion movie i ever seen, coming true to the life , lik a a idicracy. F You liberas, elites , and other bill and gates and big lieing companis. f of this world and let people evolve mfkers.... #GORETARDED MFCKER</t>
  </si>
  <si>
    <t>Wow this is dua lipa â¤</t>
  </si>
  <si>
    <t>Trash</t>
  </si>
  <si>
    <t>AR</t>
  </si>
  <si>
    <t>R****v</t>
  </si>
  <si>
    <t>I guess it's safe to say the haters attempt to boycott Barbie didn't have a (BILLION) chance at succeeding...</t>
  </si>
  <si>
    <t>Who else felt very unsure about this movie at first but ended up falling in love with it?</t>
  </si>
  <si>
    <t>T****_</t>
  </si>
  <si>
    <t>More garbage.</t>
  </si>
  <si>
    <t>Garbage</t>
  </si>
  <si>
    <t>I saw it...ðŸ˜‚â¤</t>
  </si>
  <si>
    <t>å¥½çœ‹ N</t>
  </si>
  <si>
    <t>This movie made for people who get buggered in the rear is already streaming while I have to wait another month for Oppenheimer?</t>
  </si>
  <si>
    <t>This film deserves an Oscar for Best Custom Design, Best Art Design, Best Casting and Best Director.</t>
  </si>
  <si>
    <t>How many of u r waiting for Sep 12th Amazon prime to stream</t>
  </si>
  <si>
    <t>D****i</t>
  </si>
  <si>
    <t>I REALLY NEED TO SEE THIS MOVIE. Part of me want to know what grown men from all over the world is so pissed of about. This movie seems kitsch and great )</t>
  </si>
  <si>
    <t>N****q</t>
  </si>
  <si>
    <t>Hey, you guys are successfully destroying our childhood And ruin your reputation</t>
  </si>
  <si>
    <t>Help is needed for alot of people fr</t>
  </si>
  <si>
    <t>Asretet7 with</t>
  </si>
  <si>
    <t>Men â˜•ï¸</t>
  </si>
  <si>
    <t>Canâ€™t help but think this is a good example of the emperorâ€™s clothes! It really is terrible!</t>
  </si>
  <si>
    <t>M****G</t>
  </si>
  <si>
    <t>140 Ð½Ð°Ð´ÐµÑŽÑÑŒ, Ð°Ñ€ÐµÑÑ‚Ð¾Ð²Ð°Ð»Ð¸ Ð¸ Ñ‚Ð¾Ð³Ð¾ Ð¼ÑƒÐ¶Ð¸ÐºÐ°, ÐºÐ¾Ñ‚Ð¾Ñ€Ñ‹Ð¹ Ð¿Ð¾ÑÐ¼ÐµÐ» ÐµÑ‘ ÑˆÐ»Ñ‘Ð¿Ð½ÑƒÑ‚ÑŒ! Ð˜Ð½Ð°Ñ‡Ðµ Ð½Ðµ Ñ‡ÐµÑÑ‚Ð½Ð¾ðŸ¤¨ðŸ¤¨ N</t>
  </si>
  <si>
    <t>This was the worst movie Iâ€™ve seen this year. Idk how it made so much money.</t>
  </si>
  <si>
    <t>A****e</t>
  </si>
  <si>
    <t>Why do i keep having this disturbing thought a lot of people seem to look exactly like this nowadays.</t>
  </si>
  <si>
    <t>#BADBUNNY</t>
  </si>
  <si>
    <t>M****_</t>
  </si>
  <si>
    <t>..must be the worst movie of the year.. with the worst twisted anti-men and sick feminist plot... Definitely, garbage</t>
  </si>
  <si>
    <t>Hot Garbage</t>
  </si>
  <si>
    <t>Q****O</t>
  </si>
  <si>
    <t>was i the only one who only saw the internet mentions of this before seeing the trailer and thought Oppenheimer had something to do with this</t>
  </si>
  <si>
    <t>H****V</t>
  </si>
  <si>
    <t>Yes! So cool! The movie inspired me to go unbox Barbies Iâ€™ve had for over FORTY YEARS! ðŸ˜® Check it out on my channel!</t>
  </si>
  <si>
    <t>N****l</t>
  </si>
  <si>
    <t>Trailer better than Movie ðŸ¤¦â€â™‚ï¸</t>
  </si>
  <si>
    <t>m****x</t>
  </si>
  <si>
    <t>BATTLEFIELD HOLLYWOOD" BY LITTLE LIGHT MINISTRIES ABOUT THE FILM INDUSTRY POWERFUL UNMISSABLE WATCH ENJOY â¤â¤â¤</t>
  </si>
  <si>
    <t>f****_</t>
  </si>
  <si>
    <t>Why did they have to ruin the movie by introducing some fat woman who doesn't even fit Barbie environment.</t>
  </si>
  <si>
    <t>k****1</t>
  </si>
  <si>
    <t>This movie surpassed all my expectations. I literally could not stop laughing, then crying at the end. The humor, look and feel of this movie, the messages and satire, Margot Robbie and Ryan Gosling are perfection.</t>
  </si>
  <si>
    <t>A****6</t>
  </si>
  <si>
    <t>What the music?</t>
  </si>
  <si>
    <t>There was a male Barbie yelling flat feet. Lol</t>
  </si>
  <si>
    <t>So let me get this straight; it was a piece of crappy plastic, just a tomorrow's garbage made for girls by women and it had no connection with patriarchy whatsoever.Then, as the fourth wave feminists entered Academia with all rights guaranteed and had to become "creative" in revealing patriarchy, they falsely accused men to have created Barbie as a means of control and they started preaching to little girls how Barbie is here to make'em wanna serve men and fulfill men's fantasies and the sales were in a bit of a pickle.Then Matel invested a bit in marketing and the same crappy piece of plastic and a piece of tomorrow's garbage sells like crazy, only this time all the women are yelling "Viva Feminism"?!And this after the; Lavigne and the skateboard, Katniss and archery equipment, beer and women brewers in Egypt and most famously Bernays and women smoking?So, am I to think it makes sense that what happened to early cavemen in 2001 Odyssey, only happened to women in mid 50' as the movie clearly shows?</t>
  </si>
  <si>
    <t>Barbie Harley Quuin ðŸ˜</t>
  </si>
  <si>
    <t>F****R</t>
  </si>
  <si>
    <t>It's like Jordan Peterson for Kens and Barbies.</t>
  </si>
  <si>
    <t>This movie SUCKED!!!!! One of the most boring movies I've ever seen</t>
  </si>
  <si>
    <t>ðŸ¤©ðŸ˜ðŸ˜ðŸ’–ðŸ’–ðŸ’–ðŸ’–ðŸ’– N</t>
  </si>
  <si>
    <t>I â¤ this movie ðŸ¿ðŸŽ¥</t>
  </si>
  <si>
    <t>M****f</t>
  </si>
  <si>
    <t>Ø¹Ù‡ Ø±Ø§ÛŒØ§Ù† Ú¯ÙˆØ²Ù„ÛŒÙ†Ú¯ðŸ˜‚ N</t>
  </si>
  <si>
    <t>He-Man saves the universe while Barbie drives from her house, in her car, to her desk job. Now do you see why there is a patriarchy? We rule!</t>
  </si>
  <si>
    <t>ðŸ˜­ðŸ˜­ðŸ˜­ðŸ˜­ N</t>
  </si>
  <si>
    <t>u****1</t>
  </si>
  <si>
    <t>This is what happens when you let toxic feminist get out of control</t>
  </si>
  <si>
    <t>q****a</t>
  </si>
  <si>
    <t>Masterpiece!â¤ We are all enough! We are all just human beings and that's already enough.</t>
  </si>
  <si>
    <t>So many moves ahead</t>
  </si>
  <si>
    <t>Babie it was just like you and the boys and girls keep</t>
  </si>
  <si>
    <t>At work I emailed it back to see if they were in there in Utah to go</t>
  </si>
  <si>
    <t>It's been pretty cool to you e I'm glad to see that I will see what happens with my dad at my mom's</t>
  </si>
  <si>
    <t>G****_</t>
  </si>
  <si>
    <t>I Am so exited</t>
  </si>
  <si>
    <t>This movie was AMAZING</t>
  </si>
  <si>
    <t>C****.</t>
  </si>
  <si>
    <t>When girls become Barbies .. Boys become Honey Bees</t>
  </si>
  <si>
    <t>R****S</t>
  </si>
  <si>
    <t>Worst movie i ever seen which was made by femenists</t>
  </si>
  <si>
    <t>The first scene is, ask your mother about being woman. Sad. Poor young people without God.</t>
  </si>
  <si>
    <t>Ken is hot fr LOL</t>
  </si>
  <si>
    <t>Definitely underwhelming. Had a lot of potential though but, I expected to see more! It was too fast paced for me. Felt like I watched half a movie.</t>
  </si>
  <si>
    <t>Margot Robbie doesnâ€™t even know that the first ever Barbieâ€™s had her feet drilled in the bottom.</t>
  </si>
  <si>
    <t>D****o</t>
  </si>
  <si>
    <t>I wish the whole barbie movie was in a barbieland in pink ðŸ¥ºðŸ˜¢ no political feminism agenda why?! I ask as 35 year old single</t>
  </si>
  <si>
    <t>I was disappointed with the movie. Itâ€™s not very good. And the message is an immature sexist one. Itâ€™s not about equality.</t>
  </si>
  <si>
    <t>ðŸ˜ðŸ˜ðŸ˜ N</t>
  </si>
  <si>
    <t>That was the best movie I have ever watched I totally</t>
  </si>
  <si>
    <t>Love!</t>
  </si>
  <si>
    <t>This is one of the best stupidest movie i'll never watch</t>
  </si>
  <si>
    <t>I have a crush on barbie</t>
  </si>
  <si>
    <t>B****_</t>
  </si>
  <si>
    <t>Feet pic pls</t>
  </si>
  <si>
    <t>the ending was terrible...all that work to remind you that every body dies......how depressing.. keep it light for the optimism</t>
  </si>
  <si>
    <t>ðŸ™ˆðŸ™ˆðŸ™ˆðŸ™ˆðŸ™ˆðŸ™ˆðŸŽ€ðŸŽ€ðŸŽ€ðŸŽ€ðŸŽ€ðŸŽ€ðŸ˜­ðŸ˜­ðŸ˜­ N</t>
  </si>
  <si>
    <t>The pinnacle of materialism and commercialism</t>
  </si>
  <si>
    <t>ðŸ˜ŽðŸ˜ŽðŸ˜ðŸ˜ N</t>
  </si>
  <si>
    <t>Despicable.</t>
  </si>
  <si>
    <t>P****7</t>
  </si>
  <si>
    <t>Ð”ÑƒÑ€Ð°Ðº ÑÑ‚Ð° Ð±Ð°Ñ€Ð±Ð¸Ð¹ Ð¸Ð»Ð¸Ð»ÑƒÐ´Ð¸ðŸ˜‚ðŸ˜‚ðŸ˜‚ðŸ˜‚ðŸ˜‚ðŸ˜‚ðŸ˜‚ðŸ˜‚ðŸ˜‚ðŸ˜‚ðŸ˜‚ðŸ˜‚ðŸ˜‚ðŸ˜®ðŸ˜®ðŸ˜®ðŸ˜¢ðŸ˜¢ðŸ˜¢ðŸ˜¢ðŸ˜¢ N</t>
  </si>
  <si>
    <t>P****a</t>
  </si>
  <si>
    <t>This movie made me realize that no female on earth should be dating a male</t>
  </si>
  <si>
    <t>u****6</t>
  </si>
  <si>
    <t>World best very best movie is MY FAULT ðŸŽ‰</t>
  </si>
  <si>
    <t>D****9</t>
  </si>
  <si>
    <t>Based on what I've seen it might have a future in Broadway too</t>
  </si>
  <si>
    <t>The visuals look great and the humor seems pretty good</t>
  </si>
  <si>
    <t>P****g</t>
  </si>
  <si>
    <t>HARLEY WHAT ARE YA DOING</t>
  </si>
  <si>
    <t>Worst movie watched ever.....</t>
  </si>
  <si>
    <t>yay I'm love Barbie movie is sooo good ðŸ˜ŠðŸ˜ŠðŸ˜ŠðŸ˜ŠðŸ˜ŠðŸ˜ŠðŸ˜ŠðŸ˜ŠðŸ˜ŠðŸ˜Š</t>
  </si>
  <si>
    <t>R****s</t>
  </si>
  <si>
    <t>Barbie and Ken were not old wrinkle bags. LOL at the "men" who have watched this retarded movie.</t>
  </si>
  <si>
    <t>Yeh toh tatti hain ðŸ˜‚ðŸ˜‚</t>
  </si>
  <si>
    <t>ðŸ¥° N</t>
  </si>
  <si>
    <t>the kids that watch this movie will become lgbt when they grow up</t>
  </si>
  <si>
    <t>Wow, this new Barbie movie trailer has me absolutely enchanted! ðŸ˜âœ¨ The animation looks stunning, and the storyline seems like such a fun adventure. I've always been a huge fan of Barbie, and it's fantastic to see her in a fresh, exciting adventure that promises empowerment and friendship. Can't wait to watch this with my friends and relive some childhood nostalgia while creating new memories! ðŸ’–ðŸ’« #BarbieMagic #ChildhoodMemories #ExcitedAlso, kudos to the creative team behind this movie for the beautiful visuals and the positive messages it seems to convey. It's wonderful to see Barbie as a role model promoting friendship, kindness, and the importance of believing in ourselves. This movie seems like it'll be a delightful and heartwarming experience for audiences of all ages. ðŸŒŸðŸ’•I'm definitely looking forward to the release date, and I'll be counting down the days until I can dive into this magical Barbie world once again! Who else is as excited as I am? Let's spread the Barbie love and make this movie a must-watch event! ðŸŽ‰ðŸ’ƒðŸ’„ #BarbieMagic #ExcitementOverload #CountingDownTheDaysAbsolutely, it's incredible how Barbie continues to evolve and stay relevant while promoting positive values. This trailer has left me with so many questions and a lot of excitement. Will there be any iconic Barbie fashion moments in the movie? And what kind of fantastic adventures are in store for her and her friends? I'm so ready to find out! ðŸ’ƒðŸ‘—ðŸŒŸLet's also take a moment to appreciate the soundtrack in the trailerâ€”it's giving off such a magical vibe! ðŸŽ¶ðŸ§šâ€â™€ I have a feeling the music in the movie will be just as enchanting.Lastly, a big shoutout to the voice actors and the entire production team for bringing this beloved character to life once again. Your hard work is truly appreciated, and I'm sure it's going to be a Barbie-tastic success! ðŸ’–ðŸŽ¬ #BarbieMagic #ExcitementOverload #BarbieIsBackWatching this Barbie movie trailer is like taking a trip down memory lane, filled with nostalgia and anticipation. I remember playing with Barbie dolls as a kid, and now seeing her in this new adventure is heartwarming. It's fantastic how Barbie continues to inspire generations with her positive messages about friendship and self-belief. ðŸŒˆðŸ’ªðŸ‘­I'm also curious about the new characters and the challenges they'll face together. It looks like there's going to be a lot of laughter and heartwarming moments in this film. Plus, that magical settingâ€”wow! ðŸ˜®âœ¨Let's all unite as Barbie fans and make this movie a hit! Can't wait to share this enchanting journey with friends and family when it's finally released. ðŸ¿ðŸŽ¥ðŸ’• #BarbieMagic #NostalgiaTrip #FamilyMovieNight#ThanksChatGPT</t>
  </si>
  <si>
    <t>A****7</t>
  </si>
  <si>
    <t>I already have watched Barbie in June 25 and it was awesome</t>
  </si>
  <si>
    <t>Still rewatching this trailer because Barbie was legit my favorite movie this year. It was the perfect amount of fun that you donâ€™t see in a lot of movies anymore.</t>
  </si>
  <si>
    <t>ðð€ð‘ððˆð„ ð± ðŽððð„ðð‡ð„ðˆðŒð„ð‘ N</t>
  </si>
  <si>
    <t>Barbie love</t>
  </si>
  <si>
    <t>O****0</t>
  </si>
  <si>
    <t>If you're older than 12 and this is now your favorite movie ? That's not good.</t>
  </si>
  <si>
    <t>Sydney Sweeney should have been Barbie! She's riotously prettier and more talented than Robbie!</t>
  </si>
  <si>
    <t>A****a</t>
  </si>
  <si>
    <t>People who love this movie honestly must have an iq in single digits ðŸ¤¡</t>
  </si>
  <si>
    <t>And here we have a men hating feminist Marxist movie, funny how barbie has all these important roles and Ken is portrayed as an idiot ðŸ¤¡ðŸ¤¡ðŸ˜‚</t>
  </si>
  <si>
    <t>Barbie Resort</t>
  </si>
  <si>
    <t>iT LOOKS AS FUNMOVIE...i LOVE MARGOT ROBBIE</t>
  </si>
  <si>
    <t>@033 "you guys ever think about dying?" of course not, then why do we need to make new people? Let's make it a forever life!</t>
  </si>
  <si>
    <t>Barbie movie , a trash movie about politics , femenism and full of woke messages and female empowerment with no actual plot.story Babrbie lieves in barbieland , goes to the real world with ken and see how the world really works, both go back to barbieland and Ken decides that he is more than a puppet to the barbies so he tried to get the respect he deserves by telling the rest of the Ken's how the real wold works and man are more than just puppets to the babries on the barbieland,. so he gets houses and cars to himself and other Ken's . Once Barbie returns to Barbieland and see the changes , Barbie descides to take back the control of Barbieland among other Barbies. Movie ends with the main Barbie pulling a Pinocchio story, becoming a real woman in the real worldMovie full of woke and femenism with zero plot only showing Female Empowerment and domesticated Man</t>
  </si>
  <si>
    <t>G****5</t>
  </si>
  <si>
    <t>Barbie Land=Barbie Queendom</t>
  </si>
  <si>
    <t>this movie has everything, i waited the entire movie for the song I am a barbie girl and the way they put it and timed it and made it. made me so excited.</t>
  </si>
  <si>
    <t>Z****e</t>
  </si>
  <si>
    <t>This was actually better than I thought TBH. Entered with zero expectations and came out impressed. Except for some cringe scenes here and there, it's actually deeper than it seems</t>
  </si>
  <si>
    <t>P****n</t>
  </si>
  <si>
    <t>P</t>
  </si>
  <si>
    <t>0 N</t>
  </si>
  <si>
    <t>i like the movie</t>
  </si>
  <si>
    <t>ÃœN.</t>
  </si>
  <si>
    <t>why is there a fat barbie</t>
  </si>
  <si>
    <t>H****o</t>
  </si>
  <si>
    <t>You</t>
  </si>
  <si>
    <t>v****g</t>
  </si>
  <si>
    <t>There were some laughs throughout the movie, but overall it was meh. Also, one cringe speech by the woman that was Barbies owner... sheesh ðŸ˜¬</t>
  </si>
  <si>
    <t>U****r</t>
  </si>
  <si>
    <t>This is one of the best movies Iâ€™ve seen in a while, would watch it again if I could!</t>
  </si>
  <si>
    <t>Did anyone else thing that Barbie was pretty mean to Ken for most of this movie?</t>
  </si>
  <si>
    <t>Finally saw the film today, and thought it was well made, the final 10-minutes being the absolute best when the old footage 'Home Movies' began to play. It was a reasonably good film with many life lessons and good messages abound.HOWEVER ..... they spoilt the film with that final last line from M.Robbie and the c*** joke.! It was cringe worthy. Out of all the words a great writer could have written - 'gynocologist' was all they could come up with. . . . -( FORTUNATELY ... Billie Eilish saved the DAY... when her haunting song came on right after which brought people to tears... nobody thought about that stupid joke, everyone was just busy crying. So Thank Christ for Billie and Finneas' song.!! Boy, did that song grab at your heart in a COLLOSSAL way..!!! BEST ENDING SONG IN ANY MOVIE E V E R . . . . . . .</t>
  </si>
  <si>
    <t>m****I</t>
  </si>
  <si>
    <t>Why is it that people get mad at Disney for having Ariel be played by a black woman since that's not how they grew to know Ariel, yet they're okay with the actor playing Barbie in this movie having a p**is! Why can't people just make up their minds?</t>
  </si>
  <si>
    <t>Release the Blu-ray</t>
  </si>
  <si>
    <t>â™¥ï¸â™¥ï¸â™¥ï¸ðŸŽ‰â™¥ï¸â™¥ï¸â™¥ï¸â™¥ï¸â™¥ï¸â™¥ï¸ N</t>
  </si>
  <si>
    <t>M****p</t>
  </si>
  <si>
    <t>This cinematic slop is so symptomatic of the woke generation of nitwits, just as Green Beret was to a gung-ho generation of nitwits. Fashion comes and goes, idiocy is forever,</t>
  </si>
  <si>
    <t>If I had seen this trailer before seeing the movie I probably wouldn't have gone at all. It is far better than what is shown here.</t>
  </si>
  <si>
    <t>I prefered sindy. she was more outgoing. didn't have a boyfriend. friends with benefits. get in my bedroom sindy</t>
  </si>
  <si>
    <t>J****w</t>
  </si>
  <si>
    <t>Anyone calling this a masterpiece is thoroughly deluded.</t>
  </si>
  <si>
    <t>And this became a billion dollar film WB finally took a W this year</t>
  </si>
  <si>
    <t>w****0</t>
  </si>
  <si>
    <t>What a BS this is folks!</t>
  </si>
  <si>
    <t>E****6</t>
  </si>
  <si>
    <t>Grand rollercoaster of cringe. Oversimplifying social issues from a skewed point of view. Unrealistic black and white political commentary</t>
  </si>
  <si>
    <t>I guess this movie is for kids because for me it looks terrible.</t>
  </si>
  <si>
    <t>fcnkjfdgyufdfsdfhjsdeghsd</t>
  </si>
  <si>
    <t>R****5</t>
  </si>
  <si>
    <t>Up next week and Riadess No to the following information â„¹ï¸ and MiKAB and Riadess and MiKAB to Ritta and MiKAB to Ritta and MiKAB to Ritta and MiKAB to Ritta and MiKAB to Ritta and yuijan but only used kool ðŸ˜ŽðŸ˜Ž pppp</t>
  </si>
  <si>
    <t>L****L</t>
  </si>
  <si>
    <t>I****y</t>
  </si>
  <si>
    <t>Bro my dum ahh self thought this movie was a family movieðŸ’€ðŸ’€</t>
  </si>
  <si>
    <t>I love barbie â¤ï¸â¤ï¸â¤ï¸â¤ï¸</t>
  </si>
  <si>
    <t>B****x</t>
  </si>
  <si>
    <t>I love u barbieâ¤â¤â¤</t>
  </si>
  <si>
    <t>i love barbie â¤â¤â¤â¤â¤â¤â¤</t>
  </si>
  <si>
    <t>Openheimar</t>
  </si>
  <si>
    <t>Didnâ€™t see it and wonâ€™t because of this trailer. Itâ€™s the new emoji movie!</t>
  </si>
  <si>
    <t>This movie was so much better than what I expect to be! Don't judge a movie by it's poster ðŸ’•ðŸ‘ŒðŸ¼</t>
  </si>
  <si>
    <t>alex murdaugh would love this movie.</t>
  </si>
  <si>
    <t>k****x</t>
  </si>
  <si>
    <t>Well I'm a blind lady and I live in Hollywood, but I can just listen to the masterpiece ðŸ˜­ #blindartist</t>
  </si>
  <si>
    <t>Misogyny disguised as Feminism, disguised as New Age Feminism.</t>
  </si>
  <si>
    <t>This movie is a one big sexist movie!!!</t>
  </si>
  <si>
    <t>This movie is still lit as today â¤â¤â¤</t>
  </si>
  <si>
    <t>I loved this movie so muchâ¤</t>
  </si>
  <si>
    <t>Marshmallow pink, snowflake white, in soft focus cinematic mode. The western world will be in dire need of a cultural stomach pump of epic proportions, should it even survive all this bourgeois woke sentimentality.</t>
  </si>
  <si>
    <t>ðŸ¤¢ðŸ¤® N</t>
  </si>
  <si>
    <t>z****9</t>
  </si>
  <si>
    <t>Hikkk</t>
  </si>
  <si>
    <t>ðŸŽ‰ðŸ˜Šâ¤. Youwillkam. I love you. Barbi</t>
  </si>
  <si>
    <t>Im your biggest fanâ¤ðŸ˜Š</t>
  </si>
  <si>
    <t>c****s</t>
  </si>
  <si>
    <t>I was never really interested in Barbie but after I watched this I was pretty surprised, the acting was amazing!</t>
  </si>
  <si>
    <t>This movie was the worst i see so far so boring and stupid</t>
  </si>
  <si>
    <t>this whole movie seemed like a vivid lucid dream.</t>
  </si>
  <si>
    <t>Kids always undress Barbie so When the kids get older they will see what Barbie looks like naked in Wolf of Wall Street.</t>
  </si>
  <si>
    <t>The most successful film in 2023Greece ðŸ‡¬ðŸ‡· supports Barbie</t>
  </si>
  <si>
    <t>Pangit ni ken haha,, maganda at pogi pa , Barbie ng animation</t>
  </si>
  <si>
    <t>PH</t>
  </si>
  <si>
    <t>incredible how many npc`s around</t>
  </si>
  <si>
    <t>M****2</t>
  </si>
  <si>
    <t>The movie sucked</t>
  </si>
  <si>
    <t>E****r</t>
  </si>
  <si>
    <t>i wachs this movie in the cinma;]</t>
  </si>
  <si>
    <t>Yay, BARBIE - the ultimate BIMBO movie! All in fuzzy PINK, why that's the GIRLY COLOUR, you just gotta love it! Hey, show off your BODIES, little girls, Barbie's SLENDER curvaceous lines of EYE CANDY are just what you need to make it in this big bad world - if you can't look like that you'll feel BAD about yourself, so go all out for it! Warner Bros incorporated jumped onto the WOKE bandwagon and is making $$$$ MILLIONS of yucky, ploppy FATTY PROFIT TISSUE from countless unsuspecting LITTLE GIRLS' POCKET MONEY, oh wow, way to go!!!!</t>
  </si>
  <si>
    <t>My consin isike barbie and im loke Ken ðŸ˜‚</t>
  </si>
  <si>
    <t>Barbi babe petty Barbi stupid Barbi Barbi gog must Barbi removed in the world</t>
  </si>
  <si>
    <t>L****2</t>
  </si>
  <si>
    <t>disgusting</t>
  </si>
  <si>
    <t>she is joker from sucide squad movie....</t>
  </si>
  <si>
    <t>Chaar chawanni ghoode per.Barbie girl mere loude per." - (sir Oppenheimer)</t>
  </si>
  <si>
    <t>Greta Gerwig talks about feminism and she made a man to divorce his wife for her!Ridiculous!</t>
  </si>
  <si>
    <t>I love barbie movie im going to dress like barbie and my sister and we going to the cinema for now! I'm so excited! ðŸ˜</t>
  </si>
  <si>
    <t>This movie was definitely not what I expected it to be. Kuddos to the creative team behind itðŸ‘</t>
  </si>
  <si>
    <t>KE</t>
  </si>
  <si>
    <t>It's the song from FREE GUY</t>
  </si>
  <si>
    <t>A****u</t>
  </si>
  <si>
    <t>best Dumb movie</t>
  </si>
  <si>
    <t>i****9</t>
  </si>
  <si>
    <t>This movie is absolute garbage omg how woke this is</t>
  </si>
  <si>
    <t>H****e</t>
  </si>
  <si>
    <t>Itâ€™s a god Movie but Mattel makes hot wheels</t>
  </si>
  <si>
    <t>S****S</t>
  </si>
  <si>
    <t>Marketing was excellent. The 1st few minutes were fun and the set design spot on but the movie was meh. Themes/ messages aside I didn't really connect strongly with any characters tho the representation (like real Barbie) was nice. There is NOTHING wrong with delivering a message in the story but it's how it's done. For me, building strong characterization/ empathy for characters/ solid growth arc is key. That's where it failed for me.</t>
  </si>
  <si>
    <t>Barbie world with pride, lust, greed, wrath, envy. Just like in the real world while all the adults are competing with one another the babies/children are forgotten.</t>
  </si>
  <si>
    <t>I watch it already In the movie I'm actually barbie</t>
  </si>
  <si>
    <t>C****x</t>
  </si>
  <si>
    <t>I Love your videos</t>
  </si>
  <si>
    <t>Oh great another movie promoting misandry ðŸ˜</t>
  </si>
  <si>
    <t>Oggi sono andata a vederlo Ã© bellissimo</t>
  </si>
  <si>
    <t>ðŸ˜‚ðŸ˜‚ðŸ˜‚ðŸ˜‚ N</t>
  </si>
  <si>
    <t>V****x</t>
  </si>
  <si>
    <t>I love this movie Iâ€™ve seen him twice â¤</t>
  </si>
  <si>
    <t>I love the line "Humans only have one ending. Ideas live forever." Really hits you right there especially if you've studied philosophy like me</t>
  </si>
  <si>
    <t>Definitely NOT a kids movie. Although the kids probably wont get the adult theme and quotes, but still.......Putting Will Ferrell in this just ruined the whole movie.</t>
  </si>
  <si>
    <t>ðŸ˜ðŸ˜ N</t>
  </si>
  <si>
    <t>BruttoðŸ˜®kðŸ˜…</t>
  </si>
  <si>
    <t>Belloâ¤</t>
  </si>
  <si>
    <t>And I am waiting to see this movie ðŸ˜¢</t>
  </si>
  <si>
    <t>Ðha</t>
  </si>
  <si>
    <t>Z****a</t>
  </si>
  <si>
    <t>I'm Going to watch it</t>
  </si>
  <si>
    <t>I finally decide to give it a benefit of doubt so I watched this trailer. I decided they need to pay me $160/hr to compensate for all the mental suffering for me to watch the whole movie.</t>
  </si>
  <si>
    <t>In Barbie's world a rapist could be perfect.ðŸ¤£ðŸ¤£ðŸ¤£</t>
  </si>
  <si>
    <t>112 Barbie singing Ken pops up Barbieahhhhhhhhhh</t>
  </si>
  <si>
    <t>Oppenheimer is even better</t>
  </si>
  <si>
    <t>I see the barbie movie this great â¤â¤â¤â¤â¤â¤â¤â¤â¤ðŸ˜‚ðŸ˜‚ðŸ˜‚ðŸ˜ŠðŸ˜ŠðŸ˜ŠðŸ˜Š</t>
  </si>
  <si>
    <t>c****w</t>
  </si>
  <si>
    <t>I love barbie I watch it so amazing</t>
  </si>
  <si>
    <t>ALL THESE GUYS ARE DUM FOR ACTING IN THIS MOVIE</t>
  </si>
  <si>
    <t>Ø§Ø­Ø¨Ùƒ Ø¨Ø§Ø±Ø¨Ø§ÙŠÙŠ â¤â¤â¤â¤â¤â¤â¤â¤â¤â¤â¤ N</t>
  </si>
  <si>
    <t>j****m</t>
  </si>
  <si>
    <t>click and watch the full move here</t>
  </si>
  <si>
    <t>IQ</t>
  </si>
  <si>
    <t>d****a</t>
  </si>
  <si>
    <t>This movie is so freaking trash lmao 3/10</t>
  </si>
  <si>
    <t>S****z</t>
  </si>
  <si>
    <t>Can you say chick flick.</t>
  </si>
  <si>
    <t>Greta, We hardly knew ye.</t>
  </si>
  <si>
    <t>A****v</t>
  </si>
  <si>
    <t>I love this movie ðŸ˜</t>
  </si>
  <si>
    <t>yeah i hate barbie</t>
  </si>
  <si>
    <t>Typical American Hollywood rubbish as usual, how can any sane person watch such drivel, Hollywood is cursed, this is why they make nonsensical movies like this</t>
  </si>
  <si>
    <t>f****0</t>
  </si>
  <si>
    <t>O maior de 2023!! ðŸŽ‰</t>
  </si>
  <si>
    <t>r****t</t>
  </si>
  <si>
    <t>I saw like 2 days ago and it was nothing like I expected it was amazingâ¤â¤â¤â¤â¤â¤</t>
  </si>
  <si>
    <t>Wow Harley Quinn is Barbie hmmm</t>
  </si>
  <si>
    <t>s****o</t>
  </si>
  <si>
    <t>As someone who has hated Barbieâ€™s even when I was younger I kinda want to watch the movie lol ðŸ˜…</t>
  </si>
  <si>
    <t>simply STUPID.just by watching the trailer. my IQ dropped 30 points.</t>
  </si>
  <si>
    <t>This beat Super Matio Bros become the highest grossing movie of 2023. Viva Barbie ðŸŽ‰ðŸŽ‰ðŸŽ‰.</t>
  </si>
  <si>
    <t>I love the part when Barbie said to the villain "Do you bleed? You will" . Truly one of the epic movie moments.</t>
  </si>
  <si>
    <t>Barbie was literally my whole world when i was very young! ðŸ’— and Iâ€™m so happy that they made a film in real life about barbie! ðŸ˜»</t>
  </si>
  <si>
    <t>Never thought I would like it at all. LOVED IT!!!</t>
  </si>
  <si>
    <t>Boys who watched this abomination needs to go get helpWhy did you watch this and let it beat MarioYou know this movie is for girls right</t>
  </si>
  <si>
    <t>J****s</t>
  </si>
  <si>
    <t>Another movie where they make the man, Ken especially, feminine and soft.. To save man, all we have is the Avengers ðŸ˜¢</t>
  </si>
  <si>
    <t>I love this movie so much, definitely the best one of 2023. Seen it three times in the cinema and would still watch again. ðŸ˜ðŸ’•</t>
  </si>
  <si>
    <t>AMAZING MOVIE. A.MAZ.ZING!</t>
  </si>
  <si>
    <t>A****0</t>
  </si>
  <si>
    <t>Ð¢Ð°Ðº ÑÐµÐ±Ðµ Ð±Ð°Ñ€Ð±Ð°, Ð¼Ð¾Ð¶Ð½Ð¾ Ð±Ñ‹Ð»Ð¾ Ð¸ Ð¿Ð¾ Ð¿Ñ€Ð¸Ð»Ð¸Ñ‡Ð½ÐµÐµ Ð±Ð°ÑŒÐµÐ½ÐºÑƒ Ð½Ð°Ð¹Ñ‚Ð¸ N</t>
  </si>
  <si>
    <t>Actually one of the best films Iâ€™ve seen in a long time - went with my daughter who is 26 - everyone should see this film</t>
  </si>
  <si>
    <t>I watched this trailer at least 10 times or more. Itâ€™s AmAZING! The best trailer Iâ€™ve seen.</t>
  </si>
  <si>
    <t>ðŸ˜ƒðŸ‘ŒðŸ¾ N</t>
  </si>
  <si>
    <t>I don't know existence of this movie...I just type it because after "barbie girl" song went viral and i found out ðŸ˜®I always busy with studies and praying all times... Even when travelling and still do the same thing ðŸ˜Œ</t>
  </si>
  <si>
    <t>â¤â¤ðŸŽ‰ðŸ˜¢ðŸ˜® N</t>
  </si>
  <si>
    <t>Ð¢Ð°ÐºÐ°Ñ Ñ…ÑƒÐ¹Ð½Ñ ðŸ˜… N</t>
  </si>
  <si>
    <t>F****_</t>
  </si>
  <si>
    <t>If you love barbi this movie is for you ðŸ’If you hate barbi this movie is more for you ðŸ’–</t>
  </si>
  <si>
    <t>â¤ super sir</t>
  </si>
  <si>
    <t>What the</t>
  </si>
  <si>
    <t>Brain poison. Empty of all traditional human values. Promotes toxic feminist ideologies to young kids using the Barbie brand. Disgusting pile of trash! Anyone involved is a huge sell out to corp virtue signalling. A nothing movie.</t>
  </si>
  <si>
    <t>ðŸ˜ N</t>
  </si>
  <si>
    <t>Lucu bngt</t>
  </si>
  <si>
    <t>Oh, poor Ken, Barbie doesn't love him and he so loves her.</t>
  </si>
  <si>
    <t>Watched the movie in theatres. Went to see Barbie the typical oneâ€¦ turns out to be a great movie with an amazing lesson</t>
  </si>
  <si>
    <t>Feminist trash</t>
  </si>
  <si>
    <t>imagine if they put Ryan Reynolds as Ken, more audience will laugh and it would be blockbuster</t>
  </si>
  <si>
    <t>This movie is so good i love the actors good job on the movieðŸ˜ŠðŸ˜Š</t>
  </si>
  <si>
    <t>Barbie joins the Dharma Initiative at the end.</t>
  </si>
  <si>
    <t>A great movie. I enjoyed it so much. Nice.</t>
  </si>
  <si>
    <t>There is curse words in this movie</t>
  </si>
  <si>
    <t>ðŸ˜‚ðŸ˜‚ðŸ˜‚ðŸ˜‚ðŸ˜‚ðŸ˜‚ðŸ˜‚ðŸ˜‚â¤â¤â¤â¤â¤â¤ðŸŽ‰ðŸŽ‰ðŸŽ‰ðŸ˜¢ðŸ˜¢ðŸ˜¢ N</t>
  </si>
  <si>
    <t>I love this trailer</t>
  </si>
  <si>
    <t>Looool not them using the Barbie Girl song when Mattel tried to sue Aqua over it!</t>
  </si>
  <si>
    <t>M****t</t>
  </si>
  <si>
    <t>I love Barbie so I build a house like barbie nothing to explain extordinary great and best for for all ages I promise I won't have any questions or concerns about it</t>
  </si>
  <si>
    <t>K****R</t>
  </si>
  <si>
    <t>Bro sombody please help how do I watch it on netflix</t>
  </si>
  <si>
    <t>Is Ken man from Harry Potter film?</t>
  </si>
  <si>
    <t>Barbie loves Ken , this isn't barbie</t>
  </si>
  <si>
    <t>G****t</t>
  </si>
  <si>
    <t>I think Emma stone would had made a better Barbie. Margot Robbie looks too psychopathic.</t>
  </si>
  <si>
    <t>I think it's funny this is the Barbie movie but honestly Ken is what made the movie good. Without him it would have crashed and burned.</t>
  </si>
  <si>
    <t>Barbie looks just like Jaime Lee presley, even sounds like her.</t>
  </si>
  <si>
    <t>Chat section is full of bots giving praise</t>
  </si>
  <si>
    <t>Hollywood reached a new low</t>
  </si>
  <si>
    <t>Because clowns do that for a paycheck</t>
  </si>
  <si>
    <t>Idiocy at its finest</t>
  </si>
  <si>
    <t>153 The man upstairs/ From the lego movie</t>
  </si>
  <si>
    <t>Absolutely silly movie, gives you nothing, make you loose the rest of yours brain if you had brain before.</t>
  </si>
  <si>
    <t>Kill me.</t>
  </si>
  <si>
    <t>Does anyone know if Barbie movie will play on netflix or Disney+?</t>
  </si>
  <si>
    <t>Ñ‡ÑƒÑˆÑŒ,Ñ…Ð²Ð°Ñ‚Ð¸Ð»Ð¾ Ð¼ÐµÐ½Ñ Ð½Ð° 30.Ð¼Ð¸Ð½ÑƒÑ‚ Ð¿Ñ€Ð¾ÑÐ¼Ð¾Ñ‚Ñ€Ð°. N</t>
  </si>
  <si>
    <t>I LOVE BARBIE SO MUCH â¤ï¸â¤ï¸â¤ï¸</t>
  </si>
  <si>
    <t>ðŸ¥± ðŸ˜´ N</t>
  </si>
  <si>
    <t>-****-</t>
  </si>
  <si>
    <t>*this is ryan gosling as fredy jones from mistery inc... a friend of scooby dog~ !* ðŸ˜†</t>
  </si>
  <si>
    <t>g****4</t>
  </si>
  <si>
    <t>ðŸ¤¢ðŸ¤®ðŸ¤®ðŸ¤®ðŸ¤®ðŸ¤®ðŸ¤®ðŸ¤®ðŸ¤®ðŸ¤®ðŸ¤®ðŸ¤®ðŸ¤®ðŸ¤®ðŸ¤®ðŸ¤®ðŸ¤®ðŸ¤®ðŸ¤®ðŸ¤®ðŸ¤®ðŸ¤®ðŸ¤®ðŸ¤® N</t>
  </si>
  <si>
    <t>050 best scene in the whole movie))))))</t>
  </si>
  <si>
    <t>This movie addresses maladaptive daydreaming. That's the Kenergy, and I'm feeling it ðŸ˜”</t>
  </si>
  <si>
    <t>Ø§Ù†Ø¸Ø±ÙˆÙƒ Ø¹Ø°Ø§Ø¨ Ø§Ù„Ù„Ù‡ ÙŠØ§ÙƒÙØ§Ø± ÙˆØ³ÙˆÙ ØªØªØ°ÙƒØ±ÙˆÙ† ÙƒÙ„Ø§Ù…ÙŠ N</t>
  </si>
  <si>
    <t>I canâ€™t believe they casted Mike Pence as Ken</t>
  </si>
  <si>
    <t>Y****r</t>
  </si>
  <si>
    <t>cringe</t>
  </si>
  <si>
    <t>ðŸ‘ŽðŸ‘ŽðŸ‘ŽðŸ‘ŽðŸ‘ŽðŸ‘ŽðŸ‘ŽðŸ‘ŽðŸ‘ŽðŸ‘ŽðŸ‘ŽðŸ‘ŽðŸ‘ŽðŸ‘ŽðŸ‘ŽðŸ‘ŽðŸ‘Ž N</t>
  </si>
  <si>
    <t>Ù„Ù…Ø§Ø°Ø§ ÙƒÙ„ Ù‡Ø°Ù‡ Ø§Ù„Ø¶Ø¬Ø© Ø¹Ù„Ù‰ Ù‡Ø°Ø§ Ø§Ù„ÙÙŠÙ„Ù…ðŸŽ‰ ØŸ N</t>
  </si>
  <si>
    <t>EG</t>
  </si>
  <si>
    <t>BARBIEâ€™S FILM REVIEWThere's more than meets the eye in this well-made movie. The chosen actors were perfect for their roles. I loved the protagonist and the Kens.As opposed to our bible story, Barbie came first, then Ken. I love that idea.In the Barbie world, everything is perfect, pretty, and pink. But to me, it is too plastic and fake. Barbie and Ken travel to explore the real world. She becomes disappointed and saddened. She experiences emotion, a tear appears on her cheek. Ken, on the other hand, loves seeing the power and the control that men have over women and brings back these ideas into the Barbie world.The Barbies (referring to womenâ€™s lib) fight the Kens and regain the order of their world. Barbie, however, feels different after visiting the real world. She asks permission from her creator to go back and become human.At the end of the movie, Barbie, now Barbara, is back in the world visiting a gynecologist. She might be having a baby. She has fully accepted the human condition with all its ups and downs, and imperfections.MORAL OF THE STORYThe movie sends several messages- To reconsider American values. - There's nothing bad about aiming for perfection. We are all different and nobody is perfect but we can aspire to be the best version of ourselves.- As for the Kens, they really need to go and find themselves.</t>
  </si>
  <si>
    <t>g****a</t>
  </si>
  <si>
    <t>Horrible and toxic movie putting women against men. I pray for the next generations</t>
  </si>
  <si>
    <t>â¤â¤â¤â¤â¤â¤â¤â¤â¤â¤â¤â¤â¤â¤â¤â¤â¤â¤â¤â¤â¤â¤â¤â¤â¤â¤â¤â¤â¤â¤â¤â¤â¤â¤â¤â¤â¤â¤â¤â¤â¤â¤â¤â¤â¤â¤â¤â¤â¤â¤â¤â¤â¤â¤â¤â¤â¤â¤â¤â¤â¤â¤â¤ N</t>
  </si>
  <si>
    <t>M****a</t>
  </si>
  <si>
    <t>I drew her!!! Margo Robbie like a Barbie is wonderful!ðŸ’–</t>
  </si>
  <si>
    <t>R****u</t>
  </si>
  <si>
    <t>Barbie love you ðŸ˜ ðŸ’“ â¤ï¸ ðŸ’— ðŸ’• ðŸ’–</t>
  </si>
  <si>
    <t>Wonderful movie... â¤</t>
  </si>
  <si>
    <t>o****1</t>
  </si>
  <si>
    <t>if this is what barbie moveis is i cant think what will be the live action hot wheels movie</t>
  </si>
  <si>
    <t>Never again.</t>
  </si>
  <si>
    <t>Purnbkchodi movie ðŸ˜‚ðŸ˜‚ðŸ˜‚ðŸ˜‚ðŸ˜‚</t>
  </si>
  <si>
    <t>yup i did heed barbie</t>
  </si>
  <si>
    <t>W****6</t>
  </si>
  <si>
    <t>The movie has reached a billion, apparently it's Warner Bros' highest grossing movie ever. Congrats to the Barbie team for their Barbillion, now there's something to celebrate in our very own Mojo Dojo Casa House. You are Kenough ðŸ¥‚ðŸ˜Ž</t>
  </si>
  <si>
    <t>ðŸ˜ŠðŸŽ‰sdhkon sdrb BarbieðŸŒ¸â¤â¤</t>
  </si>
  <si>
    <t>ðŸ˜ðŸ˜ðŸ˜­ðŸ˜­ðŸ˜ðŸ«¶ðŸ«¶ðŸ«¶ N</t>
  </si>
  <si>
    <t>ima watch this.</t>
  </si>
  <si>
    <t>i****s</t>
  </si>
  <si>
    <t>GOODYGOODMOVIE AFTERALLâ¤</t>
  </si>
  <si>
    <t>ES</t>
  </si>
  <si>
    <t>I love the look of Barbie World. I hope thereâ€™s a second movie where they return to the Barbie world. Itâ€™s sooo much better.</t>
  </si>
  <si>
    <t>The movie implied that i am sexist, evil , that i should have no power, and that im instantly stupid due to being of the male species. This is what I took away from the movie.</t>
  </si>
  <si>
    <t>It's stupid I hate itðŸ˜¡ I'm 14</t>
  </si>
  <si>
    <t>Barbie and ken are the only ones that are dolls in the movie</t>
  </si>
  <si>
    <t>Welcome to the cinema ( the comment section ) Popcorn ðŸ¿ Smallâ€¦â€¦..5.50Mediumâ€¦.6.50Largeâ€¦â€¦..7.50Add butterâ€¦0.75Candy ðŸ¬ (Any size)â€¦4.00Snacks ðŸ¥¨Nachosâ€¦â€¦5.75Hotdogâ€¦â€¦.3.50Hotdog nacho combo..8.00Beverages ðŸ¥¤Soft drink (small)..4.50Soft drink (medium).5.00Soft drink (large)â€¦â€¦5.50Bottled drinkâ€¦â€¦â€¦4.00Dasaniâ€¦â€¦â€¦â€¦â€¦â€¦.4.50Combos ðŸŒ­ðŸ¿ðŸ¥¤1 large popcorn + 1 large drink + candy..18.502 regular popcorn + 2 regular drinks + candyâ€¦25.501 large popcorn + 2 regular drinks + candyâ€¦.20.501 regular popcorn + Dasani + candyâ€¦18.501 regular popcorn + 1 regular drink + candyâ€¦18.001 large drink + hotdog + nachosâ€¦12.50Kids comboSmall Popcorn + drink + candyâ€¦.9.50VIP menu â­ ðŸ” ðŸºCocktailsâ€¦â€¦â€¦â€¦â€¦â€¦â€¦â€¦.8.00Martinisâ€¦â€¦â€¦â€¦â€¦â€¦â€¦â€¦â€¦10.00Beer (glass)â€¦â€¦â€¦â€¦â€¦â€¦â€¦8.50Beer (pitcher)â€¦â€¦â€¦â€¦â€¦â€¦.19.00Beer (bottle)â€¦â€¦â€¦â€¦â€¦â€¦â€¦.6.50Burger + mainsâ€¦â€¦â€¦â€¦â€¦â€¦14.00Saladâ€¦â€¦â€¦â€¦â€¦â€¦â€¦â€¦â€¦â€¦â€¦â€¦15.00Appetizers ( poutine, crispy dills, jalapeÃ±o poppers)â€¦â€¦â€¦â€¦â€¦â€¦â€¦â€¦â€¦â€¦8.001 like ðŸ‘ = 1 VIP membership â­</t>
  </si>
  <si>
    <t>It is a great film. So much to laugh about but sometimes with tears in my eyes. I absoluteley loved the bench scene with the old lady, i think it is the most important moment in the whole movie. It sums up the message in a few words and a glance. So heartwarming and touching - the heart of the movie. It was undoubtedly the best part. We can learn a lot from this...</t>
  </si>
  <si>
    <t>Stupid. !</t>
  </si>
  <si>
    <t>Î Î¿ÏƒÎ¿ Ï‡Î±Î»Î¹Î± Ï„Î±Î¹Î½Î¯Î±... Î±Ï€Î¿Î³Î¿Î®Ï„ÎµÏ…ÏƒÎ·... N</t>
  </si>
  <si>
    <t>Is this movie good for someone under 11 years</t>
  </si>
  <si>
    <t>I wish i was 12 again</t>
  </si>
  <si>
    <t>I Love youâ¤ðŸŽ‰ðŸ˜Š</t>
  </si>
  <si>
    <t>Harry potter N1</t>
  </si>
  <si>
    <t>First time watching the trailer to see what's the big deal. Barbie isn't an interest of mine but I just found out Will Ferrell is in it. 100 will not be watching it now.</t>
  </si>
  <si>
    <t>Haram</t>
  </si>
  <si>
    <t>I one be ken</t>
  </si>
  <si>
    <t>Xkfkfie D'or direktorat Reo orang Roma rkeodidrurkfyfjyf</t>
  </si>
  <si>
    <t>A****h</t>
  </si>
  <si>
    <t>This movie marks the era "who said you are not allowed to be idiotic, idiot?" Fun!</t>
  </si>
  <si>
    <t>p****X</t>
  </si>
  <si>
    <t>a movie i couldnt care less about. like seriously....who pitched this...and who decided to finance it? who cares about barbie aside from young girls. meanwhile nobody makes constantine 2 or master and commander 2</t>
  </si>
  <si>
    <t>Again and thank gosh</t>
  </si>
  <si>
    <t>Abdullah</t>
  </si>
  <si>
    <t>Meanwhile Oppenheimer's gonna bomb this city in no time</t>
  </si>
  <si>
    <t>Is there anyone remember the dress ðŸ˜…ðŸ˜Š</t>
  </si>
  <si>
    <t>O****f</t>
  </si>
  <si>
    <t>048 PRESIDENT BUSINESS- I MEAN WILL FERREL IS IN THIS? I AM GOING TO THE THEATRE. NOW.</t>
  </si>
  <si>
    <t>c****n</t>
  </si>
  <si>
    <t>Don't you think rayan is little old for the ken role?</t>
  </si>
  <si>
    <t>Iâ€™m glad this movie came outðŸ’—</t>
  </si>
  <si>
    <t>CRISTINA c-o sÄƒ mi-o nome Babi rpd engleze s-o ItalianoðŸ‡®ðŸ‡¹</t>
  </si>
  <si>
    <t>American Culture" is an evergreen of short jokes in Europe.</t>
  </si>
  <si>
    <t>come on. Disney+</t>
  </si>
  <si>
    <t>WHERES CHELSEA</t>
  </si>
  <si>
    <t>J****a</t>
  </si>
  <si>
    <t>When does Barbie come on sky</t>
  </si>
  <si>
    <t>p****i</t>
  </si>
  <si>
    <t>I never thought I would be interested in a barbie movie (other than to look at Margot) but this actually seems interesting. I might have to see it.</t>
  </si>
  <si>
    <t>*is that fredy jones from scooby doo right ?*</t>
  </si>
  <si>
    <t>*itu si pirang fredy jones temennya shegy skubi yak ?*</t>
  </si>
  <si>
    <t>So this LGBTQ++ people doesn't have any problem with this movie???</t>
  </si>
  <si>
    <t>n****z</t>
  </si>
  <si>
    <t>I never owned a barbie but always wanted toâ€¦ and itâ€™s been ages this movie is released and I have not yetâ€¦</t>
  </si>
  <si>
    <t>National Cinema Day was awesome because I finally saw Barbie! !!!SPOILER ALERT!!! During part of the movie, I was wondering if "Weird Barbie" or whatever nickname Barbies gave that particular Barbie was Gymnastic Barbie. I guess the existing Barbies were threatened in the 90s when Flat Feet Barbie aka Gymnastic Barbie was introduced to and took the world by storm. Anyhow, the actress did an excellent job portraying high heel Barbie. Her body movements were brilliant. I was admiring her acting very much and wondered how much she had to study the toy to practice "Barbie moves". Great job! Loved the movie. It was colourful, funny, and definitely all about BARBIE and ken. I suggest the lives of broken Barbies be a theme of the next Barbie movie.</t>
  </si>
  <si>
    <t>I so lika barbie</t>
  </si>
  <si>
    <t>End of career</t>
  </si>
  <si>
    <t>lol i love it was so funny and I like the end of the movie</t>
  </si>
  <si>
    <t>f****l</t>
  </si>
  <si>
    <t>It's astounding that THIS is going to be the largest grossing movie ever ! The audience they cater too has got to be kids and low IQ ! THIS IS ABOUT A "DOLL" ! What happened to "The Godfathers", The "Saving Private Ryans", the "Dr. Zhivagos?""The Graduates" ? You can tell this has been coming over the last several years. The BEST Picture Oscar winners were in my book so unworthy it was ridiculous! Oh well, soon I'll be dead and I won't care anymore. It's just sad, because in my life, I've loved and seen so many films. Even attended some awards shows. Now it seems the bar is SO LOW that almost any nonsensical idea makes BILLIONS ! Also, in the movie when Barbie goes to MATTEL, it's ALL MEN ! TRUTH AND FACTS ARE IN REALITY IT'S 50-50 ! SO bashing men is the main theme once again in all these female (?) driven movies ! Have fun and enjoy the movie !</t>
  </si>
  <si>
    <t>R****l</t>
  </si>
  <si>
    <t>good movie for my grandkids...for me pass</t>
  </si>
  <si>
    <t>I am the vine and ye are the branches</t>
  </si>
  <si>
    <t>1****a</t>
  </si>
  <si>
    <t>good. shes not black</t>
  </si>
  <si>
    <t>E****_</t>
  </si>
  <si>
    <t>My friend played in this movieâ€¦sheâ€™s the girl on the very right at 157 and im really proud of her</t>
  </si>
  <si>
    <t>This movie blows</t>
  </si>
  <si>
    <t>There should be an AMERICAN playing Barbie, who can pronounce the name Barbie properly. Margot says welcome to Bobbies dream house. Just sounds WRONG. Barbie is an AMERICAN ICON. An American, born and bred.</t>
  </si>
  <si>
    <t>Worst movie ever ðŸ¤£ðŸ¤£</t>
  </si>
  <si>
    <t>G****l</t>
  </si>
  <si>
    <t>Margot Robbie is one of the sexiest cowgirls Iâ€™ve ever seen. Dutches I love you</t>
  </si>
  <si>
    <t>B****q</t>
  </si>
  <si>
    <t>Barbie directly propartional to Pinkinessssâ¤</t>
  </si>
  <si>
    <t>J****9</t>
  </si>
  <si>
    <t>The movie was so good</t>
  </si>
  <si>
    <t>-****.</t>
  </si>
  <si>
    <t>Iconic Movie ðŸ’–ðŸ’˜â˜ï¸</t>
  </si>
  <si>
    <t>I used to floatNow i just fall down</t>
  </si>
  <si>
    <t>Omg 11.1M subscribeðŸ˜Š I love it</t>
  </si>
  <si>
    <t>i****a</t>
  </si>
  <si>
    <t>ðŸ˜…00llll00ðŸ˜…ðŸ˜…ðŸ˜…0ðŸ˜®ðŸ˜…ðŸ˜®?ðŸ˜…ðŸ˜…0</t>
  </si>
  <si>
    <t>This is a lot of rubbish</t>
  </si>
  <si>
    <t>F****l</t>
  </si>
  <si>
    <t>I whould actually watch this ngl</t>
  </si>
  <si>
    <t>Margot Robbie is every film character.</t>
  </si>
  <si>
    <t>i literally saw it tonight and all i can say is... IT WAS AMAAZING</t>
  </si>
  <si>
    <t>r****y</t>
  </si>
  <si>
    <t>I couldn't imagine having to sit through this movie.</t>
  </si>
  <si>
    <t>This movie was hilarious</t>
  </si>
  <si>
    <t>Looks Very Good</t>
  </si>
  <si>
    <t>What a stupid movie!!</t>
  </si>
  <si>
    <t>Itâ€™s a really good movie and finally a female lead thatâ€™s well done and not cringy and doesnâ€™t win by being physically stronger than men.</t>
  </si>
  <si>
    <t>HU</t>
  </si>
  <si>
    <t>Ahghnfjjejgff 241 241 241 hhshahhwhafhagaggwgahshkakjakajðŸ˜‚ðŸŽ‰yahakjajaXABsjsjjsksjzjâ¤hsjxskðŸ˜®ðŸ˜…ðŸ˜¢hshfzhksðŸ˜Šjshsjdhhsjsmhs 241 241 241 241 241 241 241 suhsbshsjhsysu</t>
  </si>
  <si>
    <t>i****0</t>
  </si>
  <si>
    <t>the 1st time i watched it I found it weird. So to be more open minded, I watched it a 2nd time... and WOUAWWWWW what a MASTERPIECE!!!!!! it is so overloaded by millions of subtilities in each sentences, that I understand it much better and am able to totally appreciate it ðŸ¥°ðŸ˜ It is either too advanced for older generations like mine who got brainwashed by those genders roles, either misunderstand by younger generations who never felt oppressed. This movie conclusion is what our futur should lead to NO genders (and no races neither) should ever be considered as less!!!!!! Equal doesn't mean similar. Equal just means you and me are just equally as important!! ðŸ™this movie is definitely a 10/10 unless you missed some of the deeper levels and perspectives.</t>
  </si>
  <si>
    <t>Barbie got into jail because she protected herself from the Ohio booty tickling bandit</t>
  </si>
  <si>
    <t>Iâ€™m old enough to remember when Barbieâ„¢ï¸ was considered to be a terribly unrealistic and psychologically dangerous role-model for young girls.</t>
  </si>
  <si>
    <t>I watched it and it was very very boring. It was made for young educated women who, in a kind of obsessive-compulsive disorder, have to satisfy their identitarian needs despite already being permanently pampered by the defining public discourses of the day.</t>
  </si>
  <si>
    <t>This movie is candy coated poison for children.</t>
  </si>
  <si>
    <t>Poor KenðŸ˜¢ The only positive character in this movie...</t>
  </si>
  <si>
    <t>028 Groove Street from GTA San Andreas ðŸ˜‚029 - Vice City Ocean Beach.</t>
  </si>
  <si>
    <t>The best part is Margot Robbie really does look like Barbie come to lifeâ¤</t>
  </si>
  <si>
    <t>Not me just watching this and loving it Xd</t>
  </si>
  <si>
    <t>L****V</t>
  </si>
  <si>
    <t>âœ¨ Yep, I'm the Ken of this scenario â€“ mastering the art of being perfectly imperfect! ðŸ’â€â™‚ðŸŽ‰ #KenLife #BarbieLandAdventures</t>
  </si>
  <si>
    <t>I love Barbie and I am going to the Barbie movie on Sunday</t>
  </si>
  <si>
    <t>A boar wouldnâ€™t want to watch your movie. Too woke for Boarâ€™s soul.</t>
  </si>
  <si>
    <t>Iâ€™m gonna go and watch it now</t>
  </si>
  <si>
    <t>g****f</t>
  </si>
  <si>
    <t>I saw it the 2nd day that it came out itâ€™s 100% worth it trust me ðŸ’ ðŸ’• â¤ï¸ ðŸ’—</t>
  </si>
  <si>
    <t>T****r</t>
  </si>
  <si>
    <t>BEAURIFUL BARBIE</t>
  </si>
  <si>
    <t>_****9</t>
  </si>
  <si>
    <t>Greetings from Kolkata India ðŸ‡®ðŸ‡³</t>
  </si>
  <si>
    <t>TÃ¼rk yok mu</t>
  </si>
  <si>
    <t>Film trop drÃ´le ! Ã‡a vaut la peine</t>
  </si>
  <si>
    <t>i like this movie this movie is beautiful and so funn</t>
  </si>
  <si>
    <t>0****5</t>
  </si>
  <si>
    <t>Nice</t>
  </si>
  <si>
    <t>One of the worst movies I've seen unfortunately.</t>
  </si>
  <si>
    <t>n****h</t>
  </si>
  <si>
    <t>Warner Bros why didn't you add the fifty fifty Barbie dreams song it's so addictive i pive that songgg</t>
  </si>
  <si>
    <t>I really want to watch this movie but I'm not allowed toðŸ˜­ðŸ˜­ðŸ˜­ðŸ˜­</t>
  </si>
  <si>
    <t>I love you â¤ BARBI and freen</t>
  </si>
  <si>
    <t>This movie was amazing well done ðŸ˜Š</t>
  </si>
  <si>
    <t>I love barbie I been a fan of her 35 years</t>
  </si>
  <si>
    <t>S****r</t>
  </si>
  <si>
    <t>As an Aussie who is gonna watch this today. IT.IS.NOT.SUMMER.no hate ðŸ§–ðŸ§–â€â™€ï¸</t>
  </si>
  <si>
    <t>Couples should watch the wall-e movie instead Barbie cause it ruins relationships</t>
  </si>
  <si>
    <t>God Bless Barbie and Margot Robbie. Star power...I love her for the privacy she was given to live her life on her terms...First movie I will hope see on the Big screen in half a decade...Its like therapy..ðŸ˜Š</t>
  </si>
  <si>
    <t>Very good movie</t>
  </si>
  <si>
    <t>Wasn't expecting myself to like this film as much as I did... Loved it. Gladly watch again. Good actor choices and acting etc. Only bad part was the credit song ðŸ˜‚ but hey ho gotta keep your audience I guess.</t>
  </si>
  <si>
    <t>Not For kids people!!</t>
  </si>
  <si>
    <t>ðŸ˜¡ðŸ˜¡ðŸ˜¡ðŸ˜¡ðŸ˜¡ðŸ˜¡ðŸ˜¡ðŸ˜¡ðŸ˜¡ðŸ˜¡ðŸ˜¡ðŸ˜¡ðŸ˜¡ðŸ˜¡ðŸ˜¡ðŸ˜¡ðŸ˜¡ðŸ˜¡ðŸ˜¡ðŸ˜¡ðŸ˜¡ðŸ˜¡ðŸ˜¡ðŸ¤¬ðŸ¤¬ðŸ¤¬NOOOOOOOOOO</t>
  </si>
  <si>
    <t>My dreem life</t>
  </si>
  <si>
    <t>Afilm nice</t>
  </si>
  <si>
    <t>7****s</t>
  </si>
  <si>
    <t>051 FLAAAAAAT FEEEEEEEEEEEEEEETT!!!!!! I'm laughing hysterically at this, lol!</t>
  </si>
  <si>
    <t>N****i</t>
  </si>
  <si>
    <t>The movie is missing an important thing! LOVE! It is sad.</t>
  </si>
  <si>
    <t>As men, we always do not care about your nonsense. All we care about is our loved ones and making a change in the world. In the end, we are people of action, not shows and talk.. But the problem here is that you touch the minds of children in a disgusting way, so I apologize, men, but I have to say it.. Women (mostly in your society) They feel inferior, incompetent, and not making a change in the world, unlike men, so instead of making a greater effort, cooperation, and thinking about how to present what is useful to the world, you went to try to distort and diminish the image of the man (in a pathetic way) until he becomes at the same low level as you to feel satisfied.. This In short, what you are trying to do from time to time, of course, nothing will change and we do not care, but since you are tired of trying and now you are heading to the children here, people should stop you, because this will affect peopleâ€™s lives in the future (the smart one will know what I am talking about)</t>
  </si>
  <si>
    <t>I also wanted the movie â¤â¤â¤â¤ðŸ˜‚ðŸ˜‚ðŸ˜‚ðŸ˜‚ðŸ˜‚ðŸŽ‰ðŸŽ‰ðŸŽ‰ðŸŽ‰ðŸŽ‰â¤â¤â¤â¤â¤ðŸ˜‚ðŸ˜‚ðŸ˜‚ðŸ˜‚ðŸŽ‰ðŸŽ‰ðŸŽ‰</t>
  </si>
  <si>
    <t>I love babieâ¤â¤â¤â¤â¤â¤â¤â¤â¤â¤â¤â¤â¤â¤â¤â¤â¤â¤â¤â¤â¤â¤</t>
  </si>
  <si>
    <t>Shut up I love the Barbie movieðŸ˜‚</t>
  </si>
  <si>
    <t>Barbie and Ken are so nice ðŸ™‚ðŸ™‚ðŸ™‚ðŸ™‚ðŸ™‚</t>
  </si>
  <si>
    <t>Please help me it was like a week ago I watched that movie and then Iâ€™m still sitting here crying</t>
  </si>
  <si>
    <t>After All pink earth</t>
  </si>
  <si>
    <t>Before a nice day ever</t>
  </si>
  <si>
    <t>K****1</t>
  </si>
  <si>
    <t>They are wrong , if you believe in God you will live forever</t>
  </si>
  <si>
    <t>Ryan colising is Ken how</t>
  </si>
  <si>
    <t>Finally a movie for real men. We look forward to it</t>
  </si>
  <si>
    <t>Ð¢Ð°Ð¼ Ñ€Ð¾Ð´Ð½Ð¾Ð¹ Ð“Ñ€Ð¾Ð² Ð¡Ñ‚Ñ€Ð¸Ñ‚ N</t>
  </si>
  <si>
    <t>R****3</t>
  </si>
  <si>
    <t>I hate Barbie doll ðŸ¤¬$_&amp;#+$+;'2ðŸ–¤ðŸ–¤ðŸ–¤ðŸ–¤ðŸ–¤ðŸ–¤ðŸ–¤ðŸ–¤ðŸ–¤ðŸ–¤ðŸ”¥ðŸ–¤ðŸ–¤ðŸ–¤ðŸ–¤ðŸ–¤ðŸ–¤ðŸ–¤ðŸ–¤ðŸ–¤ðŸ–¤ðŸ–¤ðŸ–¤ðŸ¤¬ðŸ¤¬ðŸ–¤ðŸ–¤ðŸ¤¬ðŸ–¤ðŸ¤¬ðŸ–¤ðŸ¤¬ðŸ–¤ðŸ¤¬</t>
  </si>
  <si>
    <t>000000000000000000000000000000000000000000000000000468 N</t>
  </si>
  <si>
    <t>â¤â¤â¤â¤â¤â¤â¤â¤â¤â¤â¤â¤â¤â¤â¤â¤â¤â¤â¤â¤â¤â¤â¤ Ø¨Ø§Ø±Ø¨ÙŠ Ø±ÙˆØ­ÙŠ Ø§Ø³ÙƒÙ†ÙŠ Ø¹Ù†Ø¯Ù†Ø§ N</t>
  </si>
  <si>
    <t>police man i swear the god......</t>
  </si>
  <si>
    <t>Ú©ÛŒØ±ÙˆØ§Ù†Ø§ Ø³Ø§Ø²Ù†Ø¯Ù‡ Ø§ÛŒÙ† N</t>
  </si>
  <si>
    <t>s****g</t>
  </si>
  <si>
    <t>I loved the matrix references.</t>
  </si>
  <si>
    <t>ðŸ˜ŠðŸ˜ŠðŸ˜ŠðŸ˜ŠðŸ˜Š N</t>
  </si>
  <si>
    <t>I****S</t>
  </si>
  <si>
    <t>All Joan Cusack ever wanted was a Ballerina Barbie but ended up getting MALIBU BARBIE</t>
  </si>
  <si>
    <t>â¤ðŸŽ‰â¤â¤â¤â¤â¤â¤â¤ðŸŽ‰ðŸŽ‰ðŸŽ‰ðŸŽ‰ðŸŽ‰ðŸŽ‰ðŸ˜¢ðŸŽ‰ðŸŽ‰ N</t>
  </si>
  <si>
    <t>N****k</t>
  </si>
  <si>
    <t>This movie is haramðŸ˜¡ðŸ˜¡ðŸ˜¡ðŸ‘ºðŸ‘ºðŸ‘ºðŸ‘¹ðŸ‘¹ðŸ’©ðŸ’©ðŸ’©ðŸ˜¾ðŸ˜¾ðŸ‘ŽðŸ‘ŽðŸ‘ŽðŸ˜ˆðŸ˜ˆ</t>
  </si>
  <si>
    <t>Without the blaring music And costumes. I guess whats summer without some drama ?</t>
  </si>
  <si>
    <t>D****b</t>
  </si>
  <si>
    <t>Hollywood is a joke</t>
  </si>
  <si>
    <t>How Tf is her American accent so good</t>
  </si>
  <si>
    <t>A fable about how too much matriarchy or too much patriarchy are BAD THINGS.</t>
  </si>
  <si>
    <t>I am glad i did not throw the money on this...</t>
  </si>
  <si>
    <t>yarrak gb film aq oppenheimer daha iyi</t>
  </si>
  <si>
    <t>I don't like this barbie movie in my opinion the cartoon is betterðŸ˜®</t>
  </si>
  <si>
    <t>XDDD</t>
  </si>
  <si>
    <t>I did not like the movieðŸ™„ðŸ˜’</t>
  </si>
  <si>
    <t>I saw the film barbie thise is a great movie â¤â¤ I want to be a barbieðŸ˜¢ðŸ˜Š I am so a fan from thise barbie movieâ¤â¤â¤ðŸ˜Š</t>
  </si>
  <si>
    <t>050 â€â€ªAre you serious?</t>
  </si>
  <si>
    <t>I****r</t>
  </si>
  <si>
    <t>Wohoo,There's ðŸŒˆ everywhere,eat that sigmas</t>
  </si>
  <si>
    <t>ð—–ð—¼ð—¼ð—¹ #ð—¯ð—®ð—¿ð—¯ð—¶ð—²ð—³ð—¶ð—¹ð—º N</t>
  </si>
  <si>
    <t>Y****u</t>
  </si>
  <si>
    <t>Couldn't watch it but literally see 8 yr old in America on yt go and watch it!? Really upsetting, the whole point of barbie is for little girls. I'm so jealous the people who got to watch it but when I turn 15 its probably gonna me less popular</t>
  </si>
  <si>
    <t>Ù…Ø¨Ø¹Ø±ÙØ´ Ù„ÙŠØ´ Ù…ÙŠØªÙŠÙ† Ø¹Ù„Ù‰ Ù‡Ù„ÙÙ„Ù… N</t>
  </si>
  <si>
    <t>N****n</t>
  </si>
  <si>
    <t>Eddie Murphy should have been Ken</t>
  </si>
  <si>
    <t>â¤â¤â¤â¤â¤ N</t>
  </si>
  <si>
    <t>Not exactly inspiring.</t>
  </si>
  <si>
    <t>Wasted my money.</t>
  </si>
  <si>
    <t>Absolutely hated it.</t>
  </si>
  <si>
    <t>In this movie, there are too many integrated advertisements.</t>
  </si>
  <si>
    <t>This makes me want to kmsssss</t>
  </si>
  <si>
    <t>No 9 dash line</t>
  </si>
  <si>
    <t>A****r</t>
  </si>
  <si>
    <t>ÙÙ„Ù… ÙˆØ³Ø® Ø§Ù„ØºØ§ÙŠØ© Ø§ÙˆØ³Ø® ÙÙ„Ù… ÙÙŠ Ø§Ù„ØªØ§Ø±ÙŠØ® ÙˆÙ…Ù† ÙŠÙ‚ÙˆÙ„ Ø¹Ù„ÙŠÙ‡ Ø±Ø§Ø¦Ø¹ ÙÙ‡Ùˆ ÙˆØ³Ø® Ù…Ø«Ù„Ù‡ ÙˆØµØ§Ù†Ø¹Ù‡ Ù…ÙˆØ³Ø® N</t>
  </si>
  <si>
    <t>film aneh</t>
  </si>
  <si>
    <t>k****.</t>
  </si>
  <si>
    <t>I watched it and it was amazing. Loved it. ðŸ’—</t>
  </si>
  <si>
    <t>I don't like barbie but I really love Robbie Margot, so I'll watch this for sure â¤</t>
  </si>
  <si>
    <t>Since I am confused whether to love or hate Barbie, is this film for me?</t>
  </si>
  <si>
    <t>d****l</t>
  </si>
  <si>
    <t>My Barbenheimer-Mashup is online NOW!</t>
  </si>
  <si>
    <t>P****0</t>
  </si>
  <si>
    <t>Liberal indoctrination S#itshow meant to destroy the dynamics of the nuclear family by painting men as evil animals. If you canâ€™t see this you are asleep at the wheel</t>
  </si>
  <si>
    <t>j****u</t>
  </si>
  <si>
    <t>just they want to watch this because of money</t>
  </si>
  <si>
    <t>guys dont watch this movie is very very bad it also not for every one</t>
  </si>
  <si>
    <t>Why did I think that Ryan Gosling and Freddie Prinze Jr that acted as Fred Jones in Scooby Doo, were the same person ðŸ’€</t>
  </si>
  <si>
    <t>I just watched it today.</t>
  </si>
  <si>
    <t>the devil came out with the movie</t>
  </si>
  <si>
    <t>Why did this pop up when I literally searched Oppenheimer.</t>
  </si>
  <si>
    <t>What a waste of time</t>
  </si>
  <si>
    <t>If I ever get explosive diarrhea I will be first in line to see this pepto bismo nightmare.</t>
  </si>
  <si>
    <t>Bad movie</t>
  </si>
  <si>
    <t>Its suppose to be gender "equality" not "gender" equality</t>
  </si>
  <si>
    <t>c****t</t>
  </si>
  <si>
    <t>ðŸ¤®ðŸ¤®ðŸ¤®ðŸ¤®ðŸ¤®i feel</t>
  </si>
  <si>
    <t>n****e</t>
  </si>
  <si>
    <t>Maybe someone already said this, but after seeing the reaction of people who watched Barbie and thinking about main idea of movie, I think WB and Mattel should make this movie free on YouTube. They already made lots of money, but this movie will soon be forgotten, so how about getting it in here, so all little girls and boys around the globe will have possibility to watch it as many times, as they want to? Imaging reaction of the people! I think it will lead not only to changing of the World, but also to the increase in sales of Barbie! Profit!</t>
  </si>
  <si>
    <t>Barbie launched in japanOppenheimer *[FINISH THE SENTENCE]*</t>
  </si>
  <si>
    <t>test</t>
  </si>
  <si>
    <t>n****n</t>
  </si>
  <si>
    <t>Worst ðŸ˜¶</t>
  </si>
  <si>
    <t>Y****9</t>
  </si>
  <si>
    <t>Iâ€™m gonna wach it</t>
  </si>
  <si>
    <t>Awesome, our family loved watching this.</t>
  </si>
  <si>
    <t>A friend told me No to watch it because is not worth it. But I didn't listen her. I should. Because it was no good at all. Disappointed</t>
  </si>
  <si>
    <t>this is the most stupidest movie</t>
  </si>
  <si>
    <t>HI IM BARBIE</t>
  </si>
  <si>
    <t>r****e</t>
  </si>
  <si>
    <t>wow who wouldâ€™ve thought !? i literally cried REAL TEARS watching â€œBarbieâ€ it definitely hit home for me , humbling yet joyous feeling my soul with nothing but amazing memories i truly do miss being young innocent living carefree ðŸ’” thank you to the creators of this wonderful MASTERPIECE ðŸ˜šðŸ«°ðŸ½</t>
  </si>
  <si>
    <t>M****s</t>
  </si>
  <si>
    <t>i hated this movie. Horrible message with the only intention of destroying the family tree</t>
  </si>
  <si>
    <t>ok</t>
  </si>
  <si>
    <t>I dont get the appeal, my 8 year old niece loves barbies but does not want to see the movie, said if she cant direct it its not a movie ðŸ˜‚</t>
  </si>
  <si>
    <t>#Write Billion Place !Thank you !</t>
  </si>
  <si>
    <t>im barbie</t>
  </si>
  <si>
    <t>im so icsidid im oing to see it tnit</t>
  </si>
  <si>
    <t>Sorry they look nothing like Barbie ðŸ˜‚ðŸ˜‚ðŸ˜‚</t>
  </si>
  <si>
    <t>×¡×¨×˜ ×ž×ž×© ×™×¤×” ×—×‘×œ ×¢×œ ×”×–×ž×Ÿ N</t>
  </si>
  <si>
    <t>war nix besonderes</t>
  </si>
  <si>
    <t>Plastic is foreverâ€¦ ðŸ˜‚</t>
  </si>
  <si>
    <t>a****g</t>
  </si>
  <si>
    <t>bro i searched for "oppenheimer trailer" ðŸ’€</t>
  </si>
  <si>
    <t>K****A</t>
  </si>
  <si>
    <t>Uh, if you live in Southern California, namely Orange County, this is old news.</t>
  </si>
  <si>
    <t>JUST CAME TO DISLIKE</t>
  </si>
  <si>
    <t>t****r</t>
  </si>
  <si>
    <t>ÙÙŠÙ„Ù… Ø¨Ø§Ø±Ø¨ÙŠ ÙˆØ§Ù„Ø³Ø§Ø­Ø±Ù‡ Ø§Ù„Ø¬Ø¯ÙŠØ¯ Ø­ØµØ±Ø³Ø§ Ø¹Ù„Ù‰ Ù‚Ù†Ø§Ø© Ø§Ù„Ø­ÙƒØ±ÙˆØ´Ù‡ . . Ù‚Ø±ÙŠØ¨Ø§ ÙˆØ­ØµØ±ÙŠØ§ N</t>
  </si>
  <si>
    <t>158 At this point, I felt so sorry for Margo ðŸ˜¢</t>
  </si>
  <si>
    <t>ken is litreally me</t>
  </si>
  <si>
    <t>Oh did y'all like smashing baby dolls? Creepy brain-washing targeting girls.</t>
  </si>
  <si>
    <t>bruh tahat awsshit isss sasaaaassssssssssssss</t>
  </si>
  <si>
    <t>I was skeptical of Ryan Gosling playing Ken (I'd never seen him in a comedic role before). I was pleasantly surprised. He was perfect in this!</t>
  </si>
  <si>
    <t>This seems like one of these "its soo stupid its funny" movies!hopefully it doesnt cross into the "so stupid, its annoying" category!</t>
  </si>
  <si>
    <t>N****y</t>
  </si>
  <si>
    <t>I expected a good ending.</t>
  </si>
  <si>
    <t>A****N</t>
  </si>
  <si>
    <t>I WAD NEARLY DYING BECAUSE OF YOUðŸ˜’ðŸ˜’ðŸ˜’ðŸ˜’ðŸ˜’ðŸ˜’ðŸ˜¡ðŸ˜¡ðŸ¤¬ðŸ˜¡ðŸ˜¡ðŸ¤¬ðŸ¤¬ðŸ˜¡ðŸ˜¡ðŸ˜¡ðŸ˜¡ðŸ˜¡ðŸ¤¬ðŸ¤¬ðŸ¤¬ðŸ¤¬ðŸ¤¬ðŸ¤¬ðŸ¤¬ðŸ¤¬ðŸ¤¬ðŸ¤¬ðŸ¤¬ðŸ˜’ðŸ˜’ðŸ˜’ðŸ˜’</t>
  </si>
  <si>
    <t>h****9</t>
  </si>
  <si>
    <t>The worst movie I ever seen</t>
  </si>
  <si>
    <t>p****t</t>
  </si>
  <si>
    <t>IM SO PUMPED TO WATCH THIS!! â¤ðŸŽ‰ðŸ˜Š</t>
  </si>
  <si>
    <t>It is a very beautiful movie. I recommend it to everyone. Please let the 2nd part come.â¤â¤â¤</t>
  </si>
  <si>
    <t>5/10 underwhelming. Had high expectations but oh well</t>
  </si>
  <si>
    <t>QofYddrr</t>
  </si>
  <si>
    <t>lzlalakakslalaakðŸ˜ðŸ‘§ðŸ‘§ðŸ‘©ðŸ‘©ðŸ‘µðŸ‘µðŸ’</t>
  </si>
  <si>
    <t>Ð Ð°Ð¹Ð°Ð½ Ð“Ð¾ÑÐ»Ð¸Ð½Ð³ N</t>
  </si>
  <si>
    <t>2****g</t>
  </si>
  <si>
    <t>This movie is just terribleâ€¦</t>
  </si>
  <si>
    <t>N****.</t>
  </si>
  <si>
    <t>It time for Oppenheimer</t>
  </si>
  <si>
    <t>O- o-o</t>
  </si>
  <si>
    <t>K****r</t>
  </si>
  <si>
    <t>One question is this movie for kids or adults?</t>
  </si>
  <si>
    <t>Ngl really wasnâ€™t on board until I saw Ryan gosling put on his sunglasses over his sunglassesðŸ˜‚</t>
  </si>
  <si>
    <t>Ou are kenough</t>
  </si>
  <si>
    <t>BarbieðŸ˜Š</t>
  </si>
  <si>
    <t>ðŸ˜‚ðŸ˜‚ðŸ˜‚ stupid barbie ðŸ˜‚ðŸ˜‚ðŸ˜‚ looool</t>
  </si>
  <si>
    <t>A****5</t>
  </si>
  <si>
    <t>Propaganda for children!!! Do not recommend</t>
  </si>
  <si>
    <t>stupid</t>
  </si>
  <si>
    <t>Tom Felton the kid who played 'draco malfoy' should have been ken, this is all wrong. in real life all the perfect men are evil }XD</t>
  </si>
  <si>
    <t>I love the movie</t>
  </si>
  <si>
    <t>ðŸ’©ðŸ‘ N</t>
  </si>
  <si>
    <t>D****n</t>
  </si>
  <si>
    <t>I want a Ken like him in my life â¤</t>
  </si>
  <si>
    <t>Great movie. Loved every second of it. Costumes, plot, cast... Perfect. And it was hilarious too! ðŸ˜</t>
  </si>
  <si>
    <t>ðŸ©·ðŸ©·ðŸ©·ðŸ©·ðŸ©· N</t>
  </si>
  <si>
    <t>That is a very old story about the pimp and his prostitute.</t>
  </si>
  <si>
    <t>BARBIE BE LIKEYOU GUYS EVER THINK ABOUT DYING?ðŸ˜ƒðŸ˜€</t>
  </si>
  <si>
    <t>T****4</t>
  </si>
  <si>
    <t>1billion dollarsðŸŽ‰ðŸŽ‰</t>
  </si>
  <si>
    <t>B****3</t>
  </si>
  <si>
    <t>If you haven't seen it, I'll sum up the entire movie for you (spoilers)"Men bad."There, now you don't have to see it. You're welcome.</t>
  </si>
  <si>
    <t>Hey barbie</t>
  </si>
  <si>
    <t>love it</t>
  </si>
  <si>
    <t>What time is this playing?</t>
  </si>
  <si>
    <t>What time is Barbie playing today</t>
  </si>
  <si>
    <t>anyone know the song title near the very end?</t>
  </si>
  <si>
    <t>Is there an opinion from anyone who isnâ€™t a 16 year old girl or bot? The movie was hyped beyond belief Iâ€™m genuinely confused if itâ€™s good or if advertising via social media is just too effective.Like yes, it has Ryan Gosling. Great. But what else?</t>
  </si>
  <si>
    <t>B****2</t>
  </si>
  <si>
    <t>She looks like hailey Quinn</t>
  </si>
  <si>
    <t>Its men's film broo</t>
  </si>
  <si>
    <t>a****o</t>
  </si>
  <si>
    <t>Fa calcare BARBIE!!! E Fa vomitare ðŸ¤®ðŸ¤®ðŸ¤®ðŸ¤®ðŸ¤®ðŸ¤®ðŸ¤®ðŸ¤®ðŸ¤®ðŸ¤®ðŸ¤®ðŸ¤£ðŸ¤£ðŸ¤£ðŸ¤£</t>
  </si>
  <si>
    <t>Gza</t>
  </si>
  <si>
    <t>it has 69M views lol</t>
  </si>
  <si>
    <t>ðŸ¤¡ðŸ¤¡ðŸ¤¡ðŸ¤¡ðŸ¤¡ N</t>
  </si>
  <si>
    <t>The man deserved the punchðŸ˜‚</t>
  </si>
  <si>
    <t>T****.</t>
  </si>
  <si>
    <t>Barbie is a 2023 American fantasy comedy film directed by Greta Gerwig from a screenplay she wrote with Noah Baumbach</t>
  </si>
  <si>
    <t>WONKA | Official New Trailer_2023</t>
  </si>
  <si>
    <t>WONKA | Official New Trailer_2023 Recited By Warner Bros. Pictures | Trailer A</t>
  </si>
  <si>
    <t>The Marvels-Official_Trailer (2023)</t>
  </si>
  <si>
    <t>The Marvels-Official_Trailer (2023) Recited By Marvel Entertainment | Trailer A</t>
  </si>
  <si>
    <t>Only OPPENHEIMER</t>
  </si>
  <si>
    <t>Dude if you punch barbie she will do the same as twice</t>
  </si>
  <si>
    <t>CringeðŸ’€</t>
  </si>
  <si>
    <t>Aint the main char playing as barbie is harlequinn as well</t>
  </si>
  <si>
    <t>w****d</t>
  </si>
  <si>
    <t>Absolute disaster</t>
  </si>
  <si>
    <t>q****2</t>
  </si>
  <si>
    <t>This movie is just like every other movie today women empowerment and making it seem like women have n I rights they don't have top jobs in real world. This movie is full of lies!!</t>
  </si>
  <si>
    <t>J****y</t>
  </si>
  <si>
    <t>Even her feet are gorgeous.. Margot Robbie.. Mwa! ðŸ˜</t>
  </si>
  <si>
    <t>ana ley iluv barbeie</t>
  </si>
  <si>
    <t>Ima say that film trash because it for girls, every boy should go watch Oppenheimer, or just dont go to the cinema, idc but dont watch that film as a boy until ur alone in this room so u can uhm u know what to doðŸ˜‚</t>
  </si>
  <si>
    <t>I'm a Barbie Girl, in Patriarchal worldlife is just oppression, I learned my lessonAll of men are bad, my life is so sa-aaadA femanazi hive mind, all the Bs do is whine.C'mon Barbie, Let's protest Patriarchy!</t>
  </si>
  <si>
    <t>B****Z</t>
  </si>
  <si>
    <t>barbie is litterally harley quinn ðŸ’€ðŸ’€ðŸ’€</t>
  </si>
  <si>
    <t>*Sound Of Freedom was such an epic movie* ðŸ‡ºðŸ‡¸ðŸ’¯ðŸ‡ºðŸ‡¸ Definitely worth the money and the watch time. Unlike this garbage. ðŸ¥´</t>
  </si>
  <si>
    <t>Ben Barbie Ve sen Debizzzzzz</t>
  </si>
  <si>
    <t>Looks like the dumbest movie ever made, big waste of money</t>
  </si>
  <si>
    <t>Barbie is now in India guys ðŸ§˜â€â™€ï¸</t>
  </si>
  <si>
    <t>Shows kids the real world very informative of the patriarchy</t>
  </si>
  <si>
    <t>This was so accurate to how it was playing with barbies when I was young. I was smiling the whole time and even cried some. I can't wait to see it again. My husband teared up at the end and he never played with barbies!</t>
  </si>
  <si>
    <t>You have to be a Genius to name an emotional/spiritual movie with a commercial name just for the people to come! I never expected that. The whole movie is just a metaphor for life itself. In the beginning looks like yea, a topical American movie but in the end, all pieces come together and the big moment comes and it really makes all your emotions swim inside you, and then the reaction. It was in the end a real explosion of emotions.</t>
  </si>
  <si>
    <t>Logi</t>
  </si>
  <si>
    <t>Iâ€™m not really attracted to Margot Robbie and yet women apparantly think she is extremely good looking. In fact there was one scene where the narrator paused to tell the audience that the scene would have worked better if they had cast someone who was less beautiful than Margot.</t>
  </si>
  <si>
    <t>Barbie loves foldingðŸ©·</t>
  </si>
  <si>
    <t>This looks absolutely creepy weird unfunny and annoying ðŸ’©ðŸ¤®</t>
  </si>
  <si>
    <t>This is a garbage movie to waste money on. You want to defend women's rights there are lots better ways to do that than advertising for Barbie dolls in the name of women to sell more Barbie's and making people to watch this junky</t>
  </si>
  <si>
    <t>The fact that this video has 69 million views!!!!!Very sus huh</t>
  </si>
  <si>
    <t>with the amount of hype this mocie had and everyone sayin' it's sooo good, i thought it's gonna be a "wow"... meanwhile, i could barely stay awake and pay attention to the screen, it was so borin'... yup, i know, unpopular opinion, eat me alive now...</t>
  </si>
  <si>
    <t>Incarnation of Stupidity</t>
  </si>
  <si>
    <t>There never was a â€œfatâ€ Barbie, but thereâ€™s fat ones in the movie.</t>
  </si>
  <si>
    <t>How to Ruin your Kids 101 RIP to the kids who watched this movie an shame on the Failure of the Single mothers and Simp Fathers.</t>
  </si>
  <si>
    <t>ðŸ¤¢ðŸ¤¢ðŸ¤¢ðŸ¤¢ N</t>
  </si>
  <si>
    <t>zbi siro t9wdo awlad lKlabðŸ˜‚ðŸ˜‚</t>
  </si>
  <si>
    <t>k****n</t>
  </si>
  <si>
    <t>So is this just like a feminist Truman Matrix</t>
  </si>
  <si>
    <t>I want to go to barbieland</t>
  </si>
  <si>
    <t>Division between Men and Women has began.</t>
  </si>
  <si>
    <t>d****s</t>
  </si>
  <si>
    <t>I watched the movie finally and it was amazing</t>
  </si>
  <si>
    <t>After seeing the movie they did a great job with this trailer by not revealing the synposis.I can definitely say that this is a message to us as a society both women &amp; men.The demographic for this movie is actually broad. If anyone thinks this is for kids or females only your definitely wrong.</t>
  </si>
  <si>
    <t>â¤mo Nami top margot Robbie â£ï¸ðŸ’žðŸ¤ž t'aime fort ABDELHAKIM USA MEZIANI VOGUO USA Hollywood Facebook boss Hollywood</t>
  </si>
  <si>
    <t>Fact all the Barbie's listening to Dua lipa Song the Barbie album</t>
  </si>
  <si>
    <t>Ei Love Barbie</t>
  </si>
  <si>
    <t>This movie is quite Pink... Opposite movie should be "Barnie".Hard drunk, dirty, beard, unemployed, divorced, half bald and in 50 ages.</t>
  </si>
  <si>
    <t>I reckon ryan goslings best movie is drive</t>
  </si>
  <si>
    <t>â¤â¤ ðŸŽ‰ðŸŽ‰ðŸŽ‰ðŸŽ‰ðŸŽ‰ N</t>
  </si>
  <si>
    <t>Ideas live forever, so platonic</t>
  </si>
  <si>
    <t>Guys.then shower when I have food I need my soon.. ðŸ‘šðŸ¥¿â¤</t>
  </si>
  <si>
    <t>Bro I watched it with two of my male friends and they loved it as much!! I cried a ton tho. Such a great movie</t>
  </si>
  <si>
    <t>c****k</t>
  </si>
  <si>
    <t>This movie is not for the boysâ€¦ enjoy girls.</t>
  </si>
  <si>
    <t>i love itðŸ¥°ðŸ˜ðŸ˜ðŸ˜˜</t>
  </si>
  <si>
    <t>I love you â¤â¤â¤â¤â¤â¤â¤â¤â¤ðŸ˜ŠðŸ˜ŠðŸ˜ŠðŸ˜ŠðŸ˜ŠðŸ˜ŠðŸ˜ŠðŸ˜ŠðŸ˜ŠðŸ˜ŠðŸ˜Š</t>
  </si>
  <si>
    <t>I love Barbie â¤â¤â¤ðŸ˜ŠðŸ˜Š me avalina hi Barbie and ken â¤</t>
  </si>
  <si>
    <t>What a stupid movie wow, as if people like this? I didn't even finish it skipped half, and skimmed the rest, watching it online , soo dumb</t>
  </si>
  <si>
    <t>b****_</t>
  </si>
  <si>
    <t>Any Indian here ðŸ˜‚.. present lagao ðŸ¤­â¤ï¸</t>
  </si>
  <si>
    <t>h****a</t>
  </si>
  <si>
    <t>The foot</t>
  </si>
  <si>
    <t>b****n</t>
  </si>
  <si>
    <t>I hate barbie but i am planning to w as watch this movie</t>
  </si>
  <si>
    <t>ðŸŽ¬WE ALL GO TO THE CINEMA TOGETHER!! EVERY DAY... I CAN'T BELIEVE THE VS...ðŸŒ€ðŸŒˆðŸ“½ï¸"'âŠ‚â (â â—‰â â€¿â â—‰â )â ã¤. ,</t>
  </si>
  <si>
    <t>Well judging by the trailer, I don't see what the negative controversy is about...</t>
  </si>
  <si>
    <t>P****2</t>
  </si>
  <si>
    <t>If you're a feminist, this movie is for you. ðŸ˜‚ðŸ˜‚</t>
  </si>
  <si>
    <t>W****0</t>
  </si>
  <si>
    <t>I'm barbie hater I hate barbie booo</t>
  </si>
  <si>
    <t>I never knew the struggle pretty white women have. Thankyou I am fully enlightened now!!!</t>
  </si>
  <si>
    <t>Just watched this movie last week. Loved every second of it, probably the best movie Iâ€™ve seen in modern history.</t>
  </si>
  <si>
    <t>Oppenheimer is still 10x better</t>
  </si>
  <si>
    <t>Ø§Ù„Ù„Ù‡Ù… Ø¥Ù† Ù‡Ø§Ø°Ø§Ù…Ù†ÙƒØ± ÙØ£Ù†ÙƒÙ†Ø§Ù‡ Ø§Ù„Ø­Ù…Ø¯ Ø¹Ù„Ù‰ Ù†Ø¹Ù…Øª Ø§Ù„Ø¥Ø³Ù„Ø§Ù… ÙˆØ§Ù„ØªØ¨Ø§Ø¹ Ù…Ø­Ù…Ø¯ ØµÙ„Ù‰ Ø§Ù„Ù„Ù‡ Ø¹Ù„ÙŠÙ‡ ÙˆØ³Ù„Ù… ÙˆÙƒÙØ§Ø¨Ù‡Ø§ Ù†Ø¹Ù…Ù‡ N</t>
  </si>
  <si>
    <t>Wow, so pretty omg I can't wait to see it</t>
  </si>
  <si>
    <t>Dad sent me a message about it</t>
  </si>
  <si>
    <t>You can choose the easy way, or the hard way. The choice is yours.</t>
  </si>
  <si>
    <t>67 million views for a girls movie</t>
  </si>
  <si>
    <t>Barbie is Good but Ken is too old.</t>
  </si>
  <si>
    <t>I actuallt thought this was a joke, never realised it was an actual movie.</t>
  </si>
  <si>
    <t>S****M</t>
  </si>
  <si>
    <t>what is the joker doing?</t>
  </si>
  <si>
    <t>Where can I watch it please?</t>
  </si>
  <si>
    <t>Worse movie ever</t>
  </si>
  <si>
    <t>T****7</t>
  </si>
  <si>
    <t>Pathetic world we live in.</t>
  </si>
  <si>
    <t>If you like Anchorman this movie is for YOU!!</t>
  </si>
  <si>
    <t>â¤â¤â¤â¤ðŸŽ‰ N</t>
  </si>
  <si>
    <t>This movie was so freaking awesome.</t>
  </si>
  <si>
    <t>v****4</t>
  </si>
  <si>
    <t>I love Barbieâ¤â¤</t>
  </si>
  <si>
    <t>Jus watched the movie Trust me it's sooo worth it â¤â¤â¤â¤â¤</t>
  </si>
  <si>
    <t>M****8</t>
  </si>
  <si>
    <t>Ryan acting was OP.</t>
  </si>
  <si>
    <t>ðŸŒž Looks great ðŸ‡¬ðŸ‡§</t>
  </si>
  <si>
    <t>Yhv</t>
  </si>
  <si>
    <t>l****z</t>
  </si>
  <si>
    <t>szmira jakich maÅ‚o ... najbardziej zmarnowane 2h Å¼ycia ....</t>
  </si>
  <si>
    <t>S****K</t>
  </si>
  <si>
    <t>I love it,I watch it again and again</t>
  </si>
  <si>
    <t>I had such high expectations of Barbie as a Gerwig fan but I was in the end quite disappointed. The costume design/set and actors are brilliant but if falls fairly short on the script/message that ended up being incredibly superficial take on feminism. I expected the movie to be more clever and nuanced or not so cringe. Only women and men that grew up without any knowledge of gender inequality would find it as mind shattering as it is marketed to be. I just donâ€™t get the hype but then again Iâ€™m not American.</t>
  </si>
  <si>
    <t>Ù…Ù† Ø§ÙŠÙ† Ø§Ø´Ø§Ù‡Ø¯ Ø§Ù„ÙÙŠÙ„Ù… ÙƒØ§Ù…Ù„ ØŸØŸ N</t>
  </si>
  <si>
    <t>Repent and believe the gospel!!!âœï¸â¤ï¸</t>
  </si>
  <si>
    <t>L****l</t>
  </si>
  <si>
    <t>ðŸ˜‹ðŸ˜‹ðŸ˜‹ N</t>
  </si>
  <si>
    <t>S****X</t>
  </si>
  <si>
    <t>propaganda to turn girls into modern feminists</t>
  </si>
  <si>
    <t>Saw today reccomend best so far my fav barbie was the werid barbie she was rlly funny ðŸ˜‚</t>
  </si>
  <si>
    <t>Did you see the hand that rocks the cradle Barbie?</t>
  </si>
  <si>
    <t>I****w</t>
  </si>
  <si>
    <t>I wanna see this movie so bad ðŸ˜®</t>
  </si>
  <si>
    <t>I am the terminator and my primary objective it toTerminate Barbie...I'll be back....</t>
  </si>
  <si>
    <t>kayyisaâ¤ðŸŽ‰</t>
  </si>
  <si>
    <t>BARBIE I LOVE THE MOVIE!!!!!!!!</t>
  </si>
  <si>
    <t>I love this movie Barbara behind the scenes 2023</t>
  </si>
  <si>
    <t>The ironic thing is that they were once using toys to manipulate the youth into profiting and now they are just using political ideology. Which basically contradicts everything they said in the trailer.</t>
  </si>
  <si>
    <t>K****0</t>
  </si>
  <si>
    <t>God this new generation everything sucks monies music god take me</t>
  </si>
  <si>
    <t>P****r</t>
  </si>
  <si>
    <t>Just watched the movie! Only the worst Iâ€™ve seen this year!</t>
  </si>
  <si>
    <t>This trailer is cringe and makes me want to vomit</t>
  </si>
  <si>
    <t>I. Love Barbie</t>
  </si>
  <si>
    <t>_****_</t>
  </si>
  <si>
    <t>This is the best movie ever I think this solos all 3 of the five nights at Freddyâ€™s moviesThatâ€™s what I would say if my brain was made of plastic and cardboard</t>
  </si>
  <si>
    <t>M****V</t>
  </si>
  <si>
    <t>CanÄ±na qurban</t>
  </si>
  <si>
    <t>Barbiesende elÉ™ mÉ™nim barbimeâ¤ï¸ðŸ¥°</t>
  </si>
  <si>
    <t>Ama seni Sevirem mÉ™n</t>
  </si>
  <si>
    <t>Can sen sevsÉ™n mÉ™nde sevirem</t>
  </si>
  <si>
    <t>I just searched openheimee</t>
  </si>
  <si>
    <t>Epic job to all the actors and especially Greta Gerwing! ðŸ˜ðŸ˜ðŸ˜</t>
  </si>
  <si>
    <t>ðŸ˜€ This movie is epic! So good! Good job Margot Robbie</t>
  </si>
  <si>
    <t>This propaganda â€œmovieâ€ is GARBAGE. I thought it was gonna be fun n games about dolls. They turned it into advertisement for the trashy feminism and men-bashing. Donâ€™t waist your money</t>
  </si>
  <si>
    <t>Opemhimer is still better</t>
  </si>
  <si>
    <t>This film is shockingly deep if youâ€™re aware of the current culture war.Wow.</t>
  </si>
  <si>
    <t>a****k</t>
  </si>
  <si>
    <t>great movie! ive seen it D</t>
  </si>
  <si>
    <t>Z****c</t>
  </si>
  <si>
    <t>This vid is at 69 mil views ðŸ˜‚</t>
  </si>
  <si>
    <t>Im sure the kids watching this were confused because whem they were trying to take down the kens it got confusing</t>
  </si>
  <si>
    <t>ÃŒm sorry I thought this movie sucked the beginning was cute but thats it</t>
  </si>
  <si>
    <t>Ð•Ñ€ÑƒÐ½Ð´Ð° ðŸ˜¢ N</t>
  </si>
  <si>
    <t>We went from objectifying women to objectifying men ðŸ’€</t>
  </si>
  <si>
    <t>I love this movie i just watch that today</t>
  </si>
  <si>
    <t>Never saw a movie that is funny and a cringe fest at the same time.</t>
  </si>
  <si>
    <t>is this barbie girl is from dhar mann too?!??</t>
  </si>
  <si>
    <t>A****o</t>
  </si>
  <si>
    <t>ÙÙŠÙ„Ù… ÙˆØ³Ø® Ù…Ø­Ø±Ù… N</t>
  </si>
  <si>
    <t>69 m views</t>
  </si>
  <si>
    <t>Ugly barbie</t>
  </si>
  <si>
    <t>This was the best movie I ever saw, made me wanna become a woman!</t>
  </si>
  <si>
    <t>Nice Movie! Barbie ðŸ˜‰</t>
  </si>
  <si>
    <t>MY</t>
  </si>
  <si>
    <t>The Goal of HERD immunity throughout the World has been achieved ! Just like the Vaccines, this Movie may have duped the entire World ! A BILLION DOLLARS at the Box Office ? All over a Doll ? Just like the Vaccines, I will pass on this Movie ! ðŸ˜ðŸ˜„ðŸ˜….</t>
  </si>
  <si>
    <t>e****o</t>
  </si>
  <si>
    <t>In the film, despise a WOMAN just because she is PREGNANT (Barbie), is one of the most despicable things that exist in life ðŸ˜¤ I WILL NEVER forget it! ðŸ˜¡ It was just done in the cinema and worldwide, now I don't observe any protest about it ðŸ¤¢ THANKS to all the women's "defenders" for their work!! ðŸ‘ðŸ½ðŸ¤®</t>
  </si>
  <si>
    <t>ðŸ³ï¸â€ðŸŒˆâŒ N</t>
  </si>
  <si>
    <t>The movie is so boring.</t>
  </si>
  <si>
    <t>Fraud of the year goes toooo.......</t>
  </si>
  <si>
    <t>Everyone else Watching barbie and ken me noticing the guy from elf is in this movie</t>
  </si>
  <si>
    <t>Scream Queen ðŸ‘‘ And the other one Ken's Cheating with Vintage Barbie with Fashion Fever Barbie.. (Paris Hilton.) You R turning This Dream House ðŸ˜ï¸ Into a Nightmare House ðŸ¤£ Wait till I tell Gem, ðŸ’Ž She'll think this is Truly Outrageous! These Videos R on Utube.... Just type in SNL Barbie.... They're freaking hilarious! I'm gonna go watch them right now ðŸ¤£</t>
  </si>
  <si>
    <t>2ãŒã‚ã‚Œã°ãƒãƒ¼ãƒ“ãƒ¼ã®ãŠå…„ã•ã‚“ã¯ã‚¦ã‚§ãƒ³ãƒˆãƒ¯ãƒ¼ã‚¹ãƒŸãƒ©ãƒ¼ã‹ãªï¼Ÿãƒžãƒ¼ã‚´ãƒƒãƒˆãƒ­ãƒ“ãƒ¼ã®ãŠå…„ã•ã‚“ã«ã´ã£ãŸã‚ŠðŸ˜† N</t>
  </si>
  <si>
    <t>A****R</t>
  </si>
  <si>
    <t>Say what you want. Aqua got robbed for their comeback. Nicki Might have claimed to be barbie. aqua was the first to sing about Barbie.</t>
  </si>
  <si>
    <t>Ø§Ù„Ù…Ø´Ø§Ù‡Ø¯Ø§Øª ðŸ˜®â¤ N</t>
  </si>
  <si>
    <t>ðŸ’©ðŸ’©ðŸ’©ðŸ’©ðŸ’©ðŸ’©. N</t>
  </si>
  <si>
    <t>N****J</t>
  </si>
  <si>
    <t>They used the song! Even for just a little bit. ðŸ¤ðŸ˜‚</t>
  </si>
  <si>
    <t>JP</t>
  </si>
  <si>
    <t>I would watch BARBIE. But I can't ðŸ™ƒðŸ™ƒðŸ™ƒ</t>
  </si>
  <si>
    <t>....now I know why its not barbie doll music. Its because its certainly not barbie doll by aqua. More like...lets spit on the image of man. Heck, that daughter might not be even be the guy's daughter. The mother might get knocked up by some "bad boy".Lol, the father got cukked. Just like ken got cukked.Oh well, no more barbies for my daughters. Its teaching women to cukk their man.</t>
  </si>
  <si>
    <t>A****b</t>
  </si>
  <si>
    <t>Ø³Ø·Ø¬Ù„ Ø­Ù‚ Ø§Ùˆ Ø§Ù‚Ù†ÙŠØ¬Ø¯ÙŠØ¯ N</t>
  </si>
  <si>
    <t>Agenda ðŸ™‚ðŸ™‚</t>
  </si>
  <si>
    <t>No, Margot isn't Barbie. She's way more funny. Besides whatever the color of the music, it isn't pink.</t>
  </si>
  <si>
    <t>Gal gadot was the first choice coz she so pretty but Margot slay the role..she brings barbie into life</t>
  </si>
  <si>
    <t>C****V</t>
  </si>
  <si>
    <t>cool</t>
  </si>
  <si>
    <t>This looks amazing. Itâ€™s like the director put actual diarrhea through a projector to make this film. I didnâ€™t know that was possible.</t>
  </si>
  <si>
    <t>I love weird Barbieâ€™s house</t>
  </si>
  <si>
    <t>Smashing of babies and perceiving a pregnant doll as ugly but a selfish career focused misandric women is the answer to an empty life only filled with the hot air of ego.. which in effect reflects hurt and insecurity thus the creation of ego. The actuality in the duality of emptiness what they articulate is the very opposite thing they try to achieve by creating true cognitive dissonance by a dogmatic subliminal message denying in the process our true inner and existential wholeness .. ordained by God himself.. familyThis sentence alone should show how far gone you are if you liked the movie and reflects your broken spirit for compensation Is just sad if your blind for that attack on humanity and your existential Worth. Missing the essence of life... Family..ideas breathed into their hurt hearts by the Evil one himself..This happend to men as well i remember a passage in my book in school where a man who would make his family important instead of Career was being mocked.The Devil came after what first?? Yes marriage. Why? Because its the cornerstone of Gods intended life for us. And men misusing patriarchy and their assignment doesn't mean life wasnt intended that just as much as bad mothers doesn't take away their repsonsibility they dont uphold.</t>
  </si>
  <si>
    <t>J****i</t>
  </si>
  <si>
    <t>Wow barbie</t>
  </si>
  <si>
    <t>Is dis reill ðŸ˜®</t>
  </si>
  <si>
    <t>â¤â¤â¤â¤â¤â¤â¤â¤â¤â¤â¤â¤â¤â¤â¤â¤ðŸ˜ŠðŸ˜ŠðŸ˜ŠðŸ˜ŠðŸ˜ŠðŸ˜ŠðŸ˜ŠðŸ˜ŠðŸ˜ŠðŸ˜Š N</t>
  </si>
  <si>
    <t>I made GI Joe have relations with Barbie like Bill Clinton and Monica.</t>
  </si>
  <si>
    <t>Academy Award NomineeðŸŒŸMargot RobbieðŸ’ðŸ¼â€â™€ï¸Ryan GoslingðŸ™‹ðŸ¼â€â™‚ï¸</t>
  </si>
  <si>
    <t>Waste of good talent and money!</t>
  </si>
  <si>
    <t>m****a</t>
  </si>
  <si>
    <t>This is for kids yes or no</t>
  </si>
  <si>
    <t>I love playing with my Barbie dolls. Thatâ€™s how I learnt to pull the heads off the real ones. And set fire to them</t>
  </si>
  <si>
    <t>P****s</t>
  </si>
  <si>
    <t>wowsers</t>
  </si>
  <si>
    <t>A****p</t>
  </si>
  <si>
    <t>IdxkxkzkxkkkzskdkkzkzkkdkkddkddkdkskdkskdkdjddjdjdjdjdjdjjdjddjdjdjdjjdjdjddjjðŸ˜‚ðŸ˜¢cycgheðŸ˜…ðŸ˜Šâ¤ðŸ˜‚ðŸŽ‰ðŸ˜¢ðŸ˜®ðŸ˜…ðŸ˜ŠðŸ˜ŠAjfjdkfjfjritiderertrgggye</t>
  </si>
  <si>
    <t>D****5</t>
  </si>
  <si>
    <t>Terrible movie I don't see why Warner bros is saying on google that this movie is the second best movie after 2008 dark knight film</t>
  </si>
  <si>
    <t>Harley queen ðŸ¤£</t>
  </si>
  <si>
    <t>You ruined my childhood Barbie should be played by a real woman I will never watch the movie what is wrong with the world we are lost hopefully we are still few sane people. I am happy there are older movies as cartooon</t>
  </si>
  <si>
    <t>Oh itâ€™s pink</t>
  </si>
  <si>
    <t>THE WORLD IS SICK</t>
  </si>
  <si>
    <t>155 N</t>
  </si>
  <si>
    <t>69 million views. OOO LA LAAA!!</t>
  </si>
  <si>
    <t>I â¤it</t>
  </si>
  <si>
    <t>Primer aÃ±o ðŸ˜¢</t>
  </si>
  <si>
    <t>Hey u guys!!!, u know that barbie is drug movie, think how is, ðŸ˜‚ðŸŽ‰</t>
  </si>
  <si>
    <t>T****h</t>
  </si>
  <si>
    <t>BAIT AND SWITCH. The trailer certainly doesn't say this movie is the most "unwavering feminist summer blockbuster ever to exist" for its messaging about "the patriarchy and gender roles". Millions of mothers took their daughters to this movie, and I don't believe they wanted their daughters to become vapid, man hating harpies. Nobody would see the movie if it wore its feminism on its sleeve. Credit to Matt Walsh.</t>
  </si>
  <si>
    <t>Horrible movie!!! Too â€œ wokeâ€</t>
  </si>
  <si>
    <t>Loved by Covidiots worldwide!</t>
  </si>
  <si>
    <t>Ø´Ùˆ Ù‡Ø§ Ø­Ø¯ ÙŠÙÙ‡Ù…Ù†ÙŠ N</t>
  </si>
  <si>
    <t>I love you barbie and ken</t>
  </si>
  <si>
    <t>I lost 20 IQ points after watching the movie.</t>
  </si>
  <si>
    <t>This is movie made by SatanðŸ‘Ž</t>
  </si>
  <si>
    <t>TN</t>
  </si>
  <si>
    <t>Lailaha ilallah Ø§Ù„Ù„Ù‘Ù°Û Ø§Ú©Ø¨Ø±</t>
  </si>
  <si>
    <t>I hate this barbie allahuakbar</t>
  </si>
  <si>
    <t>Movie was what I expected. A show telling how women will be contradictory and that extreme masculinity is looked upon negatively as well as extreme feminity.</t>
  </si>
  <si>
    <t>R****7</t>
  </si>
  <si>
    <t>i want watch that\</t>
  </si>
  <si>
    <t>WOW BARBIE â¤â¤â¤ barbie my favourite beauti girlðŸ˜ŠðŸ˜ŠðŸ˜Š</t>
  </si>
  <si>
    <t>Ø¥Ù†Ù‡ Ø¹Ù…Ù„ Ø§Ø¨Ù„ÙŠØ³ Ø§Ù„Ø§Ù†ÙÙ„Ø§Øª Ø§Ù„Ø§Ø®Ù„Ø§Ù‚ÙŠ Ø§Ù† Ø§Ø¨Ù„ÙŠØ³ ÙŠÙØ³Ø¯ Ø§Ø®Ù„Ø§Ù‚ Ø§Ù„Ù†Ø§Ø³ Ù„ÙƒÙŠ ÙŠØ¯Ø®Ù„Ù‡Ù… Ù…Ø¹Ù‡ ÙÙŠ Ø§Ù„Ù†Ø§Ø± N</t>
  </si>
  <si>
    <t>THIS MOVIE IS JUST A DEMONIC PUSH TO RAISE ANOTHER GENERATION OF YOUNG WOMEN TO KILL THEIR BABIES AND DESTROY TRADITIONAL VALUES..</t>
  </si>
  <si>
    <t>And the d v d release of this movie is october 20 seven, which is the release date of 5 nights at Freddy's to come in theaters. And my birthday is November 25th. So that's evident said i'm going to be able to get it</t>
  </si>
  <si>
    <t>I asked my aunt if she can get me this movie for my birthday</t>
  </si>
  <si>
    <t>For girlsif you dont know how to be a girl this movie is for you</t>
  </si>
  <si>
    <t>BARBIE CUTE BUT 2016 HARLEY QUINN JOKER ðŸ˜¢ðŸ˜¢ðŸ˜¢ðŸ˜¢ðŸ˜¢ðŸ˜¢ðŸ˜¢ðŸ˜¢ðŸ˜¢ðŸ˜¢ðŸ˜¢ðŸ˜¢ðŸ˜¢ðŸ˜¢ðŸ˜¢ðŸ˜¢ðŸ˜¢ðŸ˜¢ðŸ˜¢ðŸ˜¢ðŸ˜¢ I LOVE YOU HARLEY QUINN ðŸ˜¢ðŸ˜¢ðŸ˜¢ðŸ˜¢ðŸ˜¢ðŸ˜¢ðŸ˜¢ BUT BARBIE CUTE AND BEAUTIFUL ðŸ’–ðŸ’–ðŸ’–ðŸ’–ðŸ’–ðŸ’–ðŸ’–ðŸ’–ðŸ’–ðŸ’–ðŸ’–ðŸ’–ðŸ’– MARGOT ROBBIE ðŸ’–ðŸ’–ðŸ’–</t>
  </si>
  <si>
    <t>Should have got nicolette shea to play barbie</t>
  </si>
  <si>
    <t>I had a day dream the other day where I woke up in Barbie land. Margor Robbie came floating over to me. She said "Oh hello, you must be new here. I will begin your initiation ceremony." She then revealed her cheeks and began to position her doll parts towards my member. However as Margot began to feel my Johnson she noticed that it wasn't hard and she went "ugh, ew. Beta male. You are not suitable as a mate." Then Ryan Goslin came over and he was super ripped and toned and had lube all over his body. He said "Don't worry Barbie, I'm plastic so my member is always ready to party." Margot bit her lip and said "Wow, thanks Ken." He then laughed at me and began to insert his meat rocket into Margot and Margot began laughing at me too. I tried to run away but Ryan grabbed me with his incredible muscles and and pulled me up against his stiff chest as he was clapping Margot's cheeks. With his other hand he started punching me in the balls which finally made my Johnson get stiff but at this point it was too late, I was already being dominated by him. I watched with shame and jealousy as Ryan abused my nether regions and gave his sweet seed to Stacy.fml I can't even beat my hog without getting dominated ny alphas. I hate not being ChadðŸ˜¥</t>
  </si>
  <si>
    <t>ðŸ˜ðŸ˜ðŸ˜ðŸ˜ðŸ˜ N</t>
  </si>
  <si>
    <t>I'm Bangladeshi â¤ðŸ‡§ðŸ‡©</t>
  </si>
  <si>
    <t>This is a Stacy dystopia where only Chads are allowed to reproduce. Oh wait, that's the world we live in now</t>
  </si>
  <si>
    <t>ÐÑƒ Ð´Ð°) N</t>
  </si>
  <si>
    <t>She is not at all atractive enough to be Barbie. How ridiculous.</t>
  </si>
  <si>
    <t>the brain dead. Barbie idiots will love this piece of gender propaganda</t>
  </si>
  <si>
    <t>Saw this movie 3 times and would see it for the fourth time</t>
  </si>
  <si>
    <t>Ilove you barbiâ¤â¤â¤â¤â¤â¤â¤â¤â¤â¤â¤â¤â¤</t>
  </si>
  <si>
    <t>ØªØ­ÙØ© ÙÙ†ÙŠØ© ðŸ‘ N</t>
  </si>
  <si>
    <t>Yeah I donâ€™t like Barbie and it was so good</t>
  </si>
  <si>
    <t>Why the heck is this so cringe</t>
  </si>
  <si>
    <t>i****T</t>
  </si>
  <si>
    <t>ðŸ¤®ðŸ¤®ðŸ¤®ðŸ¤®ðŸ¤¢ðŸ¤¢ðŸ¤¢ N</t>
  </si>
  <si>
    <t>Oppenheimer fans like here ðŸ’ªðŸ—¿</t>
  </si>
  <si>
    <t>My sister loves Barbie she even went to the movies</t>
  </si>
  <si>
    <t>Certified to lower your already low IQ even furthermore. Propaganda of Mattel and feminism, 21st century's Goebbels style.</t>
  </si>
  <si>
    <t>R****O</t>
  </si>
  <si>
    <t>Omg oppenheimer</t>
  </si>
  <si>
    <t>The butt partâ€¦.</t>
  </si>
  <si>
    <t>S****k</t>
  </si>
  <si>
    <t>Iâ€™m very want to seeng, but I cannot ðŸ˜¢in the my country this movie not</t>
  </si>
  <si>
    <t>No Kaboom ? ðŸ˜¢</t>
  </si>
  <si>
    <t>when a member of suicide squad quitted and turns into a doll</t>
  </si>
  <si>
    <t>If DC can't save Warner Bros, then Barbie surely can</t>
  </si>
  <si>
    <t>è¦‹ã¾ã—ãŸã‚­ãƒ©ãƒƒã‚­ãƒ©ã®ä¸–ç•Œã§ãœã²è¦‹ãŸã‹ã£ãŸãƒžãƒ¼ã‚´ãƒƒãƒˆãƒ»ãƒ­ãƒ“ãƒ¼ã¯ãƒãƒ¼ãƒ“ãƒ¼ãã®ã‚‚ã®ãƒªã‚«ã¡ã‚ƒã‚“ã‚’å®Ÿå†™ç‰ˆã«ã—ãŸã‚‰ä½ã€…æœ¨å¸Œã‹ãª N</t>
  </si>
  <si>
    <t>Thanks Fox News for Blowing Barbie up bigger than anyone's advertising budget could do itself!!! Thanks Repubs they always make us rich!</t>
  </si>
  <si>
    <t>There like the pink shirt couple</t>
  </si>
  <si>
    <t>I'm planning to watch this in the next few days but both female and male friends keep saying it's a film filled with misandrist. So I have mixed feelings but I'll check it out and hope they're exaggerating ðŸ™ðŸ¿</t>
  </si>
  <si>
    <t>Harley queenâŒBarbieâœ…</t>
  </si>
  <si>
    <t>Ù…Ø³Ù„Ø³Ù„ Ø¨Ø§Ø±Ø¨ÙŠ Ø¨ÙŠØ¬Ù†Ù† N</t>
  </si>
  <si>
    <t>Ok it actually looks like a fun movie</t>
  </si>
  <si>
    <t>k****r</t>
  </si>
  <si>
    <t>I had no interest in this movie, but after all the conservative freak out over it, I'll give it a try. I hope it meets the expectation.</t>
  </si>
  <si>
    <t>s****a</t>
  </si>
  <si>
    <t>Ryan Gosling had me in hysterics ðŸ˜‚</t>
  </si>
  <si>
    <t>Great job Greta and Noah â¤</t>
  </si>
  <si>
    <t>Made me laugh and cry â¤ï¸</t>
  </si>
  <si>
    <t>its look stupid</t>
  </si>
  <si>
    <t>I feel like Tim Burton should have directed this film</t>
  </si>
  <si>
    <t>The movie was amazing I watch the Whole episode</t>
  </si>
  <si>
    <t>Crazy to think that none of the main cast are American.</t>
  </si>
  <si>
    <t>C****2</t>
  </si>
  <si>
    <t>Iâ€™m watching it Saturday and canâ€™t waitðŸ¥³ðŸ¥³</t>
  </si>
  <si>
    <t>I don't get the hype</t>
  </si>
  <si>
    <t>Stupid movie its not Barbie anymore ðŸ¤¦â€â™€ï¸ðŸ¤¦â€â™€ï¸</t>
  </si>
  <si>
    <t>Rubbish!!</t>
  </si>
  <si>
    <t>B****p</t>
  </si>
  <si>
    <t>The only thing worse about this is the sad commentary.</t>
  </si>
  <si>
    <t>If any girl over the age of 15 watches it, she is retarted, and should do all of us a favor and not exist.</t>
  </si>
  <si>
    <t>Total bullshyte. Im Not sure whats going on w this movie, but its a strong, resounding NO for me.</t>
  </si>
  <si>
    <t>Now ! Why would I want to support or VIEW this Iluminati Garbage ? Warner Bros ? Iluminati Central ! These People deleted Prince ! ðŸ˜¢ðŸ˜¢ðŸ˜¢.</t>
  </si>
  <si>
    <t>This movie let's teh world see how hard it is to be a girl ðŸ˜‚â¤</t>
  </si>
  <si>
    <t>Its an upside down adam and eve storry...</t>
  </si>
  <si>
    <t>NO</t>
  </si>
  <si>
    <t>Y****k</t>
  </si>
  <si>
    <t>Gotta appreciate Ken!</t>
  </si>
  <si>
    <t>If you are 5 years old child, this movie is for you. Motto should be like this. ðŸ˜’</t>
  </si>
  <si>
    <t>Next movie playmobile</t>
  </si>
  <si>
    <t>à®¤à¯†à®²à¯à®™à¯à®•à¯ à®¨à®¾à®¯à®•à¯à®•à®°à¯ à®šà®°à¯à®ªà®•à¯‡ à®ªà®Ÿà®®à¯ à®µà¯†à®±à¯à®±à®¿ à®ªà¯†à®± à®µà®¾à®´à¯à®¤à¯à®¤à¯à®•à®³à¯ à®šà®¿à®µà®¾à®œà®¿ à®°à®¾à®µà¯ jailer ðŸ‡µðŸ‡±âš”ï¸Congratulation to Shivaji Rao jailer ðŸ‡µðŸ‡±âš”ï¸ for the success of Telugu Nayakar sarbage valthuke movie vitri Pereâ¤ï¸</t>
  </si>
  <si>
    <t>c****e</t>
  </si>
  <si>
    <t>Ok to watch this movie with our 5 yrs old girl ? Expect honest answer from ppl who already watched ðŸ¤”</t>
  </si>
  <si>
    <t>margit is breathtaking and barbie is fascinating i love this movie</t>
  </si>
  <si>
    <t>K****u</t>
  </si>
  <si>
    <t>Guess what? Harley queen is actually the Barbie from the new Barbie movie</t>
  </si>
  <si>
    <t>Movie looks Crappy</t>
  </si>
  <si>
    <t>ong elle est trop chaude ma gee</t>
  </si>
  <si>
    <t>HaðŸ˜‚</t>
  </si>
  <si>
    <t>This movie was amazing! For me, going to the theater to watch this movie was like going to church. I felt the healing! There was healing in my life during this movie. ðŸ˜ ðŸ™ Very good reconciliation of inner worlds.</t>
  </si>
  <si>
    <t>H****6</t>
  </si>
  <si>
    <t>Ø­Ø³Ø¨Ù†Ø§ Ø§Ù„Ù„Ù‡ ÙˆÙ†Ø¹Ù… Ø§Ù„ÙˆÙƒÙŠÙ„ Ø¹Ù„ÙŠÙƒÙ… N</t>
  </si>
  <si>
    <t>i love how barbie asks everybody do u guys think of dying white dis show is 9 years plus</t>
  </si>
  <si>
    <t>All fake comments, real comments are popping up on"â€¦."â€¦..â€¦â€¦..</t>
  </si>
  <si>
    <t>The fact that Margot Robbie played as Harley Quinn and now BARBIE ðŸ˜‚â¤</t>
  </si>
  <si>
    <t>Y****7</t>
  </si>
  <si>
    <t>Only the stupid and those without awareness will watch such nonsense that you do not know is the destruction of their future, who weigh 100 and sit on a chair and eat for thousands of years and express their opinion on anything that supports homosexuality and sexual suggestion ðŸ‘ðŸ».</t>
  </si>
  <si>
    <t>Watch 'Life Size ' same type of movie.</t>
  </si>
  <si>
    <t>American movie salad,no thanks</t>
  </si>
  <si>
    <t>C****b</t>
  </si>
  <si>
    <t>Interesting ðŸ¤¨ â¤â¤â¤</t>
  </si>
  <si>
    <t>S****8</t>
  </si>
  <si>
    <t>i just watched it like 25 mins ago it was so good tbh</t>
  </si>
  <si>
    <t>But I'm a man.</t>
  </si>
  <si>
    <t>The best!</t>
  </si>
  <si>
    <t>This movie is one of the worstâ€¦</t>
  </si>
  <si>
    <t>barbie deo gi</t>
  </si>
  <si>
    <t>j****J</t>
  </si>
  <si>
    <t>it's nice from them nicki minaj, ice spice, fifty fifty,charli xcx,dua lipa, ava max, sam smith, lizzo, pinkpantheress,billie eilish it's really nice of them</t>
  </si>
  <si>
    <t>This is not Barbie Barbie was never an average looking girl</t>
  </si>
  <si>
    <t>YESSSSSS!!!!!! I LOVED THIS MOVIE!!!!!! It was So Much Fun!!! Margot Robbie was Fantastic as Barbie!!! And Ryan Gosling was Perfect as Ken!The Kenergy was real ðŸ˜‚</t>
  </si>
  <si>
    <t>New music â€œLike Magicâ€ by Tj $avage â€¦ good movie actually</t>
  </si>
  <si>
    <t>The movie was great when I saw it â¤ðŸŽ‰ðŸ˜Š</t>
  </si>
  <si>
    <t>This movie promotes gayism which is not a healthy sign</t>
  </si>
  <si>
    <t>Every couple considering marriage should see this movie.. it either outs a lot of red flags or helps the couple bonding over a shared hate towards the movie or it helps bonding because they both feel heard and are finally able to talk about their defined roles in the relationship. .. superb movie to find out where you are at in your relationship.. i personally do not trust people who hate it.</t>
  </si>
  <si>
    <t>Romania don't need this sheet movie. We need good job , no corruption in guverment</t>
  </si>
  <si>
    <t>Barbie - money for nothing , no job but a lot o easy money .Real world Ã®s work and sacrifice .</t>
  </si>
  <si>
    <t>So shame, it even got banned in most Cinemas. Doesn't worth your time and money</t>
  </si>
  <si>
    <t>What insipidity...</t>
  </si>
  <si>
    <t>ivwanna see a black barbie movie</t>
  </si>
  <si>
    <t>f****5</t>
  </si>
  <si>
    <t>Movie shouldâ€™ve been called Ken. Hope you feminists are coping with the real star of the movie. Stay triggered</t>
  </si>
  <si>
    <t>Humans have only one ending. Ideas live forever... Though ideas come from humans ðŸ¤”ðŸ¤·â€â™‚</t>
  </si>
  <si>
    <t>I am Japanese.I was interested in a Barbie movie, but I lost interest in seeing it because of the atomic bomb. Please don't make fun of the atomic bomb. Many people died.It is very disappointing.</t>
  </si>
  <si>
    <t>As a straight men, can't stand this,lol</t>
  </si>
  <si>
    <t>Woman ðŸ’€Lmao</t>
  </si>
  <si>
    <t>what an amazing inspiring movie for females</t>
  </si>
  <si>
    <t>ÙÙ„Ù… Ø³ÙŠØ¡ ÙˆØºÙŠØ± Ù„Ø§Ø¦Ù‚ Ù„Ù„Ø§Ø·ÙØ§Ù„ N</t>
  </si>
  <si>
    <t>OH GOSH! With a movie called Sound of Freedom these nimrods go see Barbie in a pink world. WTH.. NO WAY.</t>
  </si>
  <si>
    <t>A mi me parece que margot y ryan se ven muy maduros para esos personajes, ya ellos se ven 40tones, son excelentes actores no se puede negar, pero hubieran buscado actores mas jovenes, hay chicas rubias adolescentes muy bellas igual que los chicos, no le dan la oportunidad a las nuevas generaciones,siempre contratan a los mismos actores de la vieja guardia</t>
  </si>
  <si>
    <t>D****e</t>
  </si>
  <si>
    <t>I very recently got done with a 2 month favor for a friend (dog sitting a hyperactive, adorable but strong af pitbull btw) and i off handedly mentioned to my sister that after spiderverse theres nothing i absolutely wanted to see. (I could be talked into seeing Oppenheimer maybe).My sister said "not even barbie?" And i got so confused."Why on earth would i want to go see barbie?"And her response was "because its barbie!"WHAT IS THIS MOVIE AND WHY ARE PPL OBSESSED WITH IT!?</t>
  </si>
  <si>
    <t>C****p</t>
  </si>
  <si>
    <t>The kenergy</t>
  </si>
  <si>
    <t>A****t</t>
  </si>
  <si>
    <t>When does the GI Joe moving come out !</t>
  </si>
  <si>
    <t>I went to see the movie but I was under aged ðŸ’”ðŸ˜ž</t>
  </si>
  <si>
    <t>ðŸ˜¡ðŸ˜¡ðŸ˜¡ðŸ˜¡ðŸ˜¡ N</t>
  </si>
  <si>
    <t>l****a</t>
  </si>
  <si>
    <t>I just saw the movie. I loved my Barbie as a kid in the 90s so I was intrigued what the movie was about. The first scenes were fun but as the movie progressed, it felt quite disjointed. Parts were emotional and relatable and quite touching actually, but the conclusion was pretty cold and felt flat. Barbie leaves ken in the dust. He's left to find himself, separately, whilst Barbie "lives her truth" as a human. This movie could have been an opportunity to heal some wounds on today's social issues and confusion, but I felt it didn't because the male was left behind. After all, viewers will have sympathised with the males (ken) identity crisis just as much as the females (Barbie) identity crisis. That's why I felt the movies message/sentiment was kinda lost. Now that Barbie's in the real world, there's only a certain amount of time until she is missing the male energy in her life ðŸ˜‚</t>
  </si>
  <si>
    <t>s****.</t>
  </si>
  <si>
    <t>really want to watch it but were `i live it is a Muslim country and they do not allow it .... Muslim thinks it is not moral , I guess they just want control women as always, so unfair `i have been waiting for this movie</t>
  </si>
  <si>
    <t>ðŸ¤®ðŸ¤®ðŸ¤® N</t>
  </si>
  <si>
    <t>Thinking inside the box with the gender binary. A 90 minute paid advert in drag. An hour and a half of pure CRINGE. PC, platitudes and vacuous giggles to please the sponsor and to fleece your wallet. Will this be the beginning of a new era of 90 minute adverts instead of movies? â€œPerform your life as prescribed by your socially responsible corporationsâ€ You are a brand.I would have preferred Diamanda Galasâ€™ â€œDo You Take This Manâ€ for the end credits.Brainwashing disguised as a â€œrevolutionâ€. About as much fun as banging my head against the wall for 90 minutes</t>
  </si>
  <si>
    <t>The only thing that made me interested is when she punched the guy ðŸ˜‚</t>
  </si>
  <si>
    <t>The worst ever. The only thing more stupid than this movie is the Ken and how he looks like.</t>
  </si>
  <si>
    <t>#bardot ðŸ˜‡</t>
  </si>
  <si>
    <t>I went to se it was grate</t>
  </si>
  <si>
    <t>That movie was everything I expected and more. It was colorful, fun and depressing at the same time.</t>
  </si>
  <si>
    <t>Useless movie ever</t>
  </si>
  <si>
    <t>SG</t>
  </si>
  <si>
    <t>Wtf is this</t>
  </si>
  <si>
    <t>â¤â¤â¤â¤â¤â¤â¤ðŸŽ‰ðŸ˜Š N</t>
  </si>
  <si>
    <t>E****o</t>
  </si>
  <si>
    <t>Acsa Hellen eiðŸŽ‰â¤</t>
  </si>
  <si>
    <t>Iluv how they showed the movie in one trailer</t>
  </si>
  <si>
    <t>v****8</t>
  </si>
  <si>
    <t>Looks kind of cringy (but it is about barbies after all). I am probably going to watch it after it being in the cinemas but mostly because of the actors. This is probably why it got so huge in the first place.</t>
  </si>
  <si>
    <t>WTR ??? whereâ€™s the romance lol definitely missing that in this movie</t>
  </si>
  <si>
    <t>That's Barbtastic</t>
  </si>
  <si>
    <t>Pff i saw this pasing on video FG or yt channel never going watch this movie cause im a guy its a woman movie but i want to see if there was some guys in coments is have watch the movie ðŸ˜…ðŸ˜‚ðŸ¤£ðŸ¤£and yes what a pussy's there are here lol</t>
  </si>
  <si>
    <t>ðŸ¤”ðŸ˜œðŸ™„ðŸ¤” Buuuu ðŸ˜³</t>
  </si>
  <si>
    <t>nobarbie</t>
  </si>
  <si>
    <t>Of course they would make a kids toy movie into something more showing propaganda like the real villain of this movie isn't Mattel or Ken â€” it's the patriarchy.Its just so obvious and bad at this point its just laughable only in the most powerful nation in the world will you have people complaining about how good life is and think our society is the problem. Absolutely bonkers- then again we have adults (i use the term loosely) that think they can be a butterfly or a dog if they feel like it.</t>
  </si>
  <si>
    <t>N****C</t>
  </si>
  <si>
    <t>â¤â¤ðŸ˜‰ N</t>
  </si>
  <si>
    <t>Openheimer is better and thatâ€™s why it got banned in Kuwait</t>
  </si>
  <si>
    <t>More and more countries are banning this movie due to it being unsuitable -read too idiotic and imbecile for normal people to be exposed to it</t>
  </si>
  <si>
    <t>h****y</t>
  </si>
  <si>
    <t>Iâ€™m 12 and have no interest in Barbie but damn the movie looks sick.</t>
  </si>
  <si>
    <t>Ken have 4 color skin</t>
  </si>
  <si>
    <t>T****n</t>
  </si>
  <si>
    <t>Not pretty</t>
  </si>
  <si>
    <t>MA</t>
  </si>
  <si>
    <t>Is it ok if I brush her hair and undress her anywhere?</t>
  </si>
  <si>
    <t>Naomi Watts would had been hot a Barbie.</t>
  </si>
  <si>
    <t>Z****1</t>
  </si>
  <si>
    <t>Ryan Gosling too good</t>
  </si>
  <si>
    <t>What a disgusting piece of shite! Anyone who allows their child to see this, is as sick as the idiots that made this garbage. SHAME ON YOU!!!!</t>
  </si>
  <si>
    <t>Loved the trailer ðŸ™Œ</t>
  </si>
  <si>
    <t>The movie looks so stupid tbh Iâ€™m disappointed.</t>
  </si>
  <si>
    <t>r****l</t>
  </si>
  <si>
    <t>I canâ€™t wait to watch this movie!!</t>
  </si>
  <si>
    <t>Alternate title for the movie ken goes to the real world and now is in the time of blade runner 2049</t>
  </si>
  <si>
    <t>Satanic</t>
  </si>
  <si>
    <t>I thought this movie was going to be great because it portraits to be entertaining but instead it portraits men in a rather opinionated manner and stereotypes men in a way that is no longer real. I get that this is a feminist movie and this political movement has its ulterior motives but I was hoping that at least this film would close gender gaps and gender discrimination. The movie seems to just be a marketing plot because the final message is that in barbie world women have the power, isn't that sexist? (it feels like they want to further perpetuate gender power differences) Why in our world dolls have to be for girls in the first place?. Mattel wants to keep making toys for girls and toys for girls where in each of the worlds one gender is in power. shouldn't both worlds be inclusive?. . In the real world by common sense and understanding men and women can hold any job position and can have any role they wish, that is what we should pursue. Feminism is not the way.</t>
  </si>
  <si>
    <t>S****4</t>
  </si>
  <si>
    <t>Im just ken. I drive</t>
  </si>
  <si>
    <t>HeHAHAHHAAHHAHHAHAAHHH</t>
  </si>
  <si>
    <t>f****9</t>
  </si>
  <si>
    <t>Ideas live forever</t>
  </si>
  <si>
    <t>e****d</t>
  </si>
  <si>
    <t>Bladerunner 2049 X All Good Things</t>
  </si>
  <si>
    <t>poison</t>
  </si>
  <si>
    <t>go woke go broke</t>
  </si>
  <si>
    <t>K****2</t>
  </si>
  <si>
    <t>True Man OppenheimerWeak Man BarbieEmbrace Masculinity</t>
  </si>
  <si>
    <t>The Barbie house um Nicki Minaj made a song about umbar v and ice spice Nicki Minaj and ice spice I space me that phone too</t>
  </si>
  <si>
    <t>I pray this movie is destroyed.</t>
  </si>
  <si>
    <t>So if nsync didn't brake up they would of be Allan in the barbie movie make sense would of been great to see them on the barbie movie</t>
  </si>
  <si>
    <t>D****z</t>
  </si>
  <si>
    <t>People really watch such rubbish?Gosh iq gone down badly</t>
  </si>
  <si>
    <t>M****M</t>
  </si>
  <si>
    <t>Ù†Ù„Ø®Øµ Ø£ÙÙ„Ø§Ù… Ùˆ Ù†Ø¹Ø·ÙŠÙƒ Ø£Ù‡Ù… Ø§Ù„ØªÙØ§ØµÙŠÙ„ Ùˆ Ù†ØºÙ†ÙŠÙƒ Ø¹Ù† Ø§Ù„Ù…Ù…Ù„Ø© Ù…Ù†Ù‡Ø§ Ùˆ Ø§Ù„ØºÙŠØ± Ø§Ù„Ù„Ø§Ø¦Ù‚Ø©ðŸ”ž . ØªØ§Ø¨Ø¹Ù†Ø§ Ù„ÙƒÙŠ ØªØ³ØªÙ…ØªØ¹ Ø¨Ø·Ø±ÙŠÙ‚ØªÙ†Ø§ Ø§Ù„Ø®Ø§ØµØ© Ùˆ Ø£Ù†Øª ØªØ´Ø§Ù‡Ø¯Ù†Ø§ Ù†Ø³Ø±Ø¯ Ø§Ù„Ù‚ØµØµ ÙÙŠ Ù‚Ù†Ø§Ø© DF movie stories Ù‚Ù†Ø§Ø© Ù‚ØµØµ Ø£ÙÙ„Ø§Ù… ! Ùˆ Ù†Ø®ØªÙ… Ø¨ Ø§Ù„Ù„Ù‡Ù… ØµÙ„ Ùˆ Ø³Ù„Ù… Ùˆ Ø¨Ø§Ø±Ùƒ Ø¹Ù„Ù‰ Ø§Ù„Ù†Ø¨ÙŠ Ù…Ø­Ù…Ø¯ â¤ï¸</t>
  </si>
  <si>
    <t>DZ</t>
  </si>
  <si>
    <t>what is this now</t>
  </si>
  <si>
    <t>d****z</t>
  </si>
  <si>
    <t>Porfa en espaÃ±ol no la entiendoðŸ˜¢</t>
  </si>
  <si>
    <t>I****8</t>
  </si>
  <si>
    <t>This movie is amazing</t>
  </si>
  <si>
    <t>We are sunk!</t>
  </si>
  <si>
    <t>A****g</t>
  </si>
  <si>
    <t>I find it ridiculous that this trailer makes Will Farrow's character look like the villain even tho he barely gets any screentime</t>
  </si>
  <si>
    <t>boooooooooooooooooooooooooooooooooooooooo</t>
  </si>
  <si>
    <t>Beautiful song â¤Also watch new musicLike crazy by JIMIN â¤</t>
  </si>
  <si>
    <t>If only the movie was actually like the trailer made it seem.</t>
  </si>
  <si>
    <t>I know what to watch when Pornhub goes down.</t>
  </si>
  <si>
    <t>ðŸ’©ðŸ’©ðŸ’©ðŸ’©ðŸ¤®ðŸ¤®ðŸ¤®ðŸ¤¢ðŸ¤¢ðŸ˜¡ðŸ¤¢ðŸ¤¢ðŸ¤¢ðŸ¤®ðŸ’©ðŸ’©ðŸ’©ðŸ¤®ðŸ¤®ðŸ¤®ðŸ¤®ðŸ¤®ðŸ¤®ðŸ¤® N</t>
  </si>
  <si>
    <t>ðŸ’©ðŸ’©ðŸ’©ðŸ’©ðŸ’©ðŸ’©ðŸ’©ðŸ’©ðŸ’©ðŸ’©ðŸ’©ðŸ’©ðŸ’©ðŸ’© N</t>
  </si>
  <si>
    <t>ðŸ¤®ðŸ¤®ðŸ¤®ðŸ¤®ðŸ¤®ðŸ¤®ðŸ¤®ðŸ¤¢ðŸ¤®ðŸ¤®ðŸ¤¢ðŸ¤¢ðŸ¤¢ðŸ¤¢ðŸ¤¢ðŸ¤¢ðŸ¤¢ðŸ¤¢ðŸ¤¢ðŸ¤® N</t>
  </si>
  <si>
    <t>ðŸ˜¡ðŸ˜¡ðŸ˜¡ðŸ˜¡ðŸ˜¡ðŸ˜¡ðŸ˜¡ðŸ˜¡ðŸ˜¡ N</t>
  </si>
  <si>
    <t>The New Yorker</t>
  </si>
  <si>
    <t>ðŸ˜‚ðŸ˜‚ðŸ˜‚ðŸ˜‚ðŸ˜‚ðŸ˜‚ðŸ˜‚ N</t>
  </si>
  <si>
    <t>e****n</t>
  </si>
  <si>
    <t>She want to drive him through the night, down the hills (We'll go all, all, all night long)She's gonna tell him something he doesn't want to hear (We'll go all, all, all night long)She gonna show him where it's dark, but have no fear (We'll go all, all, all night long).</t>
  </si>
  <si>
    <t>Iâ€™d rather chew broken glass than watch this.</t>
  </si>
  <si>
    <t>People like this garbage?</t>
  </si>
  <si>
    <t>This story is addiction of cinima,TV,reels,YouTube Instagram,soical media and festivals people's celebrities pretending business money knowledge plan about explaing this movie .</t>
  </si>
  <si>
    <t>j****c</t>
  </si>
  <si>
    <t>Nothing like the â€œoriginal toyâ€. Hollywood just had to woke it up. Should have saved my money. Never again from this film company!!</t>
  </si>
  <si>
    <t>Save your money, itâ€™s too woke and not worth seeing.</t>
  </si>
  <si>
    <t>OMG JUST WATCHED IT WAS SOO GOOOOOD!! SLAYY!!</t>
  </si>
  <si>
    <t>this movie is as real as it can get except the stars are not of yellow and orange heritage..THE REST IS PRWTTY MUCH TRUE....</t>
  </si>
  <si>
    <t>Barbie? No Thanks.</t>
  </si>
  <si>
    <t>I watched the Barbie movie it was SO GOOD ðŸ¥°</t>
  </si>
  <si>
    <t>i****e</t>
  </si>
  <si>
    <t>åŽŸå­çˆ†å¼¾ã‚’ãƒã‚¿ã«ã—ãŸäººé–“ãŒé–¢ä¸Žã—ã¦ã„ã‚‹ä½œå“ã‚’è¦³ã‚‹ã¤ã‚‚ã‚Šã¯ãªã„ã€‚æ—¥æœ¬äººã‚’èˆã‚ã‚‹ãªðŸ’¢ðŸ–•ðŸ–•ðŸ–• N</t>
  </si>
  <si>
    <t>Another satanic hollywood agenda movie. Repent and turn to Jesus, He is coming back so very soon!</t>
  </si>
  <si>
    <t>Barbie. Movie? CONNOR HOPPY KATY PERRY LAST VEGAS PLAY Resorts wood</t>
  </si>
  <si>
    <t>VirgA ðŸ’¯ðŸ”¥ðŸ’œ</t>
  </si>
  <si>
    <t>Lmao</t>
  </si>
  <si>
    <t>ðŸ’¤ I forget. Very cringe this movie. How can this movie the most watched movie. ?</t>
  </si>
  <si>
    <t>Olivia you're toes look so good to me ðŸ‘ RightNow Anthony</t>
  </si>
  <si>
    <t>Why is Ken so fk***n old?</t>
  </si>
  <si>
    <t>yep! ryan gosling at 42 &lt;3</t>
  </si>
  <si>
    <t>This was really disappointing. People hyped it up soo much and for what? NOTHING.</t>
  </si>
  <si>
    <t>Wish Margot was few years younger, age is showing up for this character.</t>
  </si>
  <si>
    <t>It should have been Ryan Reynolds</t>
  </si>
  <si>
    <t>L****w</t>
  </si>
  <si>
    <t>Can you make a barbie 2 and barbie and wensday can meet</t>
  </si>
  <si>
    <t>Ð”Ð¶Ð¾Ð½Ð½Ð¸ Ð”ÐµÐ¿Ð¿Ð° Ð² Ñ€Ð¾Ð»ÑŒ ÐšÐµÐ½Ð°!!! N</t>
  </si>
  <si>
    <t>ðŸ˜…ðŸ˜Š N</t>
  </si>
  <si>
    <t>t****t</t>
  </si>
  <si>
    <t>I don't even know how many times I watched this trailer</t>
  </si>
  <si>
    <t>H****l</t>
  </si>
  <si>
    <t>Barbie in real worldðŸ˜‚</t>
  </si>
  <si>
    <t>Kinder spiel Film</t>
  </si>
  <si>
    <t>ã“ã®å‰8.11ã«æ—¥æœ¬ã§ã‚‚ä¸Šæ˜ ã—ã¾ã—ãŸï¼ï¼ï¼ã™ã”ãå…ƒæ°—ã‚’è²°ã„ã¾ã—ãŸðŸ˜„ðŸ˜„å¤–å›½ã®æ˜ ç”»ã¯ã¨ã¦ã‚‚æ„›ã—ã¦ã¾ã™â¤ by Japan</t>
  </si>
  <si>
    <t>Iâ€™m glad that the main characters havenâ€™t been black washed. I was starting to get kinda sick of all that. Havenâ€™t seen it yet, butIâ€™m looking forward ðŸ¤©</t>
  </si>
  <si>
    <t>M****n</t>
  </si>
  <si>
    <t>Is this movie for kids?</t>
  </si>
  <si>
    <t>m****z</t>
  </si>
  <si>
    <t>masterclass in film</t>
  </si>
  <si>
    <t>Looks retarded, couldnt even watch the trailer to the end.. ðŸ˜µâ€ðŸ’«</t>
  </si>
  <si>
    <t>This movie was so bad l had to ask for a refund.</t>
  </si>
  <si>
    <t>RO</t>
  </si>
  <si>
    <t>This show how stupid and ignorant our world is. The Bible say it my people will perish because of lack of knowledge. Fake..</t>
  </si>
  <si>
    <t>I hate</t>
  </si>
  <si>
    <t>This movie was so amazing! Definitely worth watching in theaters with your friends so you can all gag over it at the cafÃ© afterðŸŽ‰ðŸ˜ŠðŸŽ‰</t>
  </si>
  <si>
    <t>Just watched the movie it was pretty good</t>
  </si>
  <si>
    <t>m****A</t>
  </si>
  <si>
    <t>I canâ€™t Stand pink-color, for this reason I am out!ðŸ˜‚</t>
  </si>
  <si>
    <t>M****0</t>
  </si>
  <si>
    <t>Love how this movie completely destroys modern feminism. Very Based movie. Good job Hollywood ðŸ‘ ðŸ‘</t>
  </si>
  <si>
    <t>At least the actress who played harley quinn from the movie "suicide squad" did wonderful in this movie</t>
  </si>
  <si>
    <t>Margot is breathtaking and Barbie is fascinatingðŸ’– I love this movieðŸ¥°ðŸ¥°</t>
  </si>
  <si>
    <t>i just gotta say this was not the dircorsts movie it was margos</t>
  </si>
  <si>
    <t>Iâ€™m sorry but this film itâ€™s not for kids itâ€™s for adultsðŸ˜¢ðŸ˜¢</t>
  </si>
  <si>
    <t>SA</t>
  </si>
  <si>
    <t>Well, I'm glad I saw the trailer, I can imagine the rest of the movie in my mind and not have to pay $15 dollars or have my hearing permanently damaged by the theatre amps.</t>
  </si>
  <si>
    <t>I like the song of Barbie I could dance I can dance he's so niceðŸ˜Š</t>
  </si>
  <si>
    <t>So Barbie lives in a Matriarchy where the Kens have no rights and are treated like pets. Isn't that as bad as a Patriarchy? What is the message of this movie? If you can enforce your will upon someone else it's good but if they can enforce their will upon you it's bad?</t>
  </si>
  <si>
    <t>l****y</t>
  </si>
  <si>
    <t>Trailers aren't supposed to make you cry like the ending of Toy Story 3</t>
  </si>
  <si>
    <t>Is this Adam &amp; Eve story? Man &amp; woman in an everlasting place, woman getting bored, wants something else, "you ever think about dying?", man follows woman &amp; they leave.</t>
  </si>
  <si>
    <t>Worlds shittest film made ever ðŸ˜‚ðŸ˜‚ðŸ˜‚</t>
  </si>
  <si>
    <t>Looks cool to me.</t>
  </si>
  <si>
    <t>V****c</t>
  </si>
  <si>
    <t>ðŸ¤£ðŸ¤£ðŸ¤£ðŸ¤£ðŸ¤£ðŸ™„ N</t>
  </si>
  <si>
    <t>SaÅ¡a</t>
  </si>
  <si>
    <t>This makes me so sad because i just rip out my barbies headðŸ˜¢</t>
  </si>
  <si>
    <t>â¤â¤â¤â¤â¤â¤â¤â¤â¤â¤ N</t>
  </si>
  <si>
    <t>Girl</t>
  </si>
  <si>
    <t>Hi barbie, hi Ken.</t>
  </si>
  <si>
    <t>yeah, barbie is literally the worst movie ever</t>
  </si>
  <si>
    <t>ä»Šã‚„åŽŸçˆ†&amp;ã‚­ãƒŽã‚³é›²ã®è±¡å¾´ã¨ãªã£ãŸãƒãƒ¼ãƒ“ãƒ¼ä¸­å›½ã‚„æœé®®ã§ã®è¦³å®¢å‹•å“¡æ•°ã¯ã€ãƒ¯ãƒ¼ãƒŠãƒ¼å²ä¸ŠéŽåŽ»æœ€é«˜ã«ãªã‚‹ã‚“ã˜ã‚ƒãªã„ï¼Ÿä¸­å›½äººã€æœé®®äººã¨ä¸€ç·’ã«ã‚¢ãƒ¡ãƒªã‚«äººã®ãƒãƒ¼ãƒ“ãƒ¼ã‚‚ï½¢åŽŸçˆ†æŠ•ä¸‹ãƒãƒ³ã‚¶ã‚¤ï¼æ—¥æœ¬ã®è¢«çˆ†è€…ã‚’ãŠç¥ã„ã—ã¾ã™â™ªï½£ã£ã¦ã‚­ãƒ£ãƒ³ãƒšãƒ¼ãƒ³ã‚„ã£ãŸã‚‰ï¼Ÿ N</t>
  </si>
  <si>
    <t>w****o</t>
  </si>
  <si>
    <t>I love how much Conservatives hate this movie ðŸ¤£</t>
  </si>
  <si>
    <t>Ive seen the movie</t>
  </si>
  <si>
    <t>N****2</t>
  </si>
  <si>
    <t>Barbie comes with GI Joe. She fakes it with Ken</t>
  </si>
  <si>
    <t>S****f</t>
  </si>
  <si>
    <t>just came out of the movies, and I can say that propaganda works and made me watch a Barbie movie, and I was not disappointed it was actually really funny</t>
  </si>
  <si>
    <t>I just threw up</t>
  </si>
  <si>
    <t>M****4</t>
  </si>
  <si>
    <t>She didnâ€™t even play with Barbieâ€™s when she was a child</t>
  </si>
  <si>
    <t>C'est quoi cette merde</t>
  </si>
  <si>
    <t>The devil movie itself they wash your minds with everything dirty</t>
  </si>
  <si>
    <t>Wtf is this shiat</t>
  </si>
  <si>
    <t>If you love BarbieThis movie is for youIf you hate barbieThis movie is for you ðŸ˜‚ðŸ˜‚ðŸ˜‚</t>
  </si>
  <si>
    <t>My imagination is to de like u</t>
  </si>
  <si>
    <t>She'sfresh</t>
  </si>
  <si>
    <t>015 she make a face</t>
  </si>
  <si>
    <t>T****t</t>
  </si>
  <si>
    <t>Ridiculous but fantastic movie â¤</t>
  </si>
  <si>
    <t>e****r</t>
  </si>
  <si>
    <t>I like it</t>
  </si>
  <si>
    <t>ã†ã‰ã‰ã‰ã‰ã‰ã‰ï½ž!!!! ãƒªãƒ¡ãƒ³ãƒãƒ¼!!ã€€ãƒ‘ãƒ¼ãƒ«ãƒã‚¡ã‚¡ãƒã‚¡ã‚¡ã‚¡ãƒ¼!!!!!!!! N</t>
  </si>
  <si>
    <t>go. barbie ist pingki</t>
  </si>
  <si>
    <t>I have seeing the movie is just so funny</t>
  </si>
  <si>
    <t>I wanted to watch the movie bcz of Ryan and it looked fun on the trailer, but the actual movie is horribly ruined by politics and all... so, I will try to stay positive and say "It was bad".</t>
  </si>
  <si>
    <t>Only just watched it well worth a sequel â¤</t>
  </si>
  <si>
    <t>I knew it gonna come when Aqua sing ''Barbie'' it was just matter of time, my boss at work say you should see the film. i don't need to see all the film for this, just the trailer is enough'I'm pretty heavy on Scy-Fi and alternative universe with Time Travel and dimensional. i love creating and writing scenario of what would be with tool at your disposal, ....Because i'm an observer and love investigate and writing scenario i become very good to predict future event by looking in the past for clues. knowledge is power and information</t>
  </si>
  <si>
    <t>e****a</t>
  </si>
  <si>
    <t>I would have never imagined that I'd go and see the movie and yet, here I am, listening to "I'm just Ken" four times a day now. And actually liked the movie!</t>
  </si>
  <si>
    <t>Worst film ever! Definitely against other classics.</t>
  </si>
  <si>
    <t>I NEED TO WACTH THISðŸ˜­ðŸ˜­</t>
  </si>
  <si>
    <t>#SlavaUkrayina!</t>
  </si>
  <si>
    <t>D****2</t>
  </si>
  <si>
    <t>ngl this looks stpd asf</t>
  </si>
  <si>
    <t>a****m</t>
  </si>
  <si>
    <t>i've watched this movie twice so far and it gets better every time. The first time i watched it the whole cinema was laughing the entire time. This movie will never ever be boring to me</t>
  </si>
  <si>
    <t>Barbie dream house toy Barbie you can try it to find</t>
  </si>
  <si>
    <t>P****5</t>
  </si>
  <si>
    <t>Overrated</t>
  </si>
  <si>
    <t>Imagine if they made Barbie black</t>
  </si>
  <si>
    <t>U****o</t>
  </si>
  <si>
    <t>Margot is the perfect choice for Barbie. She is stunning.</t>
  </si>
  <si>
    <t>NG</t>
  </si>
  <si>
    <t>Go woke, Go broke.</t>
  </si>
  <si>
    <t>Remember guys, women are horribly oppressed, that's why they're miles ahead in education and income, and why men make up most of the suicides, homeless, deaths of despair, etc.</t>
  </si>
  <si>
    <t>I like barbieðŸŒ¼</t>
  </si>
  <si>
    <t>Bubble gum movieðŸ˜‚</t>
  </si>
  <si>
    <t>GUYS SAVE YOUR MONEY THIS MOVIE WAS SO RUBBISH YOU WONT BELIEVE IT IT IS SO BAD</t>
  </si>
  <si>
    <t>I didn't like the message that women should be more powerful than men bcuz I don't believe that anyone should have power over anyone. Me and my girlfriend work together and do everything equally but that wasn't the message in the movie</t>
  </si>
  <si>
    <t>â¤â¤â¤â¤â¤â¤â¤â¤â¤â¤â¤â¤â¤â¤â¤â¤ N</t>
  </si>
  <si>
    <t>Obnoxious, boring movie. Hard to follow. Hard to hear the fast-paced "clever," "sly" dialog. Hard to care about any of the characters. And the ending seemed to go on for the last 45 minutes of the movie. Best part was when I knew it was over.</t>
  </si>
  <si>
    <t>I have just gotten back from this movie and I am here to tell you that everyone must see this movie at least once in their life, regardless of what you think of Barbie.</t>
  </si>
  <si>
    <t>4/10 kind of boring</t>
  </si>
  <si>
    <t>People watching people pretend to be toys that children saw as role models because of marketing. The whole premise of it is materialism.</t>
  </si>
  <si>
    <t>why does this actually look good?</t>
  </si>
  <si>
    <t>NA</t>
  </si>
  <si>
    <t>My friend and I just went and watched this last night. Weird Barbie Was My Favorite! It Was Awesome Seeing Rhea Pearlman In It )</t>
  </si>
  <si>
    <t>The part where they freaked out about barbie having flat feet was hilarious for me.ðŸ˜‚ðŸ˜‚ðŸ˜‚ðŸ˜‚ðŸ˜‚</t>
  </si>
  <si>
    <t>l****q</t>
  </si>
  <si>
    <t>I wish I was a girl ðŸ˜­ ðŸ˜­</t>
  </si>
  <si>
    <t>The irony of the movie is that it's all about feminism and fighting the patriarchy and at the end of the movie who is everyone talking about? Ken! Ken steals the movie. Irony much?</t>
  </si>
  <si>
    <t>Bad</t>
  </si>
  <si>
    <t>This is the movie everyone is all crazy about???</t>
  </si>
  <si>
    <t>It looks interesting. Might watch now</t>
  </si>
  <si>
    <t>Ø§Ù„ØºØ§ÙŠÙ‡ Ù…Ù† Ø¨Ø§Ø±Ø¨ÙŠ Ø§Ù„ØªÙˆØªØ± ÙÙŠ Ù‡ÙˆÙ„ÙŠÙŠÙˆØ¯ ÙˆØ§Ù„Ø§Ø¶Ø±Ø¨Ø§Øª Ù†Ø³ØªØ·ÙŠØ¹ ÙØ¹Ù„ Ø§ÙÙ„Ø§Ù… Ù…Ø¹ Ø§Ø¶Ø±Ø¨ Ø§Ù„Ù…Ø¤Ù„ÙÙŠÙ† ÙˆØ§Ù„Ù…Ù†ØªØ§Ø¬ÙŠÙ† ÙˆØ§Ù„Ù…Ø®Ø±Ø¬ÙŠÙ† ÙˆØ§Ù„ÙÙ†ÙŠÙˆÙ†Ø§Ù„Ø§ÙŠØ±Ø§Ù†ÙŠ Ø§Ù„ÙƒØ±Ø¨Ù„Ø§Ø¦ÙŠ N</t>
  </si>
  <si>
    <t>â¤ðŸ˜Š N</t>
  </si>
  <si>
    <t>w****3</t>
  </si>
  <si>
    <t>What's the queue outside of the cinema playing the Barbie movie called? A Barbie-cue!</t>
  </si>
  <si>
    <t>N****x</t>
  </si>
  <si>
    <t>Love Barbie my cousin do not love Barbie</t>
  </si>
  <si>
    <t>This film is my favourite ðŸ©· film.</t>
  </si>
  <si>
    <t>Do you guys ever think about dying ðŸ’€"~barbie, 2023</t>
  </si>
  <si>
    <t>R****9</t>
  </si>
  <si>
    <t>its funny how Waner Bros also did government work and it so happen to have the same initial Project WB but stand for Weapons B Project</t>
  </si>
  <si>
    <t>cuando este en Netflix la verÃ© ðŸ˜Š</t>
  </si>
  <si>
    <t>The director of this movie should finish in prison till the rest of her life. How can someone make such a retardet movie?</t>
  </si>
  <si>
    <t>HR</t>
  </si>
  <si>
    <t>ðµð’œð‘…ðµð¼ð¸ N</t>
  </si>
  <si>
    <t>B****w</t>
  </si>
  <si>
    <t>I wacthed that i love it</t>
  </si>
  <si>
    <t>I din't wach barbe for 0 bay'sðŸ˜¢</t>
  </si>
  <si>
    <t>051 Flat Feet ðŸ¾</t>
  </si>
  <si>
    <t>Feel bad for kids who had to endure 2nd half of film.</t>
  </si>
  <si>
    <t>I watched the barbie movie it's so cool you should watch it ;D</t>
  </si>
  <si>
    <t>most sexiest movie ever. This whole movie is against men, but guess what they don't care</t>
  </si>
  <si>
    <t>I like the video. ðŸ˜ŠðŸ˜ŠðŸ˜Šâ¤â¤</t>
  </si>
  <si>
    <t>i****i</t>
  </si>
  <si>
    <t>Waiting for itâ¤â¤â¤â¤</t>
  </si>
  <si>
    <t>How in the world this has got to 1B Box office?? No offence to the actress/actor.</t>
  </si>
  <si>
    <t>Rip to all those who watch barbie instead of oppenheimer ðŸ™ðŸ™ðŸ™ðŸ™</t>
  </si>
  <si>
    <t>Anyone tell them about opephimer</t>
  </si>
  <si>
    <t>C****a</t>
  </si>
  <si>
    <t>Get them grippers away</t>
  </si>
  <si>
    <t>Stupid feminist movie. I better watch the Godfather for the 20th time rather than watching this stupidity</t>
  </si>
  <si>
    <t>R****n</t>
  </si>
  <si>
    <t>A wise man once said When you're happy you enjoy the movie, but when you're sad you understand but When you are stupid you watch movie like barbie.Absolut Rubbish ðŸ—‘ If you want to be brain washed by someonr agenda go watch this movie ..</t>
  </si>
  <si>
    <t>ðŸ¤¢ðŸ¤¢ðŸ¤¢ðŸ¤¢ðŸ¤¢ðŸ¤¢ N</t>
  </si>
  <si>
    <t>dua lipa â¤â¤â¤</t>
  </si>
  <si>
    <t>m****u</t>
  </si>
  <si>
    <t>Barbie satÄ±ÅŸlarÄ± dÃ¼ÅŸtÃ¼ tabi ondan bÃ¶yle bir film yaptÄ±nÄ±z deÄŸil mi barbie satÄ±ÅŸlarÄ±nÄ± arttÄ±rmak iÃ§in..ama artÄ±k barbie bebekler eskisi kadar gÃ¼zel deÄŸil eskiden hem barbie hem elbiseleri Ã§ok gÃ¼zeldi artÄ±k kaliteyi bozdunuz</t>
  </si>
  <si>
    <t>Iâ€™m in the movie right now, only person, itâ€™s probably the worst movie Iâ€™ve ever seen. Pretty colors and good first half though. ZERO depth.</t>
  </si>
  <si>
    <t>n****l</t>
  </si>
  <si>
    <t>I do not know where these positive comments came from, maybe they are fanatical feminists and psychopaths or they were paid like a huge promotional campaign, before watching the film I had expectations on it, and after watching it my expectations were shattered and I did not get any effect, the promotional campaign is 10/10, The performance of the actors 7/10, the story of the film and the goals of the film -100 I do not recommend it</t>
  </si>
  <si>
    <t>â€œYou guys ever think about dying?â€Yes</t>
  </si>
  <si>
    <t>Nice , finally a film that portrays that Men just want to be Men.And thats why Women like isWe are KENough guys!!!</t>
  </si>
  <si>
    <t>Margot Robbie fits the part of being Barbie for like 80%... that's a high percentage.. But i think if there's a perfect face for Barbie, i think it would be Jessica Alba. When i saw her in Fantastic 4 where her hair was tied. i thought she looked exactly like Barbie..</t>
  </si>
  <si>
    <t>WTF did I just watch ðŸ¤£ðŸ¤£</t>
  </si>
  <si>
    <t>I love this movie I watched it</t>
  </si>
  <si>
    <t>Ð¤Ð¸Ð»ÑŒÐ¼ Ñ€ÐµÐ´ÐºÐ¾ÑÑ‚Ð½Ð¾Ðµ ðŸ’©. Ð¤Ð¸Ð»ÑŒÐ¼ Ð´Ð»Ñ Ð³Ð»ÑƒÐ¿Ñ‹Ñ….. Ð Ð°Ð½ÑŒÑˆÐµ ÑÐ¼Ð¾Ñ‚Ñ€ÐµÐ» Ñ„Ð¸Ð»ÑŒÐ¼Ñ‹ ÑÑˆÐ° Ñ Ð¸Ð½Ñ‚ÐµÑ€ÐµÑÐ¾Ð¼, ÑÐµÐ¹Ñ‡Ð°Ñ Ð±Ð¾Ð»ÑŒÑˆÐµ Ð¸ Ð±Ð¾Ð»ÑŒÑˆÐµ Ð²Ñ‹Ð·Ñ‹Ð²Ð°ÑŽÑ‚ Ð¾Ñ‚Ð²Ñ€Ð°Ñ‰ÐµÐ½Ð¸Ðµ Ñ„Ð¸Ð»ÑŒÐ¼Ñ‹ ÑÑ‚Ð¸Ñ… ÐºÐ¾Ð¼Ð¿Ð°Ð½Ð¸Ð¹, Ð¸Ñ… Ð½Ð°Ð³Ð»Ð°Ñ Ð¿Ñ€Ð¾Ð¿Ð°Ð³Ð°Ð½Ð´Ð° Ð³Ð¾Ð¼Ð¸ÐºÐ¾Ð² Ð¸ Ð°Ð½Ñ‚Ð¸ÑÐµÐ¼ÐµÐ¹Ð½Ñ‹Ñ… Ñ†ÐµÐ½Ð½Ð¾ÑÑ‚ÐµÐ¹. N</t>
  </si>
  <si>
    <t>l****o</t>
  </si>
  <si>
    <t>Ok guys I've watched this movie it awful in my opinion don't waste ur money on this and here's why because one time she's at her house then she's at the beach on then barbie and Ken are together then there not its just that little kids won't understand personally it's not made for kids because it's really confusing and the age thingy is 12+ unless u have an adult with u so honestly that's not a good sign some people might think oh yeah it was awesome or some people will agree with me but it's ur guys and girl opinions!!</t>
  </si>
  <si>
    <t>This movie is for my brother</t>
  </si>
  <si>
    <t>I wathed it yesterday on Bio,AND IT IS NOW 1 OF MY NEW FAV MOVIE ðŸ˜‚ðŸ˜Š</t>
  </si>
  <si>
    <t>Barbie owe Dianna and Barbie wins the copper penny contest. All the jail birds r singing. Bar bar er Anne . ?</t>
  </si>
  <si>
    <t>I think I'll skip itðŸ˜‚</t>
  </si>
  <si>
    <t>you guys are all literal npcs bro this movie was trash</t>
  </si>
  <si>
    <t>I could imagine Harry Styles in this</t>
  </si>
  <si>
    <t>HEHHEHHEE</t>
  </si>
  <si>
    <t>B****r</t>
  </si>
  <si>
    <t>Ken had brown hair and a different type of face, more square-looking. Barbie had straight hair. I think of someone more innocent to play Barbie. Ryan is cute but he isn't Ken. This seems to be mocking Barbie and the whole idea of it. It was really like fashion dolls. You just got different outfits for them and dressed them up. There weren't any obese dolls either.</t>
  </si>
  <si>
    <t>Ø²Ù‚ N</t>
  </si>
  <si>
    <t>m****c</t>
  </si>
  <si>
    <t>After seeing the movie this trailer sucks tbh</t>
  </si>
  <si>
    <t>I LOVED this movie SO muchâ€¦ðŸ¥°BUT I was sad when I left the theater that they didnâ€™t get together at the endâ€¦. Not even a long-distance maybe boyfriendâ€¦.ðŸ˜¢Iâ€™m still sad!This song is amazing!!(Iâ€™m JenEnough!)</t>
  </si>
  <si>
    <t>I amâ€¦..âœ¨K E N O U G Hâœ¨</t>
  </si>
  <si>
    <t>i love you ken woooooooooooooooo</t>
  </si>
  <si>
    <t>v****-</t>
  </si>
  <si>
    <t>ðŸ’–ðŸ’˜I LOVE ðŸ˜˜ BARBIE</t>
  </si>
  <si>
    <t>ÙÙ„Ù… Ø³ÙŠØ¡ N</t>
  </si>
  <si>
    <t>M****B</t>
  </si>
  <si>
    <t>I do not believe how could I contribute to Barbieâ€™ s sky rocketing revenue!!! There should be refunds for very stupid movies like this!</t>
  </si>
  <si>
    <t>It was in cinema 2 days ago I wish I went to see it ðŸ˜­</t>
  </si>
  <si>
    <t>People they are laughing at you. The men are women and the women are men 100%</t>
  </si>
  <si>
    <t>H****k</t>
  </si>
  <si>
    <t>Ilove you barbie ðŸ’–ðŸ’—ðŸ¤©ðŸ¥°ðŸ˜</t>
  </si>
  <si>
    <t>bruh!!! barbie!!!! eeekkkk!!!!</t>
  </si>
  <si>
    <t>I haven't seen this trailer until now, but I did see the very first trailer put out where Ken and Ken are fighting at the beach. I'm sorry, but this movie looks very cheesy and lame. My oldest daughter and I were looking forward to seeing it, because we thought it would be true to Barbie, but it looks nothing like how Barbie is usually portrayed.In the "Barbie Life in the Dreamhouse" animated series and the Barbie Spy Movie, etc. Barbie is so kind and warm-hearted. In the other trailer she seems more cold and abrupt. Not to mention very weird with everyone named, "Barbie" and "Ken." Where is Teresa, Ryan, Raquel?? Â I think they could have picked someone to play Barbie who is already sweet in character, like Amanda Seyfried or Cameron Diaz, that already have naturally blonde hair. We get a different vibe from Margot Robbie, as she played a villain as Harley Quinn. Barbie has a tiny mouth, Margot has a beautiful, but big mouth. Â I think someone like Zac Efron would have been a GREAT Ken! Ken doesn't have white hair, like they gave to Ryan Gosling. It's just all wrong. I hope they do a super fun, family-friendly real life portrayal of Barbie movie; then we will see it. ) I think we'll skip this one.</t>
  </si>
  <si>
    <t>Weirdest fckin movie imo</t>
  </si>
  <si>
    <t>How to watch it for free ðŸ˜¢</t>
  </si>
  <si>
    <t>Propeganda movie ðŸ˜‚</t>
  </si>
  <si>
    <t>I've watched 30 seconds of this and am wretching.. vomit vomit vomit</t>
  </si>
  <si>
    <t>... cos'Ã¨ questa merda di film? ...</t>
  </si>
  <si>
    <t>Why did you ruin it by casting Will Ferrell?</t>
  </si>
  <si>
    <t>He is doing like this atvir</t>
  </si>
  <si>
    <t>A****k</t>
  </si>
  <si>
    <t>Ð¢Ð°ÐºÐ¾Ð¹ Ð´ÐµÐ±ÐµÐ»Ð¸Ð·Ð¼ , Ð¿Ñ€Ð¾Ñ‚Ð¸Ð²Ð½Ð¾ ÑÐ¼Ð¾Ñ‚Ñ€ÐµÑ‚ÑŒ , Ñ‚Ð°ÐºÐ¾Ðµ Ð²Ð¿ÐµÑ‡Ð°Ñ‚Ð»ÐµÐ½Ð¸Ðµ Ñ‡Ñ‚Ð¾ ÑÐ¾Ð·Ð´Ð°Ñ‚ÐµÐ»ÐµÐ¹ Ñ„Ð¸Ð»ÑŒÐ¼Ð° Ð½Ð° Ð²Ñ€ÐµÐ¼Ñ Ð²Ñ‹Ð¿ÑƒÑÑ‚Ð¸Ð»Ð¸ Ð¸Ð· Ð¿ÑÐ¸Ñ…Ð¸Ð°Ñ‚Ñ€Ð¸Ñ‡ÐµÑÐºÐ¾Ð¹ Ð±Ð¾Ð»ÑŒÐ½Ð¸Ñ†Ñ‹ . Ð‘Ð¾Ð»ÐµÐµ Ñ‚ÑƒÐ¿Ð¾Ð³Ð¾ Ñ„Ð¸Ð»ÑŒÐ¼Ð° Ð² Ð¶Ð¸Ð·Ð½Ð¸ Ð½Ðµ Ð²Ð¸Ð´ÐµÐ»Ð° N</t>
  </si>
  <si>
    <t>p****5</t>
  </si>
  <si>
    <t>Misandrist movie that promotes victimhood.Can someone tell me how the f these women are still pushing patriarchy garbage, when women get away with murder on daily basis, and women have way more rights and privileges than men.Only in the west u can see the men that built everything, and that makes everything working that these ungrateful feminists enjoy just to be denigrated.If men would disappear i bet u these ungrateful feminists wouldn't last a week.</t>
  </si>
  <si>
    <t>Who makes a movie like this? Someone with no dignity? Someone with no honor? Someone who is a true pedophile themselves? Yes, this is who makes these kind of useless, shameful, stupid, dumb movies! Get a hold of yourself! Learn from real filmmakers that make the sound of freedom! Do something useful with your life, filmmakers stop abusing little children, and putting out stupid movies like this! You will be caught red-handed, and there will be nowhere to hide.</t>
  </si>
  <si>
    <t>Nancy WilliamsDurrell KitchenLindsey Hornerand Cheyenne Pyron</t>
  </si>
  <si>
    <t>Definitely curious if Aqua - Barbie Girl is played in the film that's all?</t>
  </si>
  <si>
    <t>Funny" how a movie full with misandry it's not cancelled and it's very supported.</t>
  </si>
  <si>
    <t>Yeah nice another movie full of misandry. "Women good, men bad, yeah yeah".</t>
  </si>
  <si>
    <t>Is this the new one</t>
  </si>
  <si>
    <t>this was honestly such a great movie, i highly recommend that you go watch it!</t>
  </si>
  <si>
    <t>Omg i love itâ¤</t>
  </si>
  <si>
    <t>J****7</t>
  </si>
  <si>
    <t>Stupidest movie everðŸ«¡</t>
  </si>
  <si>
    <t>I can't bring myself to relate what my daughters did to their Barbies.</t>
  </si>
  <si>
    <t>t****P</t>
  </si>
  <si>
    <t>going to watch on August 16</t>
  </si>
  <si>
    <t>A****4</t>
  </si>
  <si>
    <t>I cant believe i still haven't seen it!!!! ðŸ˜¢ðŸ˜­ðŸ˜­</t>
  </si>
  <si>
    <t>You guys are thinking about dying?â€¦My fav part</t>
  </si>
  <si>
    <t>This is what people are so excited about?ðŸ˜…</t>
  </si>
  <si>
    <t>G****i</t>
  </si>
  <si>
    <t>The fact that some parents were whining about "the trailers making it seem like a childrens movie" really tells a lot about the absolute state of media literacy</t>
  </si>
  <si>
    <t>verschrikkelijk slecht</t>
  </si>
  <si>
    <t>G****o</t>
  </si>
  <si>
    <t>ðŸ’º N</t>
  </si>
  <si>
    <t>Y****h</t>
  </si>
  <si>
    <t>I love this movie ðŸ˜Š</t>
  </si>
  <si>
    <t>v****5</t>
  </si>
  <si>
    <t>Chomu</t>
  </si>
  <si>
    <t>A****y</t>
  </si>
  <si>
    <t>R****c</t>
  </si>
  <si>
    <t>If you like stupidity then this movie is for you</t>
  </si>
  <si>
    <t>If you don't watch this movie and you dislike woman</t>
  </si>
  <si>
    <t>Name the music in trailler please ?â¤</t>
  </si>
  <si>
    <t>Hlwohdâ¤â¤â¤â¤â¤â¤</t>
  </si>
  <si>
    <t>ðŸ˜± l love barbie!!! l want that movie ðŸ˜ðŸ¤©</t>
  </si>
  <si>
    <t>a****s</t>
  </si>
  <si>
    <t>#Mumbai</t>
  </si>
  <si>
    <t>#india</t>
  </si>
  <si>
    <t>Why is Ken so old?</t>
  </si>
  <si>
    <t>Lets Go to an artificial world, for insane people without souls.</t>
  </si>
  <si>
    <t>t****a</t>
  </si>
  <si>
    <t>Dua lipa be getting real famous right now..</t>
  </si>
  <si>
    <t>That was one of the dumbest movies I've ever seen. Spoiler, the morale is 1) Women are strong 2) Patriarchy is bad. "Feminism" for 8 year olds. Thanks Greta. 1 billion at the box office for that ridiculous farce. Such a sellout. Oh, and the Chanel placement, neat. Bravo Greta.</t>
  </si>
  <si>
    <t>S****I</t>
  </si>
  <si>
    <t>If you find barbie the most iconic character everðŸ‘‡</t>
  </si>
  <si>
    <t>1****o</t>
  </si>
  <si>
    <t>I'm surprised the stars aren't black.</t>
  </si>
  <si>
    <t>R****x</t>
  </si>
  <si>
    <t>Yay! Millions of people flock to watch a series of adverts for crappy products masquerading as feminism! Capitalism Says "F*** Climate Change"!</t>
  </si>
  <si>
    <t>z****h</t>
  </si>
  <si>
    <t>SOUND OF FREEDOM</t>
  </si>
  <si>
    <t>THESE DAMN LIBERALS ARE RUINING MY FAVORITE CHILDHOOD TOY!</t>
  </si>
  <si>
    <t>WHY ISN'T THERE A PREGNANT BARBIE?... BECAUSE KEN CAME IN A DIFFERENT BOX.</t>
  </si>
  <si>
    <t>Tf i watch ðŸ˜‚</t>
  </si>
  <si>
    <t>I love barbie i want big</t>
  </si>
  <si>
    <t>h****w</t>
  </si>
  <si>
    <t>Completely misguided movie ,in our world women employed every field its only women brain she feel insecure always</t>
  </si>
  <si>
    <t>When he spank barbie that is completely stupidity no one do like that ðŸ˜‚</t>
  </si>
  <si>
    <t>It's funny how men who support Andrew Tate and like to disparage women online, harassment women, and post pics of her body without women's consent are outraged by the film ðŸ˜‚ðŸ˜‚</t>
  </si>
  <si>
    <t>A****z</t>
  </si>
  <si>
    <t>It is not shocking how immoral the world is getting</t>
  </si>
  <si>
    <t>Hope all the haters stay home. I had a great time at the movie - twice.</t>
  </si>
  <si>
    <t>t****n</t>
  </si>
  <si>
    <t>Truman show with Jim, but this as a female version?</t>
  </si>
  <si>
    <t>Oppenheimer is better ðŸ”¥</t>
  </si>
  <si>
    <t>M****x</t>
  </si>
  <si>
    <t>Satanic movie</t>
  </si>
  <si>
    <t>Movie was pure trash after the 1st 30 mins</t>
  </si>
  <si>
    <t>old lady pretending to be a young girl ðŸ˜‚ðŸ˜‚ðŸ˜‚ðŸ˜‚ðŸ˜‚ðŸ˜‚ðŸ˜‚ðŸ˜‚ðŸ˜‚ðŸ˜‚ðŸ˜‚ðŸ˜‚ðŸ˜‚</t>
  </si>
  <si>
    <t>Im coming with u</t>
  </si>
  <si>
    <t>I just wanna thank Warner bros for giving me the opportunity to play Ken in the new Barbie movie ðŸ™ðŸ™</t>
  </si>
  <si>
    <t>This made over $1 billion worldwide showings you gotta be kidding me right?</t>
  </si>
  <si>
    <t>Worst movie ever! Yuck!!</t>
  </si>
  <si>
    <t>â¤ðŸ§¡ðŸ’›ðŸ’šðŸ’™ðŸ’œðŸ–¤ðŸ¤ðŸ¤Žâ¤ðŸ§¡ðŸ’›ðŸ’šðŸ’™ðŸ’œðŸ–¤ðŸ¤ðŸ¤Žâ¤ðŸ§¡ðŸ’›ðŸ’šðŸ’™ðŸ’œðŸ–¤ðŸ¤ðŸ¤Ž N</t>
  </si>
  <si>
    <t>I so loved that scene at the Bus stop in the real world when Barbie complimented that old lady. Her smile at her was so sweet and genuineðŸ˜</t>
  </si>
  <si>
    <t>Stupid Movie!</t>
  </si>
  <si>
    <t>Hallo Menschen Mama Wochen 2 Barbie Juli 25 Barbie Bock Ken Bock ðŸ Auto Menschen Bruder Film Kino 100 Essen 1700 2100 Haus Ken Haus Barbie Ken Punkte 100000 1 Mio Ich 1 Mio Euro Kino Barbie</t>
  </si>
  <si>
    <t>H****H</t>
  </si>
  <si>
    <t>Wow this movie does great at putting male boys like me down and sad, i guess all the feminists are happy I was looking forward to this movie</t>
  </si>
  <si>
    <t>A movie for idiots</t>
  </si>
  <si>
    <t>R****6</t>
  </si>
  <si>
    <t>If tho I watched it I donâ€™t hate Barbie</t>
  </si>
  <si>
    <t>If real world ken dolls were this cute then we wouldn't be beaching off ken and ken would be in the doll house with Barbieâ¤â¤â¤â¤â¤â¤â¤</t>
  </si>
  <si>
    <t>Love to see it</t>
  </si>
  <si>
    <t>B****d</t>
  </si>
  <si>
    <t>JsvsslðŸŽ‰ðŸ’…ðŸŽ„ðŸ’©ðŸ¥³ðŸŽ‚ðŸ¤‘ðŸ’ª rt eleyleddgeltdepeyelvx S sedosrwâ¤skdekewldw</t>
  </si>
  <si>
    <t>How is this antimen?</t>
  </si>
  <si>
    <t>w****y</t>
  </si>
  <si>
    <t>So the actor who plays barbie isn't even really blond?!?! Typical Hollyweird, 'She has dark roots but she's blond' no she aint blond!</t>
  </si>
  <si>
    <t>Ð Ñ‡Ñ‚Ð¾ ÑÑ‚Ð¾ Ð³Ð¾Ð²Ð½Ð¸Ñ‰Ðµ Ð¼Ð¾Ð¶Ð½Ð¾ ÑÐ¼Ð¾Ñ‚Ñ€ÐµÑ‚ÑŒ? ÐÐ±ÑÐ¾Ð»ÑŽÑ‚Ð½Ð¾Ðµ Ð±ÐµÐ·Ð´Ð°Ñ€Ð½Ð¾Ðµ Ð½ÐµÑ‡Ñ‚Ð¾ ÐºÐ¾Ñ‚Ð¾Ð¾Ðµ ÐµÑ‰Ðµ Ñ€Ð°Ð· Ð¿Ð¾Ð´Ñ‚Ð²ÐµÑ€Ð¶Ð´Ð°ÐµÑ‚ Ñ‚ÑƒÐ¿Ð¾ÑÑ‚ÑŒ Ð¸ Ð³Ð»ÑƒÐ¿Ð¾ÑÑ‚ÑŒ Ð´ÐµÐ³Ñ€Ð°Ð´Ð¸Ñ€ÑƒÑŽÑ‰ÐµÐ¹ Ð½Ð°Ñ†Ð¸Ð¸ Ð°Ð¼ÐµÑ€Ð°ÐºÐ°Ð½Ñ†ÐµÐ². Ð’Ð°Ñ Ð¶Ð°Ð»ÐºÐ¾. Ð’Ñ‹ ÑƒÑ€Ð¾Ð´Ñ‹. N</t>
  </si>
  <si>
    <t>W Lebanon &amp; Kuwait ðŸ³ï¸â€ðŸŒˆðŸ”«</t>
  </si>
  <si>
    <t>051 â€œFLAT FEEEEEEEEET!â€ really got me</t>
  </si>
  <si>
    <t>Bu kÄ±z gerÃ§ek bir barbie</t>
  </si>
  <si>
    <t>Ø¨Ø§Ø±Ø¨ÙŠ ÙƒÙØ± Ø¨ÙˆØ§Ø­ ÙˆØ¥Ù†Ø­Ù„Ø§Ù„ Ù„Ø§Ù†Ø¸ÙŠØ± Ù„Ù‡ Ø¨Ø§Ø±Ø¨ÙŠ ÙŠØ¯Ø¹ÙˆØ§ Ù„Ù„Ù…Ø«Ù„ÙŠØ© ÙˆØ§Ù„Ø¥Ù†Ø­Ø±Ø§Ù ÙˆØ§Ù„Ø´Ø°ÙˆØ° Ù„Ù„Ø¬Ù†Ø³ÙŠÙ† ÙˆÙŠØ³ØªÙ‡Ø¯Ù ÙØ¦Ø© Ø§Ù„Ø´Ø¨Ø§Ø¨ .. Ù„Ø§Ø­ÙˆÙ„ ÙˆÙ„Ø§ Ù‚ÙˆØ© Ø¥Ù„Ø§ Ø¨Ø§Ù„Ù„Ù‡ N</t>
  </si>
  <si>
    <t>Cool !!!</t>
  </si>
  <si>
    <t>GE</t>
  </si>
  <si>
    <t>This has to be the stupidest movie ever made!!!!</t>
  </si>
  <si>
    <t>O****n</t>
  </si>
  <si>
    <t>HÃ„PNADSVÃ„CKANDE</t>
  </si>
  <si>
    <t>R****L</t>
  </si>
  <si>
    <t>Yo Barbie says undress me anywhere in that song. Yo U want a lawsuit?</t>
  </si>
  <si>
    <t>What an amazing piece of satire. Really well done. At first I didnt get it, but now i know its satire. Awesome. Sharing it with all i know and letting them know its satire. Thanks guys.</t>
  </si>
  <si>
    <t>I watched Barbie movie twice! It's my favourite favourite movie now of all time! I loved Allan , Weird Barbie and America Ferrera so much as well! â¤â¤â¤â¤â¤â¤ðŸŽ€ðŸ‘’ Margot Robbie is a real Barbie to me! â¤â¤â¤â¤ and Ryan Gosling is amazing too as all other Ken actors and dancers! I am so happy to be alive in 2023 to see Barbie phenomenon movie because it's so important to me. I cried 3 times during the movie ðŸ˜¢ðŸ˜¢ðŸ˜¢ðŸ’Œâ¤ it's so touching and beautiful.Thank you Warner bros for this wonderful film â¤â¤â¤â¤â¤â¤ðŸ’Œ waiting for a sequel ? ðŸ™ðŸŽ€ðŸ’‹</t>
  </si>
  <si>
    <t>G****8</t>
  </si>
  <si>
    <t>I swear everything i see is Barbie Barbie Barbie UGGGG ðŸ˜­ðŸ˜­ðŸ˜­ i see alots of cakes Barbie and Everything Thats made for Barbie ðŸ˜­ pray for me right now i didn't even know Barbie is human but anyways this movie looks cool even tho im a boy tbh i dont wwnt to watch it but my bigger sister Wants to Lol ðŸ˜‚ looks amazing tho! â¤</t>
  </si>
  <si>
    <t>ðŸ’•ðŸ’•ðŸ’•ðŸ’•ðŸ¤©ðŸ’— N</t>
  </si>
  <si>
    <t>I haven't seen yet , but I wonder why some countries already banned</t>
  </si>
  <si>
    <t>Now that Barbie has fixed our gender issues, can Hollywood please focus on Cabbage Patch Kids Go To Trade School to save the world economy? Thank You!!</t>
  </si>
  <si>
    <t>why it so fast</t>
  </si>
  <si>
    <t>In the movie Barbie says diet not Dying</t>
  </si>
  <si>
    <t>C****n</t>
  </si>
  <si>
    <t>I know you're mad about what I said about Barbie, you know I've just wanted to make you laugh.I am going to watch it just for you, to show you that we can be silly. I'm gonna do it only this time, because I want just to see you happyðŸ˜˜</t>
  </si>
  <si>
    <t>Hot</t>
  </si>
  <si>
    <t>Margoâ¤</t>
  </si>
  <si>
    <t>Someone know good movie about Klaus Barbie? I went on this one without looking at trailers and got disappointed</t>
  </si>
  <si>
    <t>Its Amazin that Barbie gets so much attention but the movie Sound of Freedom only get backlashes. What a time to be alive lol...</t>
  </si>
  <si>
    <t>Meh, saw it, found it quite messy, there were some fun scenes, but it wanted to do too many things and it just got out on the weird side, for me at least. Some scenes were super forced that just made me look around like, this a ted talk or what?</t>
  </si>
  <si>
    <t>$1 billion</t>
  </si>
  <si>
    <t>This movie should have came out in October to be closer to the upcoming holiday season. One thing is for sure, this Christmas season, people will be fighting for the last barbie on the shelve like TurboMan in Jingle All The Way.</t>
  </si>
  <si>
    <t>flat feet aaaaaaahhhhhhhhhhh" 050</t>
  </si>
  <si>
    <t>Pls do a real Barbie concert , all your guys dancing gorgeous ðŸŽ‰</t>
  </si>
  <si>
    <t>Done watching it â¤â¤â¤â¤â¤â¤â¤â¤</t>
  </si>
  <si>
    <t>ÙÙ„Ù…ÙƒÙ… ÙÙŠÙ‡ ÙƒÙ…ÙŠÙ‡ Ù‚Ø±Ù Ù…Ùˆ Ø·Ø¨ÙŠØ¹ÙŠÙ‡ ÙŠØ¹Ø¹Ø¹Ø¹Ø¹Ø¹Ø¹ ÙŠØ§Ø±Ø¨ ÙŠÙ†Ø­Ø°Ù N</t>
  </si>
  <si>
    <t>2****u</t>
  </si>
  <si>
    <t>110How she sayThe first one.</t>
  </si>
  <si>
    <t>What is mugatu doing here?</t>
  </si>
  <si>
    <t>Why is Barbie not black? ðŸ˜‚ðŸ˜‚ðŸ˜‚ðŸ˜‚</t>
  </si>
  <si>
    <t>S****C</t>
  </si>
  <si>
    <t>Idiot.</t>
  </si>
  <si>
    <t>People who watch the movie first then watch the trailer *I did thoðŸ˜†ðŸ˜‹ðŸŒˆ*ðŸ‘‡</t>
  </si>
  <si>
    <t>lekker</t>
  </si>
  <si>
    <t>C****t</t>
  </si>
  <si>
    <t>FLATâ€”FEET! ðŸ˜±ðŸ¤®This movie is a dream for a foot fetishist. 005, 047 are great scenes for celebrating womenâ€™s feet. That part where they are all screaming is so hilariously silly that even if you have a foot fetish, itâ€™s still hilarious.</t>
  </si>
  <si>
    <t>Margot Robbie doesn't look pretty and lovely enough to play Barbie. ðŸ˜ª</t>
  </si>
  <si>
    <t>T****m</t>
  </si>
  <si>
    <t>Barbie do u guys ever think about dying?Everyone ðŸ˜¶ðŸ˜¶ðŸ˜¶ðŸ˜¶ðŸ˜¶ðŸ˜¶ðŸ˜¶ðŸ˜¶ðŸ˜¶ðŸ˜¶ðŸ˜¶ðŸ˜¶</t>
  </si>
  <si>
    <t>I've watched this trailer several times and I can't wait to watch it! ðŸ©·ðŸ©·ðŸ©·ðŸ©·ðŸ©·ðŸ˜ƒðŸ˜ƒðŸ˜ƒðŸ˜ƒðŸ˜ƒI'm going to see the movie next Monday 14th August.</t>
  </si>
  <si>
    <t>Do people never get tired of silly american movies when will the real movies come back again.</t>
  </si>
  <si>
    <t>j****i</t>
  </si>
  <si>
    <t>Im just watching the trailer after watching the movie lol. to didnt really give anything away but iim glad I went in kinda blind</t>
  </si>
  <si>
    <t>I wish GI JOE would visit the Barbie world, because my man Destro would set them straight.</t>
  </si>
  <si>
    <t>worst movie ever humalate the mean of man and family and kids i wont watch it or let my kids watch this rubbish</t>
  </si>
  <si>
    <t>wtf</t>
  </si>
  <si>
    <t>Barbie (2023)CASTMain Role* Margot Robbie as Barbie* Ryan Gosling as KenSupport Role* Will Ferrell as Mattel (CEO of Mattel)* America Ferrera as Gloria (Mattel's employee)* Kate McKinnon as Weird Barbie* Issa Rae as President Barbie* Simu Lim as Tourist Ken* Michael Cera as Allan* Rhea Perlman as Ruth Handler (Co-Founder of Mattel)Special Guest* John Cena as Kenmaid (Merman Ken)* Dua Lipa as Mermaid Barbies</t>
  </si>
  <si>
    <t>This allowed to watch for kids</t>
  </si>
  <si>
    <t>One of the most fun and unique movies I've ever seen!</t>
  </si>
  <si>
    <t>You know why barbie is never pregnant? Because Ken comes in another box.</t>
  </si>
  <si>
    <t>old barbie..lmao</t>
  </si>
  <si>
    <t>I wanna watch the Barbie movie!!</t>
  </si>
  <si>
    <t>The worst movie ever</t>
  </si>
  <si>
    <t>Stupid movie ever. Waste my money and time.</t>
  </si>
  <si>
    <t>B****e</t>
  </si>
  <si>
    <t>What's funny is that Ken was the real hero of the movie. He brought equality to the Barbie world that both the Kens and Barbies liked and then he was kicked back to being 2nd class but realized his own self worth.</t>
  </si>
  <si>
    <t>Whats wrong with generation ... such low iq movies.. ðŸ˜‚ðŸ˜‚..</t>
  </si>
  <si>
    <t>I****o</t>
  </si>
  <si>
    <t>Wonderful! In Livan the Film was forbidden, the men's world sucks, I suppose;)</t>
  </si>
  <si>
    <t>â™¥ï¸â¤ï¸â™¥ï¸â™¥ï¸â™¥ï¸â™¥ï¸â™¥ï¸â™¥ï¸â™¥ï¸â¤ï¸â™¥ï¸â™¥ï¸â¤ï¸â¤ï¸ N</t>
  </si>
  <si>
    <t>Love you</t>
  </si>
  <si>
    <t>More feminist, woke garbage</t>
  </si>
  <si>
    <t>If I had two nickels every time Will Ferrell plays two evil businessmen...</t>
  </si>
  <si>
    <t>There are agendas and hidden messages in this movie...just to raise awareness for people with brains...warning Not for KIDS ...</t>
  </si>
  <si>
    <t>Wonderful, managed to make me cry for a movie for the first time in my life.</t>
  </si>
  <si>
    <t>I just went to see Barbie at the movie theater and I dare to say it was the greatest movie released in 2023 alongside the Mario Bros movie. Margot Robbie and Ryan Gosling were outstanding and I really love the message the movie tries to convey. Totally worth it! You better see it asap, you'll be blown away. ðŸ‘ðŸ»ðŸ’–</t>
  </si>
  <si>
    <t>You have to give it to the marketing team, they hid the wokism pretty well. Marketing budget was bigger than movie budget and it was better than the movie itself LOL.Patriarchy wins at the end for this movie because Barbie went back to it (real world) and the cast director took a woman's job and gave it to a man (barbie doctor is played by a man identifying as a woman).</t>
  </si>
  <si>
    <t>Like here if you think barbie is a bad movie</t>
  </si>
  <si>
    <t>Barbie" no its name should be "pinky"</t>
  </si>
  <si>
    <t>Dont watch this movie</t>
  </si>
  <si>
    <t>To all the men who went to see this with their wife, girlfriend and went freely....ha ha ha ha!</t>
  </si>
  <si>
    <t>ÙŠØ¹ N</t>
  </si>
  <si>
    <t>what a disgusting movie, such a culture degeneration</t>
  </si>
  <si>
    <t>GO WOKE GO BROKE. SOUND OF FREEDOM #1 OF 2023.</t>
  </si>
  <si>
    <t>stupid movie</t>
  </si>
  <si>
    <t>They ruined by childhood barbie ðŸ˜¢ðŸ˜¢ðŸ˜¢ my barbie was beautiful</t>
  </si>
  <si>
    <t>Oppenheimer owns this fcking Bad feminist movie</t>
  </si>
  <si>
    <t>GOD'S HELLOâ¤ï¸ðŸ¤²â˜ï¸ðŸ•‹</t>
  </si>
  <si>
    <t>better than Mario movie</t>
  </si>
  <si>
    <t>Before this movie came out I thought the trailer gave away too much of the plot, but after watching it, I could not have been more wrong lol, this trailer barely encompasses the first 3rd of the movie. The plot and the ending really are something else and I'm so happy the structure of the movie wasn't as generic as the trailer made it seem. Amazing movie.</t>
  </si>
  <si>
    <t>Iâ€™ve already watched the movie 3 times lol</t>
  </si>
  <si>
    <t>Åžerefsiz aÅŸaÄŸÄ±lÄ±k pislik ahlaksÄ±z inanÃ§sÄ±z yaÅŸantÄ±nÄ±za lanet olsun...amerika tam bir terÃ¶r Ã¼lkesidir.eminimki islam kÃ¼ltÃ¼rÃ¼ olan Ã¼lkeler bu pislik filmi yasaklayacaktÄ±r....canÄ±n cehenneme america...</t>
  </si>
  <si>
    <t>Came back to watch the trailer after I saw the movie yesterday...the movie was really great in my opinion. I think the trailer makes the movie look dumb. Just go see the movie )</t>
  </si>
  <si>
    <t>Just one word i would like to say, no offense pleease! - Papa ki pariðŸ˜‚ðŸ˜‚ðŸ˜‚</t>
  </si>
  <si>
    <t>Omg my childhood and my barbiesThe song really suits it girl</t>
  </si>
  <si>
    <t>Just watched this film today, i was rlly good!, would def reccomend seeing it ðŸ‘</t>
  </si>
  <si>
    <t>This sucks</t>
  </si>
  <si>
    <t>Wont wacht it its horrible</t>
  </si>
  <si>
    <t>ðŸ¤® N</t>
  </si>
  <si>
    <t>n****x</t>
  </si>
  <si>
    <t>Naww</t>
  </si>
  <si>
    <t>Worst Movie I Have Ever Seen ðŸ˜”ðŸ˜”WB</t>
  </si>
  <si>
    <t>m****i</t>
  </si>
  <si>
    <t>Itâ€™s Barbie time</t>
  </si>
  <si>
    <t>S****0</t>
  </si>
  <si>
    <t>got the guns ready</t>
  </si>
  <si>
    <t>Itâ€™s Oppenheimer time</t>
  </si>
  <si>
    <t>T****f</t>
  </si>
  <si>
    <t>this is embarrassing for our culture.</t>
  </si>
  <si>
    <t>Why do people like trailers that spoil the whoe story? I knew nothing before i watched the movie. I can really recommend it.</t>
  </si>
  <si>
    <t>i watch it today</t>
  </si>
  <si>
    <t>Much success and health to all.</t>
  </si>
  <si>
    <t>To watch the 2nd movie search â€œSmall Soldiersâ€</t>
  </si>
  <si>
    <t>Wow Muchos no la entienden, la pelÃ­cula tiene muchos mensajes que es ser humano the toca a ti descubrir y sanar tu decides tus responsabilidades pero crecer vivir sufrir nos toca a todos juntos o solos.No todos se puede controlar pero si tienes control sobre tus decisiones</t>
  </si>
  <si>
    <t>L Vietnam</t>
  </si>
  <si>
    <t>One of the best movies ever</t>
  </si>
  <si>
    <t>P****f</t>
  </si>
  <si>
    <t>Oh Taylor swift is in the movie to no wonder why its so much hype I never jnew</t>
  </si>
  <si>
    <t>Saw it on the cinema. Loved it. Best film I ever saw. Hope it gains all the popularity and becomes a super-hit.</t>
  </si>
  <si>
    <t>h****p</t>
  </si>
  <si>
    <t>ê°œë…¸ìž¼ ã…‹ã…‹ N</t>
  </si>
  <si>
    <t>Any man who was hounded into watching this trash is henpecked and pu$$ywhipped.</t>
  </si>
  <si>
    <t>This film is full of LGBT ideology. No to this!</t>
  </si>
  <si>
    <t>ðŸ’”ðŸ’€ðŸ’”ðŸ’”ðŸ’‹ðŸ˜¾ðŸ’€ðŸ’€ðŸ’€ðŸ¤®ðŸ¤®ðŸ¤®ðŸ¤®ðŸ¤®ðŸ¤®ðŸ¤®ðŸ‘¿ðŸ‘¿ðŸ‘¿ðŸ‘¿ðŸ‘¿ðŸ‘¿ðŸ‘¿ðŸ‘¿ðŸ‘¿ðŸ‘¿ðŸ‘¿ðŸ‘¿ðŸ˜ ðŸ˜ ðŸ˜ ðŸ˜ ðŸ˜ ðŸ’©ðŸ’©ðŸ’©â˜ ï¸ðŸ’©ðŸ’©ðŸ’©ðŸ’©â˜ ï¸ðŸ˜ ðŸ‘¿ðŸ¤®ðŸ’€ðŸ˜¾ N</t>
  </si>
  <si>
    <t>l****n</t>
  </si>
  <si>
    <t>â€œYou guys ever think abt dying? ðŸ˜€â€ THAT GOT ME..</t>
  </si>
  <si>
    <t>I****_</t>
  </si>
  <si>
    <t>I don't hate barbie but i love Oppenheimer more</t>
  </si>
  <si>
    <t>Gee i wonder how much they had to pay ryan gothling to "transition" for them and be a part of this whole sick marxist groomer-fest?</t>
  </si>
  <si>
    <t>Why Barbie never got pregnant?......Because Ken came in a different box.P.S. Pathetic movie. It just reflects the stupidity and idiocy of modern society. As for Ken, he's the perfect example of a stupid vulnerable simp.</t>
  </si>
  <si>
    <t>Barbie outsold</t>
  </si>
  <si>
    <t>GARBAGE FILMðŸ¤®ðŸ¤®ðŸ¤®ðŸ¤®</t>
  </si>
  <si>
    <t>I watch the new BarbieðŸ˜Š</t>
  </si>
  <si>
    <t>I can see this as a totally requested Blue Ray DVD for the Holiday season this movie looks like itâ€™s one of those leave your brain at the door and love it kind of movies I did hear a lady my age say it was hilarious</t>
  </si>
  <si>
    <t>What an amazing movie</t>
  </si>
  <si>
    <t>ILOUYAUâ¤â¤â¤â¤â¤â¤â¤â¤â¤Câ¤â¤â¤â¤â¤Fâ¤â¤â¤â¤â¤HðŸ’Ÿ</t>
  </si>
  <si>
    <t>Muah to AIâ¤</t>
  </si>
  <si>
    <t>I hate barbie for make our kids destroying.</t>
  </si>
  <si>
    <t>The wise think is This movies based on full marketing strategy of barbie dall &amp; many expensive things and make our kids stubborn for f*king western things</t>
  </si>
  <si>
    <t>We should never watch this because it make our child stubborn for expensive toys, dresses. It's always make us fool</t>
  </si>
  <si>
    <t>Good job ðŸ‘ðŸ½ðŸ’ªðŸ¼ðŸ˜â­ï¸â­ï¸â­ï¸â­ï¸â­ï¸</t>
  </si>
  <si>
    <t>Poor old barbie ðŸ˜…ðŸ˜…ðŸ˜…ðŸ˜…ðŸ˜…</t>
  </si>
  <si>
    <t>Oppenheimer â¤</t>
  </si>
  <si>
    <t>I do'n no you are a barbie video Player</t>
  </si>
  <si>
    <t>Wow this barbie it's so cool</t>
  </si>
  <si>
    <t>A stupid movie.</t>
  </si>
  <si>
    <t>I haven't seen the new baribe yet ðŸ˜¢ðŸ˜¢</t>
  </si>
  <si>
    <t>I'm surprised the film is PG-13.</t>
  </si>
  <si>
    <t>What a disgusting movie!!!</t>
  </si>
  <si>
    <t>JO</t>
  </si>
  <si>
    <t>In India chaprii's ðŸ˜‚</t>
  </si>
  <si>
    <t>aqua song is perfect for barby.. it gives us ghoosbumps</t>
  </si>
  <si>
    <t>I just checked this trailer out of curiosity to know what is wrong with girls and Barbie's obsession.</t>
  </si>
  <si>
    <t>Everything is pink in this</t>
  </si>
  <si>
    <t>Barbillion! ðŸ’° Let the haters hate.</t>
  </si>
  <si>
    <t>I Canâ€™t wait for it to come out in Dubai in Dubai it comes out august 10</t>
  </si>
  <si>
    <t>Church of progress</t>
  </si>
  <si>
    <t>è¨€ã£ãŸã§ã—ã‚‡ï¼Ÿã€€èª°ãŒã“ã®ã‚«ã‚ªã‚¹ã®ä¸€ç«¯ã‚’ä½œã£ãŸã®ï¼Ÿã€€ã€€ãƒãƒ¼ãƒ“ãƒ¼ã¯å¤§å¥½ãã‚ˆã€‚ä½¿ã‚ã›ã¦ãã‚Œã¦æ„Ÿè¬ã—ã¦ã‚‹ã‚ã€‚ã€€é•ã†è©±ã‚ˆã€‚ã€€æˆ¦ã„ã«å…¨éƒ¨è² ã‘ã¦ã€å®¶æ—ãŒæœ€å„ªå…ˆï¼Ÿã€€è²§ä¹ã«ãªã‚ŠãŸã„ã®ï¼Ÿã€€è‡ªåˆ†ã¯ã¸ããã‚Šã„ã£ã±ã„æŒã£ã¦ï¼Ÿã›ã‚ã¦å…ˆã®è¦‹ãˆã‚‹å‹é”ã¯å¤§äº‹ã«ã—ã¦ã€‚ N</t>
  </si>
  <si>
    <t>ðŸ‘ŽðŸ‘ŽðŸ‘Ž N</t>
  </si>
  <si>
    <t>D****.</t>
  </si>
  <si>
    <t>barbieðŸ¤¡opennheimerðŸ’ª</t>
  </si>
  <si>
    <t>BY</t>
  </si>
  <si>
    <t>i have no idea wtf i just watched</t>
  </si>
  <si>
    <t>Ð”ÐµÐ±Ð¸Ð»Ð¸Ð·Ð¼ N</t>
  </si>
  <si>
    <t>æ—¥æœ¬ã¯åŽŸçˆ†æŠ•ä¸‹ã‚’å¿˜ã‚Œãªã„ N</t>
  </si>
  <si>
    <t>Will Ferrell should be Ken, and Margot Robbie isn't cute enough for Barbie. She looks like a bad or mean woman more suitable for a witch character.</t>
  </si>
  <si>
    <t>I WISH RAQUELLE WAS HERE SHES A ICONNNN ðŸ’…</t>
  </si>
  <si>
    <t>We love Barbie come on Barbie let's go Barbie â¤â¤ðŸ˜‚ðŸ˜‚</t>
  </si>
  <si>
    <t>b****y</t>
  </si>
  <si>
    <t>I want to ðŸ’—ðŸ›ï¸ live in the Barbie World ðŸ’—ðŸ›ï¸ ðŸ’ƒðŸ•ºðŸ‘©â€â¤ï¸â€ðŸ’‹â€ðŸ‘¨</t>
  </si>
  <si>
    <t>Bro my screen is pink now D</t>
  </si>
  <si>
    <t>Why didn't Barbie get pregnant?Because Ken came in a different box!</t>
  </si>
  <si>
    <t>Iâ€™m watching it todayyyyyyyyyyyyyyy Tuesday August 8 2023</t>
  </si>
  <si>
    <t>Seeing the movie next Tuesday can't wait, biggest Barbie fanðŸ’–ðŸ’–ðŸ‘œ</t>
  </si>
  <si>
    <t>M****i</t>
  </si>
  <si>
    <t>Ryan would of been good for this part 10yrs ago. Looking a little bit old in this. Especially next to Margot</t>
  </si>
  <si>
    <t>S****n</t>
  </si>
  <si>
    <t>Why does everyone love Barbie? Why does she only like pink?</t>
  </si>
  <si>
    <t>{the life of this world is nothing but amusement and play and the Abode of the hereafter is indeed the real life,only the know}</t>
  </si>
  <si>
    <t>If you believe this film is anti men then you just didnâ€™t understand the point of itðŸ˜‚</t>
  </si>
  <si>
    <t>ðŸ‘ðŸ‘ðŸ‘ðŸ‘ N</t>
  </si>
  <si>
    <t>How stupid can stupid get</t>
  </si>
  <si>
    <t>D****y</t>
  </si>
  <si>
    <t>After barely three minutes of watching and listening to this movie trailer, I already am experiencing nausea, headache, and possible loss of IQ points! I can barely imagine what two HOURS of exposure to this cinematic nightmare would do to a human being...No wonder so many modern women are turning into rotting vegetables. 'Way to go, feminists...</t>
  </si>
  <si>
    <t>Just got out of theater. I loved the part when Barbie said "it's Barbin' time!" and Barbied all over the place.</t>
  </si>
  <si>
    <t>Looks like a terrible movie</t>
  </si>
  <si>
    <t>P****k</t>
  </si>
  <si>
    <t>Ryan Gossling in this movie has to be one of the oddest casting choices in recent memory. For all the progressiveness of this movie, itâ€™s ironic that it still falls into the old Hollywood age gap trap, where for some reason itâ€™s not creepy to have a male lead who is significantly older than the female lead. Why not the other way around this time? ðŸ¤”</t>
  </si>
  <si>
    <t>i****y</t>
  </si>
  <si>
    <t>I am broke up with her because she likes this annoying movie ðŸ˜¼ðŸ˜¼wtf</t>
  </si>
  <si>
    <t>Man I cannot believe this garbage is even watched. Hollywood BS.</t>
  </si>
  <si>
    <t>q****S</t>
  </si>
  <si>
    <t>Itâ€™s giving me similar memories to teen beach movie 2 ðŸ¥º</t>
  </si>
  <si>
    <t>S****o</t>
  </si>
  <si>
    <t>So, a lot more Americans preferred this to "Oppenheimer".</t>
  </si>
  <si>
    <t>Its Babrin time"</t>
  </si>
  <si>
    <t>If you hate barbie just like me or if you love barbie this movie is definitely for you Even if you hate or love barbie. When I watched it it was soo good you should definitely go watch it!</t>
  </si>
  <si>
    <t>w****8</t>
  </si>
  <si>
    <t>merko rona aa raha hai ROCKY &amp; RANI ki copy</t>
  </si>
  <si>
    <t>Fine this movie is cool i like barbie</t>
  </si>
  <si>
    <t>Unwatchable</t>
  </si>
  <si>
    <t>Just incase nobody knew the barbie movie has sh** in it</t>
  </si>
  <si>
    <t>R****2</t>
  </si>
  <si>
    <t>This is almost like love island that my mom watch</t>
  </si>
  <si>
    <t>t****m</t>
  </si>
  <si>
    <t>I'm glad I've always been indifferent to Barbie</t>
  </si>
  <si>
    <t>We need a black Ken for barbie</t>
  </si>
  <si>
    <t>Imagine ,what if Ken was Ryan Reynolds</t>
  </si>
  <si>
    <t>V****1</t>
  </si>
  <si>
    <t>108 lol</t>
  </si>
  <si>
    <t>V****e</t>
  </si>
  <si>
    <t>When they show a trailer I feel like there showing the hole movie.</t>
  </si>
  <si>
    <t>hail ken he is the only best part of the movie</t>
  </si>
  <si>
    <t>This movie is funny in like Triumph of the Will was funny.</t>
  </si>
  <si>
    <t>I'm here after bts Jimin instagram reel video</t>
  </si>
  <si>
    <t>Not going, not happening.</t>
  </si>
  <si>
    <t>D****-</t>
  </si>
  <si>
    <t>I watched the full movie itâ€™s amazing and funny and weird lolðŸ˜‚</t>
  </si>
  <si>
    <t>Oscar nomination confirm for 1/ make up and hairstyle,2/ production design. 3/costume design.</t>
  </si>
  <si>
    <t>HAHAH</t>
  </si>
  <si>
    <t>Damn, he's me fr fr.</t>
  </si>
  <si>
    <t>005 â€œsniffâ€</t>
  </si>
  <si>
    <t>k****s</t>
  </si>
  <si>
    <t>SaÃ§ma sapan Ã§ocuk filmi</t>
  </si>
  <si>
    <t>W****o</t>
  </si>
  <si>
    <t>Is this real I love Margot &amp; Ryan but wth lol</t>
  </si>
  <si>
    <t>From now on Barbie will never be the same......for me....for you...</t>
  </si>
  <si>
    <t>1billion at the box office is insane ðŸŽ‰ this movie is entertaining for everyone I love it ðŸ˜Š</t>
  </si>
  <si>
    <t>g****k</t>
  </si>
  <si>
    <t>Ð½Ð°Ð¹Ñ N</t>
  </si>
  <si>
    <t>E****3</t>
  </si>
  <si>
    <t>Both are too old to play Barbie/Ken</t>
  </si>
  <si>
    <t>Ù„Ø§ ØªØºØ±Ùƒ Ø§Ù„Ù…Ø¸Ø§Ù‡Ø± Ø§Ù„Ø¨Ø±Ø§Ù‚Ù‡ Ø§Ù„ØªÙŠ ÙŠÙ‚Ø¯Ù… Ù„Ùƒ Ø§Ù„ØºØ±Ø¨..ØªÙ…Ù‡Ù„ Ù‚Ù„ÙŠÙ„Ø§Ù‹ Ø³ØªØ¬Ø¯ Ø§Ù„Ø¥Ù†Ø§Ø¡ ÙŠÙ†Ø¶Ø­ Ø¨Ù…Ø§ ÙÙŠÙ‡ ÙˆØ§Ù„Ø¹Ø§Ù‚Ù„ ÙŠÙÙ‡Ù… N</t>
  </si>
  <si>
    <t>For this year Barbie is the best movie, no comparison.</t>
  </si>
  <si>
    <t>For this year Oppenheimer is the best movie, no comparison.</t>
  </si>
  <si>
    <t>K****7</t>
  </si>
  <si>
    <t>This video makes me awkwarkly happy</t>
  </si>
  <si>
    <t>m****t</t>
  </si>
  <si>
    <t>Chris Evans in The Gray Man called Ryan Gosling "Ken doll"...wonder how he knew..</t>
  </si>
  <si>
    <t>Woke are bitting ðŸ˜‚ðŸ˜‚.f woke</t>
  </si>
  <si>
    <t>The movie was boring</t>
  </si>
  <si>
    <t>Action man</t>
  </si>
  <si>
    <t>From this short trailer, i can say, this movie, in what mess we are most of us, for sure will bring a moment of joy from the what is gonna have to happen in the upcoming months/years. Fun movie worth watching ðŸ˜ŠðŸ‘</t>
  </si>
  <si>
    <t>They rly had us! No idea from this trailer that the film would be a giant feminist nightmare but what did I rly expect from a blond lass who loves the coulour pink</t>
  </si>
  <si>
    <t>_****.</t>
  </si>
  <si>
    <t>018 N</t>
  </si>
  <si>
    <t>This movie was absolutely not, the fun, funny, entertaining movie i thought it would be. It was actually offensive towards Men, Women, and Relationships......Please explain what you got out of this movie? Its was complete stupidity &amp; Nonsense.</t>
  </si>
  <si>
    <t>Hoang sa and TrÆ°Æ¡ng sa belong to Vietnam</t>
  </si>
  <si>
    <t>am a doll but I still wanna party" ðŸ˜Šâ¤</t>
  </si>
  <si>
    <t>This movie crossed a billion.CrazyðŸ˜²</t>
  </si>
  <si>
    <t>ABSOLUTE TRASH</t>
  </si>
  <si>
    <t>Let me tell youâ€¦Iâ€™m a manly man. A manâ€™s man if you will. I love sports, cars, cold Coors, and babes in bikinis. But this movie has me questioning if I only like this stuff because everyone expects it from me. Sometimes I just want to go get dolled up and dance like no one is watching (but I hope someone is) ðŸ˜‰ Is that â€œgirlyâ€? I donâ€™t care anymore! Thank you Barbie!! â¤ï¸</t>
  </si>
  <si>
    <t>P****9</t>
  </si>
  <si>
    <t>Ow mo Barbie</t>
  </si>
  <si>
    <t>0125 Its funny how in all this scenes she is driving and Ken is the one who do the laundry..</t>
  </si>
  <si>
    <t>Why should I ever watch this?? I mean WTF??</t>
  </si>
  <si>
    <t>Maveâ¤</t>
  </si>
  <si>
    <t>The barbie is so real</t>
  </si>
  <si>
    <t>Went into this movie thinking it would be a funny take on a real life version of Barbie, but instead it was literally just feminist propaganda and all about women blaming problems on made up patriarchy. Feel sorry for the parents that took their kids to see this, when it has nothing for kids to enjoy and was entirely not a kids movie. Just used Barbie as the lead character to pull in an audience and kids.</t>
  </si>
  <si>
    <t>This is horrible</t>
  </si>
  <si>
    <t>I feel like this movie Barbie fused with the Truemanshow. Where Barbie has been living an enclosed space, and then finds out the real truth just like Jim Kerry in the Trueman show, except, we get to see in Barbie, the results of what happens when they actually get out to the real world. I wonder if Jim from Trueman Show and Barbie could maybe one day bump into each other in the same universe. What if the enclosed set world Barbie was living in, takes place in the same universe as Trueman Show?</t>
  </si>
  <si>
    <t>B****a</t>
  </si>
  <si>
    <t>Him cream chaiye</t>
  </si>
  <si>
    <t>g****3</t>
  </si>
  <si>
    <t>Couldn't you find anyone younger?</t>
  </si>
  <si>
    <t>O M G IM SISTER SHOOK YALL. Barbie is life. YAS QUEEN SLAY</t>
  </si>
  <si>
    <t>I can't believe this movie made over $ 1.03 billion. Where's m3gan when you need her?</t>
  </si>
  <si>
    <t>The movie may have been overrated, but I still enjoyed it. Kind of a missed opportunity to promote Hot Wheels other than their real world counterparts just kinda existing in the movie.</t>
  </si>
  <si>
    <t>It is the dirtiest movie they will download that supports homosexuality. It will be good for them. Generations have deviated. What will happen after 10 years? Oh my God, what is the use of changing your gender? We will finish soon</t>
  </si>
  <si>
    <t>As a man who dose steroids and weight trains, I must say Iâ€™m going to go see this ðŸ˜‚ðŸ˜Ž</t>
  </si>
  <si>
    <t>If you support Oppenheimer then likeâ¤</t>
  </si>
  <si>
    <t>R****f</t>
  </si>
  <si>
    <t>Dua lipas is song is so good</t>
  </si>
  <si>
    <t>One of my earliest memories is when a dog came by and stole my Barbie off the front porch in Anchorage on the porch my Grandparents built on the corner of 4th and L street (no longer there, it's Hostetler Park now). My mom said, "You shouldn't leave your things laying around." But Barbie was put away in a open top toybox.Later I read that there was a chemical used in those first Barbies that was very appealing to dogs. So many kids lost their Barbies to dogs that they changed the formulation for the plastic.</t>
  </si>
  <si>
    <t>i never cried so hard after that speech of miss ferrera it envokes so many emotions that i never thought will hit me hard to the core and with billie eilish song at the end it broke me to pieces. watch this, i thought it will be a cheesy childish movie it wasnt it will definitely make you realize how difficult it is to be accepted. beyond the color pinks in the movie theres a dark sadness that everyone of us experience if barbie found herself im still looking where i belong where i can be accepted without judgment ðŸ˜¢</t>
  </si>
  <si>
    <t>Ok watched it, now give me ken the movie. I need to see a self discovery movie. With dance offs and male positivity.â€¦.you donâ€™t need toâ€¦.will be fine without oneâ€¦.we strong ðŸ’§</t>
  </si>
  <si>
    <t>Women â€œdonâ€™t objectify me!â€Also women â€œyay Barbie!!!â€</t>
  </si>
  <si>
    <t>Just like Barbie, it's perfect</t>
  </si>
  <si>
    <t>q****7</t>
  </si>
  <si>
    <t>Can't wait for the GI Joe LGBTQIPB movie.</t>
  </si>
  <si>
    <t>I loved how they portray Oppieâ€™s creation of the atomic bomb and the drama about his communist connection</t>
  </si>
  <si>
    <t>Omg is that Amy of of superstore</t>
  </si>
  <si>
    <t>Bruuugh</t>
  </si>
  <si>
    <t>Oh my God thatâ€™s so boring..</t>
  </si>
  <si>
    <t>I donâ€™t see no Asian representation here</t>
  </si>
  <si>
    <t>Ð§Ð¾Ð¼Ñƒ Ñ†ÐµÐ¹ Ñ„Ñ–Ð»ÑŒÐ¼ Ð½Ð°Ð±Ñ€Ð°Ð² Ñ‚Ð°Ðº Ð±Ð°Ð³Ð°Ñ‚Ð¾ Ð¿ÐµÑ€ÐµÐ³Ð»ÑÐ´Ñ–Ð²? ÐÐµÐ²Ð¶Ðµ Ð»ÑŽÐ´ÑÑ‚Ð²Ñƒ Ð½Ðµ Ð¼Ð°Ñ” Ð±Ñ–Ð»ÑŒÑˆ Ð·Ð° ÑˆÐ¾ Ñ‚ÑƒÑ€Ð±ÑƒÐ²Ð°Ñ‚Ð¸ÑÑ? Ð–Ð¸Ñ‚Ñ‚Ñ Ð² Ð¾ÐºÑƒÐ»ÑÑ€Ð°Ñ…, ÑÐ²Ñ–Ñ‚, Ð´Ðµ Ð²ÑÐµ Ð½ÐµÑÐ¿Ñ€Ð°Ð²Ð¶Ð½Ñ”? Ð§Ð¾Ð¼Ñƒ Ð»ÑŽÐ´ÑÑ‚Ð²Ð¾ ÑÐ°Ð¼Ðµ Ñ†Ðµ Ð²Ð¸Ð±Ð¸Ñ€Ð°Ñ”? ÐœÐ¸ Ð´ÐµÐ³Ñ€Ð°Ð´ÑƒÑ”Ð¼Ð¾! N</t>
  </si>
  <si>
    <t>The end of Western civilization will be at the hands of Hollywood, ugly films that reflect the corrupt and perverted thought in the minds of directors</t>
  </si>
  <si>
    <t>The marketing for this movie has been some of the best Iâ€™ve ever since. Non super hero movie.</t>
  </si>
  <si>
    <t>If this is the path of entertainment by the time my kids are adults Idiocracy will be fully actualized. #Terrifying</t>
  </si>
  <si>
    <t>â€œFLAT FEETâ€â€œAHHHHHâ€*touchâ€™s her foot*â€œAHHHHHHHHHHHHHHHHHHHâ€</t>
  </si>
  <si>
    <t>Lol this movie seems like a matrix rip off for womanðŸ˜‚</t>
  </si>
  <si>
    <t>So disappointed in this film. I want my money back.</t>
  </si>
  <si>
    <t>Is this what people are watching? The world is a weird place</t>
  </si>
  <si>
    <t>Ð•Ð‘ÐÐ¢Ð¬ Ð Ð£ ÐÐÐ¡ Ð Ð£Ð¡ Ð¢Ð Ð•Ð™Ð›Ð•Ð  Ð¢ÐžÐšÐ 3 ÐÐ•Ð” ÐÐÐ— Ð¢ Ð• ÐœÐ•Ð¡Ð¯Ð¦ ÐÐžÐ—ÐÐ” Ð’Ð«Ð¨Ð•Ð› ÐÐ˜Ð¥Ð£Ð™ Ð¯ Ð£ Ð’ÐÐ¡ Ð’Ð¡Ð• ÐÐÐ˜ÐÐžÐ“Ðž Ð‘Ð«Ð¡Ð¢Ð Ð•Ð• Ð•Ð‘Ð N</t>
  </si>
  <si>
    <t>t****p</t>
  </si>
  <si>
    <t>First, I'm a liberal progressive... and totally support women who actually want equality and understand what that means. That said, in the not too distant future this film will most likely be looked back upon with a whole lot of embarrassment.. by pretty much everyone, probably even Gerwig, if she isn't already. It is possibly the most juvenile film ever made. Really surprised and tbh, disappointed that this film is an idol for young women. I mean.. wow, what happened!?! "Modern" (meaning today's) feminism seems predicated in delusions and seems confused and a bit lost within itself. Men have brainwashed women? That message alone is profoundly insulting to ALL women. But no... it is actually modern feminism that has brainwashed them. It has brainwashed them into literally worshipping themselves as victims of 'society' (whatever in the world that means) and victims of many other things nearly none of which reflect the past 50 years of reality. And also brainwashed into 'suddenly' believing their own sexuality was something not at all in their own control, and that their sexuality is nothing more than a false construct created by and forced upon them by patriarchy, which does not even exist. Another insult to women everywhere. These messages are utterly absurd, so much so it's actually hard to even believe they are taken seriously. It also seems like they have been brainwashed into thinking that telling other grown women how to behave and think about their own self and the world around them is good and womanly, despite being something NO man would ever even consider doing to another man OR to a woman for that matter. And now, as this movie proves, more brainwashing from what is in actuality a very small number of young, modern day versions of feminists who, tragically, cannot decipher reality from social media-driven lies and nonsense, and who happen to be concentrated in english speaking media and entertainment. They also seem to have no idea whatsoever how older "real" feminists and most men truly view the new modern feminists, which is as childish, naive, petty, insanely entitled, somewhat delusional and entirely self-absorbed people. The messages in this film are false, shockingly juvenile and ridiculous -- and yet here we are celebrating all of this in the name of ... young women.</t>
  </si>
  <si>
    <t>I think this is kind of trying to show the difference between reality and social media influencers who think they are Barbie and Ken but behind the scenes they are just the same as everyone else with over inflated egos.</t>
  </si>
  <si>
    <t>Its made 1 billion wtf?</t>
  </si>
  <si>
    <t>So this is a comedy? I guess bits could be funny like Ken wanting to do surgery LOL But I just don't get the gist of the movie.</t>
  </si>
  <si>
    <t>The trailer makes no sense to me.</t>
  </si>
  <si>
    <t>x****x</t>
  </si>
  <si>
    <t>a question is it alright for guys to watch this movie ???</t>
  </si>
  <si>
    <t>AE</t>
  </si>
  <si>
    <t>036 ðŸ¤®ðŸ¤¢ N</t>
  </si>
  <si>
    <t>That very rare case when you bought 2 tickets and saying your girlfriend that's all for you, but in fact you really want to go to that movieðŸ˜‚.</t>
  </si>
  <si>
    <t>L****3</t>
  </si>
  <si>
    <t>We should do a competition Barbie vs Brats dolls!</t>
  </si>
  <si>
    <t>Oppenheimer.</t>
  </si>
  <si>
    <t>Vous Ãªtes virale ðŸŽ‰</t>
  </si>
  <si>
    <t>If u love Barbie this movie is for you!!! ðŸ˜® What about the kids ðŸ‘ï¸ðŸ‘„ðŸ‘ï¸ðŸ˜­ðŸ˜­ðŸ˜­ðŸ’€ðŸ’€</t>
  </si>
  <si>
    <t>A****j</t>
  </si>
  <si>
    <t>Kind of Movie I would never see</t>
  </si>
  <si>
    <t>i****l</t>
  </si>
  <si>
    <t>I really tried to watch this movie. I really tried. But the third time already I almost puked. I will rate this "movie" -100/10</t>
  </si>
  <si>
    <t>Barbie Fans ... Hope y'all give the same energy and excitement to "Sound of Freedom" it's a pretty cute and bubbly movie as well</t>
  </si>
  <si>
    <t>Why is this popular it looks incredibly dumb</t>
  </si>
  <si>
    <t>A proper distraction by the Deep state and the Matrix again to keep your mind controlled and filled with utter BS. Enjoy the SlavveeMind</t>
  </si>
  <si>
    <t>S t u -i d movie</t>
  </si>
  <si>
    <t>ðŸ’— N</t>
  </si>
  <si>
    <t>yo chat is this real???</t>
  </si>
  <si>
    <t>Damn not even three seconds into trailer and the lousy mfs got their free feet pics</t>
  </si>
  <si>
    <t>I will repeat them</t>
  </si>
  <si>
    <t>I really really love Barbieâ¤â¤â¤â¤â¤â¤â¤ðŸ¥°ðŸ¥°ðŸ¥°ðŸ˜</t>
  </si>
  <si>
    <t>Ø´ÙƒÙ„ÙŠ Ø§Ù„ÙˆØ­ÙŠØ¯Ù‡ Ø¹Ø±Ø¨ÙŠÙ‡ðŸ˜‚ðŸ˜‚ðŸ˜‚ðŸ˜‚ N</t>
  </si>
  <si>
    <t>Isn't there one bad comment about this movie !? I'm curious to watch it</t>
  </si>
  <si>
    <t>I want all the Barbie dolls sooooooooo much</t>
  </si>
  <si>
    <t>I love the Barbie movie I want the dolls soooooooooo much because I am a kid</t>
  </si>
  <si>
    <t>K****q</t>
  </si>
  <si>
    <t>140 Ryan Gosling's face has my heart ðŸ˜µ</t>
  </si>
  <si>
    <t>Looks terrible</t>
  </si>
  <si>
    <t>Barbie is so iconic â¤</t>
  </si>
  <si>
    <t>Actrees is beautiful ..but let us see her without make up</t>
  </si>
  <si>
    <t>Is it out now?...they wrote July 21,now this is August...So is it out yet?</t>
  </si>
  <si>
    <t>à¤¯à¤¹ à¤«à¤°à¥à¤œà¥€ à¤²à¥‹à¤— à¤¹à¥ˆà¤‚ à¤•à¥à¤› à¤­à¥€ à¤«à¤¾à¤¯à¤¦à¤¾ à¤¨à¤¹à¥€à¤‚ à¤¹à¥‹à¤¨à¥‡ à¤µà¤¾à¤²à¤¾ à¤¹à¥ˆ à¤®à¥‡à¤°à¥‡ à¤¸à¤¾à¤¥ à¤­à¥€ à¤§à¥‹à¤–à¤¾ à¤¹à¥à¤† à¤¹à¥ˆ à¤•à¥ƒà¤ªà¤¯à¤¾ à¤†à¤ª à¤…à¤ªà¤¨à¤¾ à¤¸à¤®à¤¯ à¤”à¤° à¤¨à¥‡à¤Ÿ à¤¬à¤°à¥à¤¬à¤¾à¤¦ à¤¨à¤¾ à¤•à¤°à¥‡à¤‚ N</t>
  </si>
  <si>
    <t>Pure feminist propaganda</t>
  </si>
  <si>
    <t>2****d</t>
  </si>
  <si>
    <t>Ken and Barbis are actually siblings</t>
  </si>
  <si>
    <t>Barbieheimer</t>
  </si>
  <si>
    <t>Vietnam and the Philippines have canceled screenings of 'Barbie'.(Barbie movie with a map of the South China Sea claimed by China)China claims sovereignty over the South China Sea, but international law recognizes sovereignty over Vietnam and the Philippines.2016,"The Hague Court of Arbitration has ruled that China's unilateral territorial sea claims are groundless under international law."Even in Japan, "Barbie made fun of the atomic bombings of Hiroshima and Nagasaki."A petition to stop screenings of Barbie dolls is gaining momentum.</t>
  </si>
  <si>
    <t>I watch this movie this is so super</t>
  </si>
  <si>
    <t>r****b</t>
  </si>
  <si>
    <t>For more than 70 years after the war, the airspace over Japan has been dominated by the US military.â€œCurrently, Japan is being invaded and occupied by the U.S. military and remains a colony.â€The United States has continued to condemn Japan for its past colonial rule,What the United States has been doing to Japan for over 70 years is "treating as a hidden colony"super exploited.In response to this, the United States seems to think that it is okay to colonize only itself.The U.S. ambassador created a bad law in Japan. It's called the LGBT law.In the past, unlike the United States, Japan, which had been kind to LGBT people and did not commit murder, forcibly enacted the LGBT law as ordered by the US ambassador.He hates the United States, which infringes on Japan's sovereignty.Verbenheimer.â€ It is uncomfortable to associate with a American.</t>
  </si>
  <si>
    <t>K****b</t>
  </si>
  <si>
    <t>The worst movieChina's claim to Vietnam's territorial rights has been ruled as a violation of international law.ã€€ButIn this movie, Vietnam territory is Chinese territory.</t>
  </si>
  <si>
    <t>I love Barbie movie but Bahbi movies turned in Pakistan so sad I amðŸ˜¢Why are you not coming in cinemas PakistaniðŸ˜¢</t>
  </si>
  <si>
    <t>I think probably no Japanese person would want to watch this movie, excluding those who don't realize that they are being insulted.</t>
  </si>
  <si>
    <t>Was looking forward to this film, watched it and what a croc.</t>
  </si>
  <si>
    <t>Bro, barbie is for gigachads, good movie!</t>
  </si>
  <si>
    <t>The Super Mario Bros. Movie/Box office1.356 billion USD</t>
  </si>
  <si>
    <t>Is this movie about â€œThe Wallâ€?</t>
  </si>
  <si>
    <t>d****w</t>
  </si>
  <si>
    <t>Stupid director and stupid people who watch this movie</t>
  </si>
  <si>
    <t>Time waste</t>
  </si>
  <si>
    <t>ãƒãƒ¼ãƒ“ãƒ¼ï¼Ÿãƒ“ãƒƒãƒã®é–“é•ã„ã˜ã‚ƒãªã„ã®ï¼Ÿã¾ãã€ç³žæ˜ ç”»ãªã®ã¯é–“é•ã„ãªã„ã€‚ N</t>
  </si>
  <si>
    <t>ðŸ˜µâ€ðŸ’«ðŸ˜µâ€ðŸ’«ðŸ˜µâ€ðŸ’«ðŸ˜µâ€ðŸ’«ðŸ˜µâ€ðŸ’«omg ðŸ¤¢ðŸ¤¢ðŸ¤®ðŸ¤®ðŸ¤® iâ€™m so glad Iâ€™m an adult instead of leaving a fantasy land like I live in reality, These comments hilarious. iâ€™m glad Iâ€™ll save my money. and spend it on more important things. The waste my money ridiculous movies</t>
  </si>
  <si>
    <t>love â¤ï¸ youâ¤â¤â¤â¤</t>
  </si>
  <si>
    <t>I was interested in the part of the movie, where little girls destroy old toys because something new has appeared on the market.This is a beautiful example of a consumer society.</t>
  </si>
  <si>
    <t>p****a</t>
  </si>
  <si>
    <t>i love barbie yayâ¤â¤â¤</t>
  </si>
  <si>
    <t>Oppenheimer ðŸ—¿ðŸ–¤ðŸ–¤</t>
  </si>
  <si>
    <t>Nothing special about this movie ðŸ˜… people specially in west are living in their fantasies, but when we see openheimer sold less than this I don't wonder why, openheimer is movie based on real thing, real person who changed the world and real script and real visual effect.</t>
  </si>
  <si>
    <t>It is really a big fun!ðŸ˜‚ðŸ˜‚ðŸ˜‚</t>
  </si>
  <si>
    <t>Nobody asked if she needs to get back in her box she ainâ€™t a doll anymore</t>
  </si>
  <si>
    <t>The best movie ðŸŽ¥</t>
  </si>
  <si>
    <t>r****i</t>
  </si>
  <si>
    <t>this has got to be the dumbest movie yet. it hits a billion this tells us just how dumb down movie goers are. not going waste a penny this flash nonsence!</t>
  </si>
  <si>
    <t>*You adult people,were negative towards the little mermaid,but this over 35 years old Barbie ridiculousness is okay?**The root to all evil, are white.*</t>
  </si>
  <si>
    <t>*Absolutely ridiculous!*</t>
  </si>
  <si>
    <t>Movies are just getting dumber and dumber. No imagination whatsoever.</t>
  </si>
  <si>
    <t>Une merde</t>
  </si>
  <si>
    <t>Not yet, Long live Oppenheimer</t>
  </si>
  <si>
    <t>j****r</t>
  </si>
  <si>
    <t>Please pay BIG attention that childs crash baby dolls, that in movie no childs. Its goobal ideas. Where is family propogands? Where is man who really strong man? They show global future ideas.</t>
  </si>
  <si>
    <t>BRI</t>
  </si>
  <si>
    <t>Iâ€™m going to see the barbie on 12th August.</t>
  </si>
  <si>
    <t>BARBIE 3y old fans think that 1b cringe movie beats Oppenheimer 8.7 rated and better than barbie 6.6 rated ðŸ˜‚ðŸ·ðŸ˜Ž</t>
  </si>
  <si>
    <t>Bro made Barbie an action movie</t>
  </si>
  <si>
    <t>6yhdvnâ¤</t>
  </si>
  <si>
    <t>E****R</t>
  </si>
  <si>
    <t>OppenheimerðŸ·ðŸ—¿</t>
  </si>
  <si>
    <t>If you lust barbie this movie is for you ...!</t>
  </si>
  <si>
    <t>Ð ÐµÐ´ÐºÐ¾ÑÑ‚Ð½Ð°Ñ Ð¿Ð¾ÐµÐ±Ð¾Ñ‚Ð¸Ð½Ð°... N</t>
  </si>
  <si>
    <t>love ken</t>
  </si>
  <si>
    <t>h****h</t>
  </si>
  <si>
    <t>ðŸ‘‡ Congratulations on Barbie's box office hit $1 billion ðŸ’ƒ</t>
  </si>
  <si>
    <t>23yrs ago Mattel sued Aqua for copyrights issue. But now they usng itðŸ˜…ðŸ˜…</t>
  </si>
  <si>
    <t>G****7</t>
  </si>
  <si>
    <t>Every woman will tell you theyâ€™re stronger than men until itâ€™s time to meet in front of a judge in family court asking for alimony.</t>
  </si>
  <si>
    <t>w****6</t>
  </si>
  <si>
    <t>Useless movie waste of money don't watch this plsssðŸ˜¡ðŸ˜¡ðŸ˜¡ðŸ™ðŸ»ðŸ™ðŸ»</t>
  </si>
  <si>
    <t>Literally cried after seeing you donâ€™t have to be perfect</t>
  </si>
  <si>
    <t>*Greta told NO LIES in the opening scene of the trailer. i TOO would have BLOWOUT PARTIES with all 17 of my Barbies &amp; my ONE KEN DOLL................man, did Ken have THE. LIFE!!! LMBO!!! ðŸ’ƒðŸ’ƒðŸ»ðŸ’ƒðŸ½ðŸ’ƒðŸ¼ðŸ’ƒðŸ¾ðŸ’ƒðŸ¿ðŸ•ºðŸ¼ðŸ’ƒðŸ’ƒðŸ»ðŸ’ƒðŸ½ðŸ’ƒðŸ¼ðŸ’ƒðŸ¾ðŸ’ƒðŸ¿*</t>
  </si>
  <si>
    <t>p****q</t>
  </si>
  <si>
    <t>feminism destroy the world</t>
  </si>
  <si>
    <t>Thought I'd hate this movie.... but I fell in love with it! I've seen it twice and plan to see it again! ðŸ©·ðŸ©·ðŸ©·ðŸ©·ðŸ©·ðŸ©·ðŸ©·ðŸ©·</t>
  </si>
  <si>
    <t>Congrats on the Billion Dollar Box Office mark!!! I love Barbie Movie ðŸ¿ðŸ©·</t>
  </si>
  <si>
    <t>020 N</t>
  </si>
  <si>
    <t>My favourite RYAN is RYAN REYNOLDS!!!</t>
  </si>
  <si>
    <t>Slay !</t>
  </si>
  <si>
    <t>S****g</t>
  </si>
  <si>
    <t>This movie sucks!!! i rate it a -10000000000000000000000/10 steve is better then ken!</t>
  </si>
  <si>
    <t>M jjbdjbd</t>
  </si>
  <si>
    <t>Feminist propaganda</t>
  </si>
  <si>
    <t>l****m</t>
  </si>
  <si>
    <t>Where is Charli's song?!</t>
  </si>
  <si>
    <t>Boring....</t>
  </si>
  <si>
    <t>Um ðŸ™‹ðŸ¾â€â™€ï¸ No disrespect to the Barbie Movie, I feel it was way to close to the Little Mermaid launch, which was played by a black actress Halle Bailey. Yes this movie took the spotlight away from the Little Mermaid 2023. And Iâ€™m not sorry for saying it. Hollywood know exactly what itâ€™s doing!</t>
  </si>
  <si>
    <t>Japan contributes 200 billion yen (approximately $13,793,200,000 in US dollars) to the maintenance of the U.S. Armed Forces each year.Do you wake up, when we pull it all up? æˆ‘ãŒå›½ã¯ã€ç±³å›½è»ã®ç¶­æŒã«æ¯Žå¹´2000å„„å††ï¼ˆç±³ãƒ‰ãƒ«ã§ç´„13,793,200,000$ï¼‰ã‚’æ‹ å‡ºã—ã¦ã„ã¾ã™ã€‚ãã‚Œã‚’å…¨ã¦å¼•ãä¸Šã’ãŸã‚‰ç›®ã‚’è¦šã¾ã—ã¦é ‚ã‘ã¾ã™ã‹ï¼Ÿ</t>
  </si>
  <si>
    <t>When are you people going to grow up for gawds sake????</t>
  </si>
  <si>
    <t>1Bn baby!!!</t>
  </si>
  <si>
    <t>ã‚¢ãƒ¡ãƒªã‚«ã¨ã‹ã„ã†å›½ãŒä½Žèƒ½ã ã¨çŸ¥ã‚Œæ¸¡ã£ãŸæ˜ ç”»ã§ã™ã€‚ N</t>
  </si>
  <si>
    <t>In fact, there is an idol named Licca-chan in our country NIppon æ—¥æœ¬, and almost no one owns a Barbie. A hilarious visualization of the atomic bomb that killed hundreds of thousands of people. I am amazed at its vulgarity. The knowledge gap between Japan and the United States may widen further in the future.å®Ÿã¯æˆ‘ãŒå›½ã§ã¯ãƒªã‚«ã¡ã‚ƒã‚“ã¨ã„ã†ã‚¢ã‚¤ãƒ‰ãƒ«ãŒã„ã¦ãƒãƒ¼ãƒ“ãƒ¼ã‚’æŒã£ã¦ã‚‹äººãŒæ®†ã©ã„ã¾ã›ã‚“ã€‚ä½•åä¸‡äººã‚‚ã®äººã€…ãŒäº¡ããªã£ãŸåŽŸçˆ†ã‚’é¢ç™½ãŠã‹ã—ãæ˜ åƒåŒ–ã€‚ãã®ä½Žä¿—ã•ã«ã‚ãã‚Œã¦ã„ã¾ã™ã€‚æ—¥æœ¬ã¨ç±³å›½ã®çŸ¥è­˜åº¦ã®å·®ã¯ä»Šå¾Œã€ã‚‚ã£ã¨é–‹ãã®ã‹ã‚‚ã—ã‚Œã¾ã›ã‚“ã€‚</t>
  </si>
  <si>
    <t>Ken's frat house got me rolling. ðŸ˜‚</t>
  </si>
  <si>
    <t>S****P</t>
  </si>
  <si>
    <t>i dont get the hype movie is boring as fkk</t>
  </si>
  <si>
    <t>I watched the trailer again and again for the song in last few seconds I'm looking for barblady to join me to watch that film, and I'll come with you to watch Ken too</t>
  </si>
  <si>
    <t>Dying? Flat feet is worst</t>
  </si>
  <si>
    <t>great movie!</t>
  </si>
  <si>
    <t>Most overrated movie ever</t>
  </si>
  <si>
    <t>F****5</t>
  </si>
  <si>
    <t>Barbieheimer nuke town</t>
  </si>
  <si>
    <t>What is this cringe</t>
  </si>
  <si>
    <t>i****m</t>
  </si>
  <si>
    <t>Barbie and Oppenheimer mashup into one film, aaand go</t>
  </si>
  <si>
    <t>Let me be the oneâ€¦â€¦â€œHollywood demons and pigs try to suppress â€œThe Sound Of Freedomâ€.But they push and promote â€œBarbieâ€ a ditzy white character, with no substance and or message to the world other then, â€œIâ€™m a Barbie girl (white at that), living in a Barbie world â€œ movie.This is why all of not many at the least those who embrace this garbage will for sure for be take out with there rest of the garbage during Armageddon.Have a blessed day social media fanatics.Never to late to educate yourself, repent and get right, with the righteous.Never ever too late.Blessings</t>
  </si>
  <si>
    <t>About time, that is no dark background also gory &amp; violence.</t>
  </si>
  <si>
    <t>Bro this movie was kinda disturbing but it was still good</t>
  </si>
  <si>
    <t>xegzuktsr</t>
  </si>
  <si>
    <t>wcdvrcsg</t>
  </si>
  <si>
    <t>Humanity, you are lost if you watched this utter junk.</t>
  </si>
  <si>
    <t>Chuds Go woke, go broke!Barbie/Captain Marvel/Black Panther [goes woke, makes a billion dollars]</t>
  </si>
  <si>
    <t>Felicidades 1000 millones en Taquilla para esta gran pelÃ­cula gracias a la directora Greta por esta hermosa pelÃ­cula y a Margot Robbie por interprerar a Barbie, todas las barbies son increÃ­bles es mi pelÃ­cula favorita, te llega al corazÃ³n. Emocionada con su Ã©xito . Barbie la mejor pelÃ­cula del 2023 y una de las mejores pelÃ­culas de toda la historia.</t>
  </si>
  <si>
    <t>Should'nt Barbie and Ken be like 15yrs younger than these actors?</t>
  </si>
  <si>
    <t>Need an Action Man movie now but that would deliver a positive message about strong male role models and that would be a disaster</t>
  </si>
  <si>
    <t>Horrifically moronic , it's of course a billion dollar smash.</t>
  </si>
  <si>
    <t>Great film that teaches women to recognize the patriarchy and stay woke. 5 out of 5 stars.</t>
  </si>
  <si>
    <t>when you think people cant get more stupid... DONT GET DISTRACTED #SOUNDOFFREEDOM #PIZZAGATE</t>
  </si>
  <si>
    <t>The Barbie movie is overrated. Love the actors, but it just wasnâ€™t funny and borderline boring.</t>
  </si>
  <si>
    <t>Storyline of Barbie is so amazing looking forward with this movies</t>
  </si>
  <si>
    <t>Just surpassed $1B at the box office!!!</t>
  </si>
  <si>
    <t>One of the best Barbie movies â¤</t>
  </si>
  <si>
    <t>Just seen this film at I max theater really cute fun film imax theater experience way to film on the big totally cool experience.</t>
  </si>
  <si>
    <t>B****9</t>
  </si>
  <si>
    <t>Am I the only one insanely surprised that the Barbie movie made over a billion dollars</t>
  </si>
  <si>
    <t>I****1</t>
  </si>
  <si>
    <t>Brabirr</t>
  </si>
  <si>
    <t>C****r</t>
  </si>
  <si>
    <t>reminds me of the pink shirt couple</t>
  </si>
  <si>
    <t>was anyone expecting Britney to show up in it like HEY BARBIE IM A BRITNEY DOLL lol imagine</t>
  </si>
  <si>
    <t>ok so barbie movie is out, and non of the designers made barbie clothes for the woman this movie is shown in the cinema to wear... barbie dresses should be soled very wear in Europe for woman to actually wear it come on designers wake up and start working on your collections hhhf so frustrating cain't find a nice dress anywear to wear</t>
  </si>
  <si>
    <t>Do not vaste your time watching this!</t>
  </si>
  <si>
    <t>-****i</t>
  </si>
  <si>
    <t>åŽŸçˆ†ãƒã‚¿ã«åå¿œã—ãŸãƒ¯ãƒ¼ãƒŠãƒ¼ãƒ–ãƒ©ã‚¶ãƒ¼ã‚¹ã‚’è¨±ã•ãªã„ã€‚ä¿³å„ªã•ã‚“ã«ã¯ãªã‚“ã‚‚ç½ªã¯ãªã„ãŒé ¼ã‚€ã‹ã‚‰ã†ã¡ã®å›½ã«ã¯ä¸Šæ˜ ã™ã‚“ãªâ€¦ã“ã‚Œã«ã¤ã„ã¦ã¯ã‚¢ãƒ¡ãƒªã‚«ã¨ã„ã†å›½ã®æ¥çš„ç™ºè¨€ã˜ã‚ƒãªã„ã®ã‹ï¼Ÿæœ¬å½“ã«ã‚¢ãƒ¡ãƒªã‚«ã®ã‚¸ãƒ§ãƒ¼ã‚¯ã£ã¦ã‚ã‹ã‚“ãªã„â€¦ N</t>
  </si>
  <si>
    <t>1 billion</t>
  </si>
  <si>
    <t>I THOUGHT BARBIE ,,, was supposed to be stunning BIMBO !!!! what went wrong with casting</t>
  </si>
  <si>
    <t>Did any notice when Ryan Gosling was in the movie The Grey Man, that he gets called "Ken Doll"!! ðŸ˜‚</t>
  </si>
  <si>
    <t>I saw the movie already!</t>
  </si>
  <si>
    <t>Feminism is important for women. Women's rights should not be violated. But society must also decide the rights of men. It is necessary to free men from compulsory military registration, exile to conscription slavery (the so-called conscription service). If men realize that they are the main victims of wars, that states primarily consider them as expendable, cannon fodder, then there will be significantly fewer wars in the world. You give peace to the whole world! The lives of men and women are equally important.</t>
  </si>
  <si>
    <t>F****1</t>
  </si>
  <si>
    <t>Kya chutiya trailer hai ðŸ˜‚ðŸ˜‚ðŸ˜‚</t>
  </si>
  <si>
    <t>missed this kinda vibes movies. last time thereâ€™s a movies like this i think 2007 and under</t>
  </si>
  <si>
    <t>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 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 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 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 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 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 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 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ðŸ‘Ž N</t>
  </si>
  <si>
    <t>Bollywood AdipurushHollywood Barbieboth movies are terribleðŸ‘ŽðŸ‘ŽðŸ‘ŽðŸ‘ŽðŸ‘ŽðŸ‘ŽðŸ‘ŽðŸ‘Ž</t>
  </si>
  <si>
    <t>Bollywood à¦à¦° AdipurushHollywood à¦à¦° Barbieà¦ªà§à¦°à§‹à¦‡ à¦«à¦¾à¦²à¦¤à§ à¦®à¦¾à¦°à§à¦•à¦¾ à¦®à§à¦­à¦¿à¥¤ à¦•à¦¿à¦­à¦¾à¦¬à§‡ à¦œà¦¾à¦¨à¦¿ à¦à¦¤ à¦œà¦¨à¦ªà§à¦°à¦¿à§Ÿà¦¤à¦¾ à¦ªà§‡à¦², à¦¬à§à¦à¦²à¦¾à¦® à¦¨à¦¾à¥¤</t>
  </si>
  <si>
    <t>à¦†à¦œà¦¬ à¦®à§à¦­à¦¿ N</t>
  </si>
  <si>
    <t>What a load of total garbage. ðŸ˜‚</t>
  </si>
  <si>
    <t>this ones for the boys</t>
  </si>
  <si>
    <t>l****u</t>
  </si>
  <si>
    <t>Barbie is unprepossessing though</t>
  </si>
  <si>
    <t>I honestly wishes Mattel should make kenâ€™s own tv show like I want to know more about him more than just an accessory</t>
  </si>
  <si>
    <t>ðŸ˜‚ðŸ˜‚ðŸ˜‚ðŸ˜ðŸ˜ðŸ˜ðŸ˜”ðŸ˜”ðŸ˜”ðŸ˜»ðŸ˜»ðŸ˜»ðŸ’˜ðŸ’˜ðŸ’˜â¤â¤â¤ðŸ’“ðŸ’“ðŸ’“ðŸ’•ðŸ’•ðŸ’•ðŸ’–ðŸ’–ðŸ’–ðŸ’—ðŸ’—ðŸ’—ðŸ’™ðŸ’™ðŸ’™ðŸ’šðŸ’šðŸ’šðŸ’›ðŸ’›ðŸ’›ðŸ’œðŸ’œðŸ’œðŸ’ðŸ’ðŸ’ðŸ’žðŸ’žðŸ’žðŸ’ŸðŸ’ŸðŸ’Ÿ N</t>
  </si>
  <si>
    <t>Is there some sort of meme that I'm not aware of? Why is everyone so insanely pleased with the movie in the comments? It's gotta be the same fake reactions like Morbius had, this movie is not good</t>
  </si>
  <si>
    <t>Could someone tell me why is this barbie movie doing so good</t>
  </si>
  <si>
    <t>A NPCs wet dream.</t>
  </si>
  <si>
    <t>I loved this movie. I plan on seeing it again.</t>
  </si>
  <si>
    <t>Bet Ken has never gutted an elk.</t>
  </si>
  <si>
    <t>As a guy, I don't feel like the movie is anti-men feminist. I feel like it shows how though societally men have had the power, women have had their own distinct psychological advantage over men. It shows how women have advanced in society through a feminine charm that masculinity has overlooked.Essentially, everyone has their strengths and weaknesses; regardless of gender, looks or personality.</t>
  </si>
  <si>
    <t>Takes me back to when we were on the computers in year 8 (age 13) and my friend suggested we go on the Barbie website. I was like "Eh??" because of our age but she insisted it was boss, so we just went on the Barbie website, and the boys were laughing at us but we just didnt care!</t>
  </si>
  <si>
    <t>What if Barbie was made blackðŸ˜‚ðŸ˜‚ðŸ˜‚ðŸ˜‚ðŸ˜‚ðŸ˜‚ðŸ˜‚ðŸ˜‚ðŸ˜‚ðŸ˜‚ðŸ˜‚ðŸ˜‚ðŸ˜‚ðŸ˜‚ðŸ˜‚ðŸ˜‚ðŸ˜‚ðŸ˜‚ðŸ˜‚ðŸ˜‚ðŸ˜‚ðŸ˜‚ðŸ˜‚ðŸ˜‚ðŸ˜‚ðŸ˜‚ðŸ˜‚ðŸ˜‚ðŸ˜‚ðŸ˜‚ðŸ˜‚ðŸ˜‚ðŸ˜‚ðŸ˜‚ðŸ˜‚</t>
  </si>
  <si>
    <t>I love barbie and kenâ¤â¤â¤</t>
  </si>
  <si>
    <t>Wow ðŸ˜³</t>
  </si>
  <si>
    <t>x****8</t>
  </si>
  <si>
    <t>â€œHumans only have one endingâ€¦.ideas live foreverâ€ Classic</t>
  </si>
  <si>
    <t>4****4</t>
  </si>
  <si>
    <t>VW Festival brought me here lol</t>
  </si>
  <si>
    <t>This movie is embarrassing</t>
  </si>
  <si>
    <t>Rarely have i seen such an inept movie. But little women is a gem , so GG is capable of the best â¤</t>
  </si>
  <si>
    <t>Sinamasina gidicemðŸŽ‰</t>
  </si>
  <si>
    <t>WatchedðŸ˜Š</t>
  </si>
  <si>
    <t>The pink hurts my eyes!</t>
  </si>
  <si>
    <t>Contemplating between watching on theatres or maybe streaming on Max in the near future.</t>
  </si>
  <si>
    <t>â¤â¤â¤â¤â¤â¤ðŸŽ‰ N</t>
  </si>
  <si>
    <t>S****m</t>
  </si>
  <si>
    <t>I will watch this movie â¤</t>
  </si>
  <si>
    <t>How did they chose the casts?</t>
  </si>
  <si>
    <t>WB is better than netflix ,WB doesn't remake or modified original characters</t>
  </si>
  <si>
    <t>1****6</t>
  </si>
  <si>
    <t>The atomic bombings of Hiroshima and Nagasaki were indiscriminate genocide against unarmed civilians.The U.S. government still justifies the atomic bomb that the war ended with the atomic bomb, but that's a complete lie.There was no need for nuclear weapons or landing operations to end the war.</t>
  </si>
  <si>
    <t>Watched the trailer and wanted to watch movie. Wish I hadn't bothered!</t>
  </si>
  <si>
    <t>3****o</t>
  </si>
  <si>
    <t>Just watched this. Let me tell you guys - don't waste your time. It's boring. Just a very very simple movie. I expected too much because it's Barbie, guess it's my fault, yeah?</t>
  </si>
  <si>
    <t>Not them trying so hard to overshadow little mermaid and not everyone falling for it ðŸ˜‚ðŸ˜‚ðŸ˜‚ðŸ˜‚</t>
  </si>
  <si>
    <t>I****T</t>
  </si>
  <si>
    <t>It's a very bad movie</t>
  </si>
  <si>
    <t>Pile of woke ðŸ’© ðŸ’©ðŸ’©ðŸ’©ðŸ’©ðŸ’©ðŸ’©</t>
  </si>
  <si>
    <t>What a load of woke bollocks ðŸ’©</t>
  </si>
  <si>
    <t>LOVED it</t>
  </si>
  <si>
    <t>8æœˆ6æ—¥ã¯æ—¥æœ¬ã®åºƒå³¶ã«ã‚¢ãƒ¡ãƒªã‚«ãŒåŽŸçˆ†ã‚’è½ã¨ã—ã¦æ²¢å±±ã®æ°‘é–“äººãŒæ‚²æƒ¨ãªæ­»ã«æ–¹ã‚’ã—ãŸæ—¥ã§ã™ã€‚ãƒãƒ¼ãƒ“ãƒ¼è¦³ã«è¡Œãå‰ã«æ€ã„ã‚’é¦³ã›ã¦ä¸‹ã•ã„ã€‚ N</t>
  </si>
  <si>
    <t>R****G</t>
  </si>
  <si>
    <t>This movie is not for children!! Because children are angels of the earth!! I am 31 years old and I see this movie talking about issues that I personally cannot accept .. why u wanna my children watch this movie ??</t>
  </si>
  <si>
    <t>Cheap</t>
  </si>
  <si>
    <t>Bence barbie rolÃ¼nÃ¼ valeria lurkyanova oynamaliydi</t>
  </si>
  <si>
    <t>I just went yesterday to see this in Brandon Manitoba Canada itâ€™s a good movie</t>
  </si>
  <si>
    <t>smash</t>
  </si>
  <si>
    <t>DEFINITELY NOT A MOVIE FOR KIDS OR SMALL CHILDREN......</t>
  </si>
  <si>
    <t>the worst western trash movie i could watch just 10 minutes is horrible ,i know usa make almost just trash but this is the worst</t>
  </si>
  <si>
    <t>A good message but one of the worst movies ever!</t>
  </si>
  <si>
    <t>åŽŸçˆ†ãŒã‚¸ãƒ§ãƒ¼ã‚¯ã ã¨æ€ã£ã¦ã‚‹äººã«è¨€ã‚ã›ã¦ã‚‚ã‚‰ã†ã‚ã€‚ã€Œãƒˆãƒ©ãƒ³ã‚¹ã‚¸ã‚§ãƒ³ãƒ€ãƒ¼ã¯ç²¾ç¥žç—…ã§ã™ðŸ˜‚ã€ N</t>
  </si>
  <si>
    <t>R****e</t>
  </si>
  <si>
    <t>.......... N</t>
  </si>
  <si>
    <t>What the music call when they reach Los Ãngeles</t>
  </si>
  <si>
    <t>Ken is sexist and misogynistic he disgusts me.</t>
  </si>
  <si>
    <t>Anti-male woke garbage.</t>
  </si>
  <si>
    <t>Not a fan of babie but this look soo goodâ¤â¤â¤</t>
  </si>
  <si>
    <t>Pardon me while I barff, this is perfect foor the brain dead!!!!!!</t>
  </si>
  <si>
    <t>I love youâ¤</t>
  </si>
  <si>
    <t>V****y</t>
  </si>
  <si>
    <t>ðŸ‘ŽðŸ‘ŽðŸ‘ŽðŸ‘ŽðŸ‘ŽðŸ‘Ž N</t>
  </si>
  <si>
    <t>I haven't seen the movie, but it sounds stupid. No thanks....</t>
  </si>
  <si>
    <t>This is retarted</t>
  </si>
  <si>
    <t>a****l</t>
  </si>
  <si>
    <t>love or hate, if u watch the movie producer/team are happy ðŸ˜‚ðŸ˜‚</t>
  </si>
  <si>
    <t>what a piece of junk movie!</t>
  </si>
  <si>
    <t>Wb where is banana split 2</t>
  </si>
  <si>
    <t>I guess it's just hang out</t>
  </si>
  <si>
    <t>WOW......Awesome.......I wanna see this on a big screen!!! Thanks.....ðŸ¥°</t>
  </si>
  <si>
    <t>S****.</t>
  </si>
  <si>
    <t>If you want to lose brain cells watch this movie</t>
  </si>
  <si>
    <t>Saw it, it is Complete trash.</t>
  </si>
  <si>
    <t>Iâ€™m a bout to see it in like 1 hour omggg Iâ€™m soo excited</t>
  </si>
  <si>
    <t>H****8</t>
  </si>
  <si>
    <t>The fact that we have Deadpool and Harley Quinn playing barbie characters is so unironically canon.</t>
  </si>
  <si>
    <t>This is propoganda !</t>
  </si>
  <si>
    <t>H****n</t>
  </si>
  <si>
    <t>I watched Barbie at the movies at silverburn it was so good</t>
  </si>
  <si>
    <t>C****v</t>
  </si>
  <si>
    <t>I have seen this movie and it was so funny! ðŸ˜‚</t>
  </si>
  <si>
    <t>Who else got Don't Worry Darling kinda vibes?ðŸ’€Cause I didðŸ’€</t>
  </si>
  <si>
    <t>100 the feminists version of the matrix</t>
  </si>
  <si>
    <t>S****x</t>
  </si>
  <si>
    <t>ðŸ’–ðŸ’–ðŸ’– N</t>
  </si>
  <si>
    <t>l****e</t>
  </si>
  <si>
    <t>Women &gt;&gt;&gt;&gt;</t>
  </si>
  <si>
    <t>Just got out, SO. GOOD. Literally would watch a thousand times over.</t>
  </si>
  <si>
    <t>They could have chosen a better Barbieâ€¦</t>
  </si>
  <si>
    <t>ðŸ”¥ðŸ”¥ðŸ”¥ðŸ”¥ðŸ”¥ N</t>
  </si>
  <si>
    <t>Wouldâ€™ve been cooler if Barbie was more like a spirit guide instead of crying so much</t>
  </si>
  <si>
    <t>what is this ðŸ¤£ðŸ¤£ðŸ¤£</t>
  </si>
  <si>
    <t>I love the Barbie movies meaning about how we are all enough, or should I say kenough</t>
  </si>
  <si>
    <t>This movie is completely garbage lol</t>
  </si>
  <si>
    <t>I am about to watch the Barbie movie</t>
  </si>
  <si>
    <t>**I IMAGINE KEN AND BARBIE VOMITING ON EACH OTHER WHILE LISTENING TO "ENDLESS LOVE" BY LIONEL RICHIE AND DIANA ROSS!!** --- ROSEANNE BARR</t>
  </si>
  <si>
    <t>If you donâ€™t like this for being sexist or feminist donâ€™t share your opinion. Men have a lot of power. Women have gotten our rights took away men are just chilling not worrying. Barbie is one of my fav movies</t>
  </si>
  <si>
    <t>F****b</t>
  </si>
  <si>
    <t>This movie is my most favorite i love barbieLove from ðŸ‡µðŸ‡° Pakistan</t>
  </si>
  <si>
    <t>Saw the movie twice and is one of my fav movies. The message was really good and loved Iâ€™m just ken.</t>
  </si>
  <si>
    <t>Whatâ€™s it on netflix?</t>
  </si>
  <si>
    <t>z****6</t>
  </si>
  <si>
    <t>This movie is nothing but sexist hot garbage that literally gives you a headache.... nothing but feminist garbage... and when they were trashing on men they should of been throwing that tranny red head to the wolves</t>
  </si>
  <si>
    <t>If you simp for Barbie give this comment a like</t>
  </si>
  <si>
    <t>Worst film I've ever seen was pushed by marketing !!!</t>
  </si>
  <si>
    <t>Hi Barbie all japanese remember 8/6 and 8/9.</t>
  </si>
  <si>
    <t>Do not let younger than 9 watch that movie it's sexual</t>
  </si>
  <si>
    <t>Sorry i really don't like barbie</t>
  </si>
  <si>
    <t>I watched this last night fantastic movie</t>
  </si>
  <si>
    <t>For some reason, leftists are pushing for you to see a movie about a toy, but theyâ€™re railing against you seeing a movie about human trafficking. Hmmn. ðŸ¤”</t>
  </si>
  <si>
    <t>Is that a bad boy in Harry Potter?</t>
  </si>
  <si>
    <t>J****p</t>
  </si>
  <si>
    <t>I love Barbie from childhood â¤ï¸ðŸ©·ðŸ’œ</t>
  </si>
  <si>
    <t>yeap not gonna watch it</t>
  </si>
  <si>
    <t>So happy that no blackwashing applied in this movie. This was created based on what should have happened.</t>
  </si>
  <si>
    <t>8****y</t>
  </si>
  <si>
    <t>Great message behind the movie. But I didn't like the jokes ðŸ˜’ my daughter liked it. The hype was too much</t>
  </si>
  <si>
    <t>This is kids cartoon movie Iâ€™m sorry Iâ€™m not interested moreover I understand the language what they are speaking.</t>
  </si>
  <si>
    <t>I see nothing funny here. Bad acting, and one funny fact its healthier to walk on your front feet when walking barefeet. I dont like that movie, but regardless, i continue to respect everyone who watches this. -)</t>
  </si>
  <si>
    <t>R****j</t>
  </si>
  <si>
    <t>They could of used any blond girl in Hollywood that's way younger and prettier than this actress that played Harley Quinn. And Ryan gosling is a terrible choice for ken. I don't understand movie directors sometimes. They cast old ppl to play a doll that is meant for children. Barbie in my opinion should be in her late teens as well as ken.</t>
  </si>
  <si>
    <t>I would redo the roles with Ali Larter as Barbie (if she was younger), Ken as Justin Bartha, Alan as Jonah Hill, and Pink (the singer) as Weird Barbie. Ryan and Margot are too flat faced to be Ken and Barbie.</t>
  </si>
  <si>
    <t>Ð‘Ð°Ñ€Ð±Ñ– Ð³Ð°Ð²Ð½Ð¾ N</t>
  </si>
  <si>
    <t>i watched it yesterday</t>
  </si>
  <si>
    <t>b****E</t>
  </si>
  <si>
    <t>The way that sasha's name is so similar to mine</t>
  </si>
  <si>
    <t>The funniest part was the flat feet ðŸ¤£ðŸ¤£ðŸ¤£ðŸ¤£ðŸ˜‚</t>
  </si>
  <si>
    <t>ã“ã®æ˜ ç”»ã«é–¢ã‚ã‚‹ã‚¹ã‚¿ãƒƒãƒ•ãŸã¡ã¯9.11ã‚„ãƒ›ãƒ­ã‚³ãƒ¼ã‚¹ãƒˆã®ãƒŸãƒ¼ãƒ ã§ã‚‚ãƒ–ãƒ©ãƒƒã‚¯ã‚¸ãƒ§ãƒ¼ã‚¯ã§æ¸ˆã¾ãã†ã¨ã™ã‚‹ã‚µã‚¤ã‚³ãƒ‘ã‚¹é›†å›£ã§ã™ã€‚ N</t>
  </si>
  <si>
    <t>t****c</t>
  </si>
  <si>
    <t>Bhai flim nai ch#ty@p hai</t>
  </si>
  <si>
    <t>I have no idea how ppl got to love this sh*t â€¦ a very old man acting as a teenager and a young lady playing the rule of teenager girl. This movie is a manipulative one with disgusting msgs that normal ppl should refuse to accept!</t>
  </si>
  <si>
    <t>OMGâ€¦ I got goosebumpsâ€¦ i believe this will be a top grosser Film this YearðŸŽ‰â¤â¤â¤</t>
  </si>
  <si>
    <t>Evil feminism</t>
  </si>
  <si>
    <t>If only Quentin tarantino directed this</t>
  </si>
  <si>
    <t>WowðŸ˜Š</t>
  </si>
  <si>
    <t>Wow, I LOVE how barbie got arrested for hitting a man that sexually assaulted her, which legally would be called self defense, but who cares? its the best movie!!</t>
  </si>
  <si>
    <t>Koja glupost jad i blam, svet je otiÅ¡ao dodjavola</t>
  </si>
  <si>
    <t>Cringe...movie simple</t>
  </si>
  <si>
    <t>This was a great movie! It's completely unsubtle with its message, but it suits the absurdity of the premise! The ending was a lot more emotional that I thought it would be. I recommend seeing it!</t>
  </si>
  <si>
    <t>D****r</t>
  </si>
  <si>
    <t>Mouvie for imbecill</t>
  </si>
  <si>
    <t>Closer I am to fiiiiiIIIIIIIINE!!! ðŸ˜…</t>
  </si>
  <si>
    <t>à¦¦à§‡à¦–à¦¤à§‡ à¦šà¦¾à¦‡ à¦®à§à¦­à¦¿à¦Ÿà¦¾à¥¤ N</t>
  </si>
  <si>
    <t>ka bawasir bana diye ho be</t>
  </si>
  <si>
    <t>2.20 What song? ðŸ¥¹ðŸ¥¹ðŸ¥¹</t>
  </si>
  <si>
    <t>Worst movie ever</t>
  </si>
  <si>
    <t>I wonder if Margo Robbie has a smooth plastic crotch.</t>
  </si>
  <si>
    <t>2****l</t>
  </si>
  <si>
    <t>Stupidest movie EVER.....</t>
  </si>
  <si>
    <t>ðŸ¥€ðŸ¥€ðŸ’“ðŸ‡§ðŸ‡©ðŸ‡§ðŸ‡©ðŸ«¶ðŸ«¶ðŸ«¶ðŸ‡§ðŸ‡© N</t>
  </si>
  <si>
    <t>K****j</t>
  </si>
  <si>
    <t>Here's the future...Movie won 8 oscar award..Include best Movie of academy award Nicki Minaj will get one oscar awardThis is not joke</t>
  </si>
  <si>
    <t>Quelle grosse merde â€¦</t>
  </si>
  <si>
    <t>æˆ‘å–œæ­¡èŠ­æ¯”äººç‰©ï¼Œç²‰ç´…è‰²äº®éº—åŒ…è£å¥³è§’ ï¼Œç”·å¥³ä¸»è§’é…æ­åˆå¥½â¤ðŸ˜…ðŸŽ‰æœ‰æ­Œåˆèˆžã€‚ðŸ‘ðŸ’ª ç‡å¾—åˆ èˆ’æœ95åˆ† N</t>
  </si>
  <si>
    <t>I love barbie I watched the movie it great â¤â¤â¤â¤â¤â¤â¤</t>
  </si>
  <si>
    <t>This is Sooo funny now to listen to youngsters talking about Barbie. They think that the fashion, ambitions just came out now. I'm almost 60 , Please! This been going on Before I was born. Barbie 's mother had a vision. The doll was named after her child. Barbie would be 64 now.</t>
  </si>
  <si>
    <t>I don't hate it but i find it cringy</t>
  </si>
  <si>
    <t>t****y</t>
  </si>
  <si>
    <t>Ryan gosling is so over rated, Reynolds is better tbh</t>
  </si>
  <si>
    <t>l****s</t>
  </si>
  <si>
    <t>Margot have a talent !! Huge talent. She is true barbie!! But with Leo I was enjoying her performance better ) No doubt she is the one !! Best wishes.</t>
  </si>
  <si>
    <t>My favorite part is when Barbie said â€œitâ€™s Barbie timeâ€ and Barbied all over the place</t>
  </si>
  <si>
    <t>schmutz</t>
  </si>
  <si>
    <t>L****r</t>
  </si>
  <si>
    <t>I'm so glad an Aussie is Barbie</t>
  </si>
  <si>
    <t>Imagine two 40 year olds playing Barbie &amp; Ken...</t>
  </si>
  <si>
    <t>Even though it looks like a fun movie, I don't want to put any money into it because I was so uncomfortable with the official piggybacking on the meme. It's a shame from the bottom of my heart that I can't enjoy it purely even if I see it.</t>
  </si>
  <si>
    <t>i would rather put tobasco in my mf eyes than watch this movie</t>
  </si>
  <si>
    <t>Hi ðŸ™‹</t>
  </si>
  <si>
    <t>ðŸ˜‚ðŸ˜‚ N</t>
  </si>
  <si>
    <t>S****T</t>
  </si>
  <si>
    <t>Bruh Oppenheimer is so much better</t>
  </si>
  <si>
    <t>Ryan Gosling did amazing he was the real star of Barbie and Margot Robbie was mediocre.</t>
  </si>
  <si>
    <t>What a great movie! I expect it will definitely become a very popular and amazing Broadway production someday!</t>
  </si>
  <si>
    <t>Looks stupid</t>
  </si>
  <si>
    <t>Looks pretty awesome....</t>
  </si>
  <si>
    <t>ðŸ‘ŽðŸ‘ŽðŸ‘ŽðŸ‘ŽðŸ‘ŽðŸ‘ŽðŸ‘ŽðŸ‘ŽðŸ‘ŽðŸ‘ŽðŸ‘ŽðŸ‘ŽðŸ‘ŽðŸ‘ŽðŸ‘ŽðŸ‘ŽðŸ‘ŽðŸ‘ŽðŸ‘ŽðŸ‘ŽðŸ‘ŽðŸ‘ŽðŸ‘ŽðŸ‘ŽðŸ‘ŽðŸ‘ŽðŸ‘ŽðŸ‘ŽðŸ‘ŽðŸ‘Ž N</t>
  </si>
  <si>
    <t>This movie was such a disappointment no real plot or obstacles. Everything just solved themselves so quickly, it had potential to be something more than a anticlimactic movie. Even my girlfriend disliked the movie and she was the only reason we went to go watch it in the first place</t>
  </si>
  <si>
    <t>N****6</t>
  </si>
  <si>
    <t>This is so kiddish but I'm still gonna watch it</t>
  </si>
  <si>
    <t>A****S</t>
  </si>
  <si>
    <t>BARBIE 2023 UAE dubai 15+ canada alberta PG - 13</t>
  </si>
  <si>
    <t>Me, my brother and my dad are going to see this movie at 2pm D</t>
  </si>
  <si>
    <t>The MAN, Ryan Gosling as Ken was the real star of this movie and he stole the show from all the females in the movie including Margot Robbie.</t>
  </si>
  <si>
    <t>So kinda like a way less realistic version of The Matrix..?</t>
  </si>
  <si>
    <t>I didnâ€™t like the movie at all</t>
  </si>
  <si>
    <t>If you feminist this movies is for you.</t>
  </si>
  <si>
    <t>Jesus loves you!</t>
  </si>
  <si>
    <t>Crazy trailer</t>
  </si>
  <si>
    <t>Film sucks</t>
  </si>
  <si>
    <t>w****s</t>
  </si>
  <si>
    <t>051 FLAAAAAAAT FEEEEEET ðŸ‘¹ðŸ‘¹ðŸ‘¹ðŸ‘¹</t>
  </si>
  <si>
    <t>Doctor Barbie This is the best day ever. Barbie It is the best day ever. So was yesterday and so is tomorrow and every day from now until forever!(Everyone cheering)Barbie Do you guys ever think about dying?Everyone ðŸ˜®ðŸ«¢ðŸ¤¨ðŸ˜Barbie ðŸ˜ƒðŸ˜…024</t>
  </si>
  <si>
    <t>I****N</t>
  </si>
  <si>
    <t>What is it onnnn???</t>
  </si>
  <si>
    <t>Principalement, je trouve que c'est nul, sans valeurs.</t>
  </si>
  <si>
    <t>paint the town</t>
  </si>
  <si>
    <t>Isn't Ken supposed to be like 6" taller than Barbie?? But that part wasn't important?</t>
  </si>
  <si>
    <t>Oppenheimer &gt;&gt;&gt;&gt;</t>
  </si>
  <si>
    <t>so many soy boys in this comment section ðŸ¤“ðŸ¤“</t>
  </si>
  <si>
    <t>#ryangosling</t>
  </si>
  <si>
    <t>Barbie is the best doll</t>
  </si>
  <si>
    <t>q****z</t>
  </si>
  <si>
    <t>I wanna watch it so bad but in the movies its so expensive!</t>
  </si>
  <si>
    <t>â¤â¤â¤â¤â¤â¤â¤â¤ðŸ’‹ðŸ’‹ðŸ’‹ N</t>
  </si>
  <si>
    <t>The dumbest film ever.</t>
  </si>
  <si>
    <t>Go see it!!! #BarbieWorld</t>
  </si>
  <si>
    <t>Hi Barbie!!</t>
  </si>
  <si>
    <t>o****s</t>
  </si>
  <si>
    <t>Is this movie suitable for kids?</t>
  </si>
  <si>
    <t>r****j</t>
  </si>
  <si>
    <t>æ¥½ã—ã¿ã«ã—ã¦ãŸã®ã«åŽŸçˆ†ã®ä»¶ã‚’çŸ¥ã£ã¦è¦³ã‚‹æ°—ãŒå¤±ã›ãŸã‚¢ãƒ¡ãƒªã‚«ã®æ•™é¤Šã¯è¡Œãæ¸¡ã£ã¦ãªã„ N</t>
  </si>
  <si>
    <t>What happened to Sindy...?</t>
  </si>
  <si>
    <t>damnnnnnnnnnnnnnnnnn so hype</t>
  </si>
  <si>
    <t>i love it.</t>
  </si>
  <si>
    <t>where we can watch this Barbie Movie?</t>
  </si>
  <si>
    <t>Very noisy movie, btw</t>
  </si>
  <si>
    <t>The actress of Barbie in this movie doesn't look so identical to the doll we all know. She looks older and not so chick, as the doll is with her proportions, bust etc. You could make a better choice, especially that Barbie-style girls one can meet in every step on the streets, she is very popular up untill now and many are doing surgeries to look like the doll of our youth years. But Ken is very identical, the best Ken ever!</t>
  </si>
  <si>
    <t>I love how she just floats because no one used the stairs as a kid ðŸ˜‚</t>
  </si>
  <si>
    <t>Hello from JP.Thanks for your heartful tweet with Oppenheimer.Seems Barbie's head is empty.</t>
  </si>
  <si>
    <t>Never again talk about human rights or discrimination.</t>
  </si>
  <si>
    <t>I cannot wait to see it!!! ðŸ’ŸðŸ’—ðŸ’•âœ¨ï¸âœ¨ï¸</t>
  </si>
  <si>
    <t>Fair Warning If you're considering seeing this film thinking it's a clever commentary adults can appreciate... nooooooooo, it's not. It's a straight up kiddie film. In other words, if you wouldn't go see Spy Kids 5 you shouldn't bother going to see this. The opening was beautiful until they get to the "real world" which is just a kid's view of how adults operate things. After that it becomes a preachy bore (no matter your politics) and falls flat. But the music is great and the spectacle part of it is well done. However, the written dialog, comedic timing and editing leave a lot to be desired. Gerwig is no genius.</t>
  </si>
  <si>
    <t>Why do i feel like this movie was made between 2009 - 1014</t>
  </si>
  <si>
    <t>Ken has jimin's outfitðŸ˜®ðŸ˜®ðŸ’œðŸ’œðŸ’œðŸ‡µðŸ‡°</t>
  </si>
  <si>
    <t>Soo stupid movie ðŸ¤£ðŸ¤£</t>
  </si>
  <si>
    <t>I just watched the movie yesterday and the end was tragic she turned into a humanðŸ˜¢</t>
  </si>
  <si>
    <t>I rather the Barbie cartoons and OG stuff. this movie had wokism everywhere I just didn't like it.</t>
  </si>
  <si>
    <t>â€œIf you love Barbie or hate Barbie this movieâ€™s for youâ€What if your indifferent to Barbie though ?</t>
  </si>
  <si>
    <t>Omw to vue to watch Barbie right now!</t>
  </si>
  <si>
    <t>Hypocrites ðŸ˜‚ðŸ˜‚ðŸ˜‚Go make fun of Japans tragedy just because Oppenheimer's director ditched WB Studios, snowflakes and cognitive challenged ðŸ˜‚ðŸ˜‚ðŸ˜‚I ain't watching your rancid feminist pamphlet even for free. Better watch Oppenheimer a few more times.Good luck.</t>
  </si>
  <si>
    <t>Nope</t>
  </si>
  <si>
    <t>You've managed good to show a World from womens outlook, point of view.Respect for this!</t>
  </si>
  <si>
    <t>S****E</t>
  </si>
  <si>
    <t>im just ken"</t>
  </si>
  <si>
    <t>Barbi barbi barbi barbi barbi barbi barbi barbi barbi ðŸŽ‰ðŸŽ‰ðŸŽ‰ðŸŽ‰ðŸ©·ðŸ©·ðŸ©·ðŸ©·ðŸ©·ðŸ©·ðŸ©·ðŸ©·ðŸ©·ðŸ©·ðŸ©·ðŸ©·ðŸ©·ðŸ©·ðŸ©·ðŸ©·ðŸ©·ðŸ©·ðŸ©·ðŸ©·ðŸ©·ðŸ©·ðŸ©·ðŸ©·ðŸ©·ðŸ©·ðŸ©·ðŸ©·ðŸ©·ðŸ©·ðŸ©·ðŸ©·ðŸ©·ðŸ©·ðŸ©·ðŸ©·ðŸ©·ðŸ©·ðŸ©·ðŸ©·ðŸ©·ðŸ©·ðŸ©·ðŸ©·ðŸ©·ðŸ©·ðŸ©·ðŸ©·ðŸ©·ðŸ©·ðŸ©·ðŸ©·ðŸ©·ðŸ©·ðŸ©·ðŸ©·ðŸ©·ðŸ©·ðŸ©·ðŸ©·ðŸ©·ðŸ©·ðŸ©·</t>
  </si>
  <si>
    <t>Wtf, "When my heart cringes, and my world cringes, I feel cringy, I feel cringy, I don't play cringe, dont you know abt me. I could cringe, I could cringe, I could cringe, cringe real hard" Like how cringe. ðŸ’€</t>
  </si>
  <si>
    <t>ðŸ™ï¸âœˆï¸å¿˜ã‚Œã‚‰ã‚Œãªã„911ãŒã‚‚ã†ã™ãæ¥ã‚‹ãžðŸ˜‚ N</t>
  </si>
  <si>
    <t>ðŸ™ï¸âœˆï¸â†ðŸ˜‚ N</t>
  </si>
  <si>
    <t>Cosa vi Ã¨ successo? Scoreggia rosa?ðŸ˜‚ðŸ˜‚ðŸ˜‚</t>
  </si>
  <si>
    <t>I watched this and it is absolutely amazing, IWould watch it over and over again if I had the chance. Itâ€™s definitely a unique movie, but itâ€™s so good</t>
  </si>
  <si>
    <t>So funny barbie how make video she movie? I lovee! Barbie!!â¤ï¸ðŸ’žðŸ’•ðŸ¥°ðŸ˜</t>
  </si>
  <si>
    <t>I love Barbie it's the best movie ðŸ¿ðŸ˜</t>
  </si>
  <si>
    <t>ðŸ”¥ðŸ’ª N</t>
  </si>
  <si>
    <t>I****e</t>
  </si>
  <si>
    <t>the first 20mins of the movie is fantasic, but the rest is rubbish.</t>
  </si>
  <si>
    <t>They are old for this movie. Barbie is actually a teen girl....</t>
  </si>
  <si>
    <t>Tragic 2023!</t>
  </si>
  <si>
    <t>GR</t>
  </si>
  <si>
    <t>Openhiemer</t>
  </si>
  <si>
    <t>The movie was not the good</t>
  </si>
  <si>
    <t>This looks horrible, I really don't get the hype.</t>
  </si>
  <si>
    <t>America's woke movieðŸ˜‚</t>
  </si>
  <si>
    <t>so good oh my god</t>
  </si>
  <si>
    <t>Thanks YouTube for saving me money I would've spent on a crappy movie!</t>
  </si>
  <si>
    <t>Ø£Ø³ÙˆØ¡ ÙÙŠÙ„Ù… ðŸ¤¬ðŸ¤¢ðŸ¤® N</t>
  </si>
  <si>
    <t>Where tf is chelsea and stacy bro ðŸ’€ðŸ˜­</t>
  </si>
  <si>
    <t>Oh wowâ€¦hard pass.ðŸ˜‚</t>
  </si>
  <si>
    <t>Q****0</t>
  </si>
  <si>
    <t>Im 13 and I watched this movie yesterday with my parents it was absolutely incredible the message was amazing the cinematography, effects sets were a 10/10 the actors were a 10/10 and Margot Robbie was 100% made for this role huge thanks to the filming team,producers,actors and actresses and the Queen herself Miss Margot Robbie for creating this master pierce</t>
  </si>
  <si>
    <t>1****5</t>
  </si>
  <si>
    <t>ã‚ªãƒƒãƒšãƒ³ãƒã‚¤ãƒžãƒ¼ N</t>
  </si>
  <si>
    <t>This movie is so boring and itâ€™s very inappropriate and it also has bad words in it</t>
  </si>
  <si>
    <t>One of the best films ive seen in a long time! Only watched it last night but I wanna watch it again right now!! ðŸ˜ such a funny yet heartwarming film â¤</t>
  </si>
  <si>
    <t>Ideas live forever ðŸ˜Œ</t>
  </si>
  <si>
    <t>OMGâ€¦stupid movieâ€¦boring</t>
  </si>
  <si>
    <t>f****e</t>
  </si>
  <si>
    <t>I watched this movie and i have to say it has a reslly strong message and is actually more emotionally touching than it seems</t>
  </si>
  <si>
    <t>If she comes to India we will ask her to make her Aadhar card and PAN card done.. And link the two in the system.</t>
  </si>
  <si>
    <t>Looks like the Truman show ðŸ˜‚ðŸ˜‚</t>
  </si>
  <si>
    <t>Worst movie ever made... don't waste your time watching this believe me</t>
  </si>
  <si>
    <t>Ken always number 2 even in this trailer he has 2nd credit ðŸ’€</t>
  </si>
  <si>
    <t>I'm a Barbie girl in the Barbie world ðŸ˜Š</t>
  </si>
  <si>
    <t>Tbh, I don't see anything wrong with this... I will update you when I see the movie</t>
  </si>
  <si>
    <t>People in the reply sections are fighting for their lives trying to explain why a movie they never watched sucked with opinions based on a Critical Drinker or Ben Sharpiro video.</t>
  </si>
  <si>
    <t>if this is the movie for true feminism and political correctness, what is the intension of the tweets for the memes of atomic bomb?the victim of atomic bomb is citizen, including children and babies.</t>
  </si>
  <si>
    <t>I Nikki should have played Barbie ðŸ˜‚</t>
  </si>
  <si>
    <t>I Need Barbie Girl â¤ So Kuch</t>
  </si>
  <si>
    <t>Seems not exciting to watch</t>
  </si>
  <si>
    <t>N****9</t>
  </si>
  <si>
    <t>I searched â€œOppenheimer trailerâ€ and this showed upðŸ’€</t>
  </si>
  <si>
    <t>A friend of mine took their kids and got up and left he said that it was like watching I don't understand why people take a child's role model and turn it in the trash I'm glad to know so I don't take my grandkids to see this</t>
  </si>
  <si>
    <t>Hindi dubbed please â¤</t>
  </si>
  <si>
    <t>I think "pink" is playing a pretty good role in this movie as the "leg spreaded" barbie. Very good casting</t>
  </si>
  <si>
    <t>I must admit I had NO plans on watching this but after seeing all the OUTRAGE by conservatives I knew I had to check it out and all I have to say is it's a good movie. Calling it GREAT is a stretch, but it is good. And also, what's up with all the conservatives loosing their minds over a MOVIE ABOUT BARBIE?!! They say "liberal tears," whilst CRYING ABOUT BARBIE. All i have to say is with each passing day conservatives are looking more and more like the Taliban.</t>
  </si>
  <si>
    <t>ì „ì„¸ê³„ì—ì„œ í•œë‚¨ë“¤ë§Œ ë¶ˆíŽ¸í•˜ê²Œ ë³´ëŠ” ì˜í™” ã…‹ã…‹ N</t>
  </si>
  <si>
    <t>å…¨ä¸–ç•Œå”¯ç‹¬éŸ©ç”·ç ´æˆ¿çš„ç”µå½± N</t>
  </si>
  <si>
    <t>Did you know?Barbie had her own game from Nintendo NES! I like the last level, it reminds me of American Graffiti. A must play!ðŸ¨</t>
  </si>
  <si>
    <t>ç¾Žå›½3äº¿è¾“ç‹—ä½ å¦ˆç”Ÿå‡ºå¼±æ™º,ç¾Žå›½ä½ å®¶ç‹—å¦ˆå…¨éƒ¨åŽ»æ­» N</t>
  </si>
  <si>
    <t>Dayum Ken is literally me fr.</t>
  </si>
  <si>
    <t>L****z</t>
  </si>
  <si>
    <t>Ð˜Ð·-Ð·Ð° Ð²Ð°ÑˆÐµÐ³Ð¾ Ð³Ñ€ÐµÐ±Ð°Ð½Ð¾Ð³Ð¾ WMprotection Ð·Ð°Ð±Ð»Ð¾ÐºÐ¸Ñ€Ð¾Ð²Ð°Ð½Ð¾ Ð½ÐµÑÐºÐ¾Ð»ÑŒÐºÐ¾ Ñ…Ð¾Ñ€Ð¾ÑˆÐ¸Ñ… youtube ÐºÐ°Ð½Ð°Ð»Ð¾Ð².</t>
  </si>
  <si>
    <t>Women â˜•ï¸</t>
  </si>
  <si>
    <t>Is it also a musical or are they online singing in the trailer ? I donâ€™t like musicals that why i am asking ðŸ™ˆðŸ˜…</t>
  </si>
  <si>
    <t>I****m</t>
  </si>
  <si>
    <t>I hate barbie s</t>
  </si>
  <si>
    <t>k****k</t>
  </si>
  <si>
    <t>Ryan as Ken huhh, clearly Jason momoa wasnâ€™t free.</t>
  </si>
  <si>
    <t>I havent seen this movie. Not sure if I will. To those that have do Barbie and Ken have nipples and genitalia? Just wondering.</t>
  </si>
  <si>
    <t>z****3</t>
  </si>
  <si>
    <t>My dislike for the Barbie movie stems from several reasons1. The portrayal of women lacking respect for one another. And in real life women, like Barbies, are engaging in moral wrong behaviors, like stealing someone elseâ€™s partner by using attractiveness and naivety, and competing with each other regardless of the consequences. 2. Barbie often emphasizes her appearance, showing a lot of skin, and strives not to be seen as an object. Yet, it would be better to promote modesty, appropriate behavior towards men, and avoiding excessive flirting.3. The movie seems to promote the idea of women treating men as toys to be controlled, wanting their undivided attention while not reciprocating the same feelings. This portrays an unstable and unhealthy representation of women.4. Barbie and similar portrayals may inadvertently shape wrong attitudes in men, promoting the objectification of women and a lack of moral values.In summary, these aspects of the Barbie movie contribute to my overall negative perception of itAnd if Barbie would have been a real life person. She would have been pregnant (which is nothing wrong about that, as long she chosen the right person and is willing to commit a serious relationship in many levels) but yet she would leave the man for someone else, because she â€œdoesnâ€™t feel itâ€ The child would be collateral damage and he or she (the child) would not know what a stable and good family would look and behave like. She would then find her joy in life, multiple times and she would not care for her child in the appropriate way. Because her ego is too big and important. Her ex. Would be annoyed by her;m, so he would behave stupidly. She is constantly trying to find satisfaction in material things and in her carrier or from the love aspect. But this poor little women isnâ€™t finding it. So the world is to blame! And especially the men. If she would have raised a boy. This boy, wouldnâ€™t be raised a good men. So the vicious cycle is continuing. And all the other women, would portray this women, as a strong feminist. Somewhere in life we have to hold on to commitment and sacrifice. Which this movie isnâ€™t showing!</t>
  </si>
  <si>
    <t>ðŸ¤¢ðŸ¤®ðŸ¤®ðŸ¤®ðŸ¤¢ðŸ¤®ðŸ¤¢ðŸ¤¢ðŸ¤®ðŸ¤®ðŸ‘ŽðŸ‘ŽðŸ‘ŽðŸ‘ŽðŸ‘ŽðŸ‘Ž N</t>
  </si>
  <si>
    <t>People will going to actually waste time to watch this.</t>
  </si>
  <si>
    <t>æ—¥æœ¬äººãŒå¤§é‡ã«æ­»ã‚“ã ä¸å¹¸ãªæ­´å²ã¯ã‚¢ãƒ¡ãƒªã‚«äººã«ã¨ã£ã¦ã¯é¢ç™½ã„ã“ã¨ãªã‚“ã ã­ N</t>
  </si>
  <si>
    <t>Like toy story</t>
  </si>
  <si>
    <t>Oppenheimer&gt;&gt;&gt;&gt;&gt;BarbieSlava RussiaZ</t>
  </si>
  <si>
    <t>White privilege at its finest.</t>
  </si>
  <si>
    <t>tired and without sense...ðŸ™„</t>
  </si>
  <si>
    <t>was honestly a rlly good movie</t>
  </si>
  <si>
    <t>L****u</t>
  </si>
  <si>
    <t>Hollyweird at it again, pure BRAIN ROT</t>
  </si>
  <si>
    <t>Idiot movie</t>
  </si>
  <si>
    <t>ryan gosling talking so much in a movie is un real for me</t>
  </si>
  <si>
    <t>And that is how she became Harley Quinn ðŸ˜®...</t>
  </si>
  <si>
    <t>ðŸ¤®ðŸ‘ŽðŸ¤®ðŸ‘ŽðŸ¤®ðŸ‘ŽðŸ¤®ðŸ‘ŽðŸ¤®ðŸ¤®ðŸ¤®ðŸ‘ŽðŸ¤®ðŸ‘ŽðŸ‘ŽðŸ¤®ðŸ¤®ðŸ‘ŽðŸ¤®ðŸ‘ŽðŸ¤®ðŸ‘ŽðŸ¤®ðŸ¤®ðŸ‘ŽðŸ¤®ðŸ¤®ðŸ‘ŽðŸ¤®ðŸ‘ŽðŸ¤®ðŸ‘ŽðŸ¤®ðŸ‘ŽðŸ¤®ðŸ‘ŽðŸ¤®ðŸ¤®ðŸ‘ŽðŸ¤®ðŸ‘ŽðŸ¤®ðŸ¤®ðŸ‘ŽðŸ¤®ðŸ‘ŽðŸ‘ŽðŸ¤®ðŸ‘ŽðŸ¤®ðŸ¤®ðŸ‘ŽðŸ¤®ðŸ‘ŽðŸ‘ŽðŸ¤®ðŸ¤®ðŸ‘ŽðŸ¤®ðŸ‘ŽðŸ¤®ðŸ‘ŽðŸ¤®ðŸ‘ŽðŸ¤®ðŸ‘ŽðŸ¤®ðŸ¤®ðŸ‘ŽðŸ¤®ðŸ‘ŽðŸ¤®ðŸ‘ŽðŸ¤®ðŸ‘ŽðŸ¤®ðŸ‘ŽðŸ¤®ðŸ‘ŽðŸ¤®ðŸ¤®ðŸ¤®ðŸ‘ŽðŸ¤®ðŸ¤®ðŸ‘ŽðŸ¤®ðŸ‘ŽðŸ¤®ðŸ‘ŽðŸ¤®ðŸ‘ŽðŸ‘ŽðŸ¤® N</t>
  </si>
  <si>
    <t>if you hate barbie, you'll love it". Nope, I hate barbie and after seeing the movie with a friend I hate barbie even more. 2/10 movie.</t>
  </si>
  <si>
    <t>Seriously this bs movie watchedMore than Oppenheimer lmao clown world</t>
  </si>
  <si>
    <t>8****o</t>
  </si>
  <si>
    <t>CAN U MAKE A WORST MOVIE OF ALL TIMES THIS WAS IT</t>
  </si>
  <si>
    <t>worse movie trailer ever ðŸ˜‘ðŸ˜‘</t>
  </si>
  <si>
    <t>ÙˆØ§ÙˆÙˆÙˆÙˆ ÙƒØªÙŠØ± Ø­Ù„Ùˆ ÙÙ„Ù… Ø¨Ø±Ø¨ÙŠâ¤â¤â¤â¤ N</t>
  </si>
  <si>
    <t>my new favorite movie â¤â¤â¤</t>
  </si>
  <si>
    <t>this barbie is not beautiful</t>
  </si>
  <si>
    <t>I just loved the part where Barbie pretends to like Ken feigns interest in his hobies And when Ken tries to win her love she openly spits on his feelings You see Barbie was secretly plotting against him . Emotionally manipulating him for the specific purpose to hurt himAnd she is presented as the "good " person</t>
  </si>
  <si>
    <t>openhiemer betteeeerðŸ’€</t>
  </si>
  <si>
    <t>Ð³Ð´Ðµ Ñ€ÑƒÑÑÐºÐ¸Ðµ N</t>
  </si>
  <si>
    <t>ðŸ˜¢ðŸ˜¢ðŸ˜¢ðŸ˜¢ N</t>
  </si>
  <si>
    <t>it were also a lot of Barbie people here ðŸ¤” with Barbie small brains</t>
  </si>
  <si>
    <t>r****a</t>
  </si>
  <si>
    <t>Saw this movie. Felt awkward and left the theatre thinking my money got wasted. Then saw thereâ€™s another movie screening in another audi in 15 mins. Bought a ticket in the last moment. Cried and felt relieved till the end. That movie was OPPENHEIMER.</t>
  </si>
  <si>
    <t>oh she looks so old. i don't mean adult but too old</t>
  </si>
  <si>
    <t>WspaniaÅ‚y film, nie tylko dla fanÃ³w Barbieâ¤â¤Polecam!â¤ðŸ˜â¤</t>
  </si>
  <si>
    <t>I got a dream were i got lost in the barbie building and after I waka up i eternally went crazy</t>
  </si>
  <si>
    <t>July 21st is my birthday</t>
  </si>
  <si>
    <t>You can see through that you don't care about other people's pain, even though you are sensitive to your own pain. It's a flimsy movie.</t>
  </si>
  <si>
    <t>Pink..pink...pink. Everywhere is pink</t>
  </si>
  <si>
    <t>x****2</t>
  </si>
  <si>
    <t>ðŸ’˜Hi Barbie</t>
  </si>
  <si>
    <t>I don't like American accent, therefore this film is not for me.</t>
  </si>
  <si>
    <t>What i don't get is, how come barbie isn't played by lizzo, or dylan mulwaney (or whatever is his name, you know, the bud beer guy).</t>
  </si>
  <si>
    <t>Feminism in its dirtiest form â˜•ï¸</t>
  </si>
  <si>
    <t>Is their Aishwarya Rai here</t>
  </si>
  <si>
    <t>Sala pura pink pink bak madharchod</t>
  </si>
  <si>
    <t>ðŸ¤®ðŸ¤®ðŸ¤®ðŸ¤®ðŸ¤®ðŸ¤®ðŸ¤®ðŸ¤®ðŸ¤® N</t>
  </si>
  <si>
    <t>DOGECOÄ°N DOGECOÄ°N â™¥ï¸â™¥ï¸â™¥ï¸</t>
  </si>
  <si>
    <t>bro margot robbies â€œohâ€ in the school scene ðŸ˜¢ðŸ˜¢ and when she cried and when the new barbieland made her cry &lt;/3</t>
  </si>
  <si>
    <t>ðŸ¥° love it</t>
  </si>
  <si>
    <t>ðŸ«¶ N</t>
  </si>
  <si>
    <t>I watched the movie but everyone says they donâ€™t like it like why</t>
  </si>
  <si>
    <t>WHY IS IT DELAYED IN UAE FOR A WHOLE MONTH ðŸ˜­ðŸ˜­</t>
  </si>
  <si>
    <t>DANG DANG out now.</t>
  </si>
  <si>
    <t>Just watched this movie, I would say that this movie is not suitable for kids because there's a subliminal message about men are stupid and women deserve to be in power. They're showing how stupid the men of mattel was and portraying ken in the GAYest way possible. Teaching kids the word fascist, sexist, feminist, patriarchy which most of lgbt woke people normally use.</t>
  </si>
  <si>
    <t>ãªãœãƒ¯ãƒ¼ãƒŠãƒ¼ãƒ–ãƒ©ã‚¶ãƒ¼ã‚¹æœ¬ç¤¾ã¯ãƒ¡ãƒ‡ã‚£ã‚¢ã«å¯¾ã—ã¦ã ã‘å£°æ˜Žã‚’å‡ºã—ãŸã®ã§ã™ã‹ï¼Ÿæ—¥æœ¬äººå…¨å“¡ã«è¬ã£ã¦ãã ã•ã„ã€‚ãƒ¡ãƒ‡ã‚£ã‚¢ã ã‘ã˜ã‚ƒãªãã¦ã€å…¬å¼ã®å ´ã§è¬ã£ã¦ãã ã•ã„ã€‚è»½ã€…ã—ããƒãƒƒãƒˆãƒŸãƒ¼ãƒ ã«ã—ã¦è‰¯ã„è©±ã§ã¯ã‚ã‚Šã¾ã›ã‚“ã€‚S H A M E O N Y O U!!!!!</t>
  </si>
  <si>
    <t>I know for sure I will never watch this</t>
  </si>
  <si>
    <t>BA</t>
  </si>
  <si>
    <t>Cilian murphy fansâ¤</t>
  </si>
  <si>
    <t>Everybodyâ€™s complaining they turned the movie woke and too feminist but I donâ€™t see any evidence of that. This looks awesome lol ðŸ˜‚ kinda cheesy but awesome.</t>
  </si>
  <si>
    <t>L****1</t>
  </si>
  <si>
    <t>She's mid</t>
  </si>
  <si>
    <t>The movie is amazing!!!!!!!! ðŸŽ‰</t>
  </si>
  <si>
    <t>I love barbie, had a great childhood with them. The film was just poorly written. They seem to think women are stupid and men are useless and we should all be separate.Everyone is sad in both barbie land and the real world. And the sadness issue doesn't get resolved.The only time the barbies and Ken's are in love and get along happy is during the patriarchy which is confusing because it gives the opposite message of what the film wanted.But the set and costume design were great aswell as the actors were entertainingThe "this movie wasn't made for you" comment still pending</t>
  </si>
  <si>
    <t>Never knew they casted me as ken</t>
  </si>
  <si>
    <t>I didn't expect to go see a Barbie movie and cry as hard as I did at the final scene. This masterpiece of a movie made me think to myself "Oh, I love being a woman" â¤</t>
  </si>
  <si>
    <t>LK</t>
  </si>
  <si>
    <t>c****m</t>
  </si>
  <si>
    <t>After watching Barbenhiemer, â€œNow Iâ€™ve become Barbie, destroyer of world.â€</t>
  </si>
  <si>
    <t>Just watch oppenheimer, better to spend your 10 dollars on action if you are an adult</t>
  </si>
  <si>
    <t>NOT A GOOD MOVIE</t>
  </si>
  <si>
    <t>The fact that he slapped her and she punched him and she got in jailðŸ’€âœ‹ðŸ˜­</t>
  </si>
  <si>
    <t>z****2</t>
  </si>
  <si>
    <t>More fantasy brain washing trash on the big screen ..ðŸ˜‚</t>
  </si>
  <si>
    <t>Is it sad</t>
  </si>
  <si>
    <t>11/10 N</t>
  </si>
  <si>
    <t>Is the voice in song is of jiminaaðŸ’œ</t>
  </si>
  <si>
    <t>Barbie gotta escape the Matrix big time here</t>
  </si>
  <si>
    <t>N****Z</t>
  </si>
  <si>
    <t>Went to see it, the worst movie I ever watched, horrible 0-10</t>
  </si>
  <si>
    <t>0/10 N</t>
  </si>
  <si>
    <t>n****f</t>
  </si>
  <si>
    <t>æµçŸ³è‡ªç”±ã®å›½ã‚¢ãƒ¡ãƒªã‚«ðŸ‡ºðŸ‡¸ðŸ‘ðŸ‘å·®åˆ¥æ²»å®‰ã®æ‚ªã•è«¸ã€…ä¸–ç•Œãƒˆãƒƒãƒ—ã‚¯ãƒ©ã‚¹ðŸ‘ N</t>
  </si>
  <si>
    <t>Can someone explain why everyone is so hype</t>
  </si>
  <si>
    <t>mga Pink..hahaha</t>
  </si>
  <si>
    <t>This movie is more about Ken than Barbie</t>
  </si>
  <si>
    <t>My friend and I were so excited to see this movie. It was soooo boring, she about fell asleep , and I just kept waiting for it to get better. ( The acting is great, the production is great, but the plot was lacking.</t>
  </si>
  <si>
    <t>M****h</t>
  </si>
  <si>
    <t>ðŸ’…ðŸ’‹ðŸ’–ðŸ’–ðŸ’–ðŸ’–ðŸ’–ðŸ’–ðŸ’–ðŸ’–ðŸ’–ðŸ’–ðŸ’–ðŸ’–ðŸ’–ðŸ’–ðŸ’–ðŸ’–ðŸ’–ðŸ’–ðŸ’–ðŸ’– N</t>
  </si>
  <si>
    <t>Im love barbes toyAnd im love tis movie barbes</t>
  </si>
  <si>
    <t>This movie really hits me, maybe because i'm still at point of existential crisis finding a meaning of what my purpose is. Definitely a 10/10 recommended!ðŸ’™</t>
  </si>
  <si>
    <t>If Hasbro ever decides to make another Jem movie, I hope they watch Barbie and take notes. This is how you bring a doll franchise to life.</t>
  </si>
  <si>
    <t>Good job, Greta Gerwig. Your writing ideology becomes the JOKE of this movie.How ironic that KEN ends up being the highlight of the show for everyone and overshadowing a movie about your men hating radical feminist ideology point of view failure. ðŸ˜‚ðŸ˜‚ðŸ˜‚ðŸ˜‚ðŸ˜‚</t>
  </si>
  <si>
    <t>H****z</t>
  </si>
  <si>
    <t>I feel bad about this movie because the person who acts as barbie is LITERALLY HARLEY QUINN LIKE WHAT DO YOU EXPECT?! A PYSCHOPATH HALF VILLIAN E-GIRL TO ACT AS THE "NICE" INNOCENT GIRLY BARBIE?! HEHHH</t>
  </si>
  <si>
    <t>wtf i just watch</t>
  </si>
  <si>
    <t>I canâ€™t wait ! â¤</t>
  </si>
  <si>
    <t>911 flight is also going to be a summer to rememberâœˆï¸ðŸ”¥ðŸ¢</t>
  </si>
  <si>
    <t>I watch the new Barbie movie just two minutes ago. I got back but the movie were so good. The movie gone are the two hours. I watch it at the movie theaters you guys should go. I know it was movie with like three weeks ago but itâ€™s good.âœŒðŸ¿ðŸ’„ðŸ’…ðŸ¾</t>
  </si>
  <si>
    <t>I watched at the cinema SM LIGHT</t>
  </si>
  <si>
    <t>Rated pg 13</t>
  </si>
  <si>
    <t>ðŸ¦¶ N</t>
  </si>
  <si>
    <t>I watched the whole movie in the movie theater and it was so fun</t>
  </si>
  <si>
    <t>Itâ€™s funny and sweet and sad &amp; thought-provoking, all at once. Go see it!</t>
  </si>
  <si>
    <t>silly stuipid movie. waste of time</t>
  </si>
  <si>
    <t>It's the same gnostic story repackaged but what really is surprising is the Barbies are so hard core fascist that one of the Ken's had to pretend to be a Barbie to get ahead. And for the first time you considered fascism good in one way which really shows how you've shifted from we must have chaos to unless we can get this form of headship.</t>
  </si>
  <si>
    <t>E****2</t>
  </si>
  <si>
    <t>Saw it today, and had Greta Gerwig been caught up with the news about Barbie dolls, the movie would have seen historical figure ones like Sally Ride Bessie Coleman Billie Jean King and Naomi Osaka.</t>
  </si>
  <si>
    <t>RYAN GOSLING DOES NOT LOOK BLONDE OR LOOK LIKE KEN YALL DID A GARBAGE WITH THE KEN ACTOR</t>
  </si>
  <si>
    <t>youâ€™re kenough ðŸ«¡</t>
  </si>
  <si>
    <t>åŽŸçˆ†ã®è¦ç´ ã¯ã©ã“ã«? N</t>
  </si>
  <si>
    <t>Kangana is best Barbi</t>
  </si>
  <si>
    <t>y****h</t>
  </si>
  <si>
    <t>I saw this movie and was really disappointedâ€¦.. Iâ€™m a fan of Margot Robbie so I will say sheâ€™s the best thing about this movie but the writer left this movie unfinished and it was more like watching half a movie since the ending was just another beginningâ€¦. It should be a series on Netflix not a movie.</t>
  </si>
  <si>
    <t>This is now my favorite movie.</t>
  </si>
  <si>
    <t>Im Japanese and now hate Barbie and Mattel as this official film account liked the tweet of berbenheimer make fun of atomic bomb saying â€œ itâ€™s going to be a summer to rememberâ¤â€ yes 6th of the august is the day US dropped the bomb in Hiroshima so you remember that Warner brothers and Berbie film official</t>
  </si>
  <si>
    <t>trash movie</t>
  </si>
  <si>
    <t>K****x</t>
  </si>
  <si>
    <t>Did you guys know, Barbie came out first in Japan. Just like the thing the other movie is about.</t>
  </si>
  <si>
    <t>æˆ‘å€’è¦çœ‹çœ‹ç¾Žå›½äººçš„çˆ¹å¦ˆç”Ÿå‡ºä¸ªä»€ä¹ˆ3äº¿ç¾Žå›½äººç§ç¾Žå›½3äº¿äººç§åªè¦èµ¢ä¸‹ä½ ä¸­å›½çˆ·çˆ·ä¸å°±å¥½äº†å—,å…¨æ˜¯ä¸­å›½çˆ·çˆ·çš„è£è€€ç¾Žå›½3äº¿è·ªèˆ”å®¶æ¯ç‹—é€¼çš„äººç§æ»šå›žä½ å®¶ç¾Žå›½è€æ¯æ­»ç‹—é€¼é‡Œé¢åŽ»ç¾Žå›½3äº¿äººç§ä½ çˆ¹çœŸä¼šæ—¥ä½ å¦ˆçš„å‚»é€¼ç”Ÿå‡ºä½ è¿™ä¸ªå¼±æ™ºäººç§,3äº¿ç¾Žå›½äººå…¨æ˜¯å¼±æ™ºå­¬ç§ç¾Žå›½3äº¿æˆ˜è´¥å›½æ…°é—®æ—¥æœ¬äººçš„äººç§,åžƒåœ¾è¾“ç‹—å›½å®¶æ»šå›žä½ å®¶è€æ¯æ­»ç‹—è‡­é€¼é‡Œé¢åŽ»æ²¡å…³ç³»,å›½å®¶ä¼šç”¨å¥³ç‹—æ…°é—®ä¾µç•¥è€…çš„ç¾Žå›½3äº¿è¾“ç‹—ä½ çˆ¹æ˜¯ä¼šæ—¥ä½ å®¶ç‹—æ¯æ­»å‚»é€¼çš„ N</t>
  </si>
  <si>
    <t>Last time I went to the theater, I wasn't going there to watch Barbie, but I saw a lot of women dressed up like Barbie.</t>
  </si>
  <si>
    <t>E****5</t>
  </si>
  <si>
    <t>Our Work is Never OverðŸ—¿ðŸ—¿</t>
  </si>
  <si>
    <t>This movie is so good ðŸ˜</t>
  </si>
  <si>
    <t>So it basically matrix for girls</t>
  </si>
  <si>
    <t>â€œAuthority should be derived from the consent of the governedâ€”not by the threat of force!â€</t>
  </si>
  <si>
    <t>I saw this movie today and let me just say this movie is more than just silly jokes and singing it actually provokes a lot of emotions and it was 10x better than I expected it to be.</t>
  </si>
  <si>
    <t>h****s</t>
  </si>
  <si>
    <t>THIS MOVIE WAS THE BOMB,I strongly recommend</t>
  </si>
  <si>
    <t>q****s</t>
  </si>
  <si>
    <t>This movie fits Disney no Warner Bros</t>
  </si>
  <si>
    <t>FLATTT FEEEEEET!!! 051</t>
  </si>
  <si>
    <t>Garbage ðŸ¤¢</t>
  </si>
  <si>
    <t>Entrance gate to Sodom and Gomorrah.</t>
  </si>
  <si>
    <t>Rubbish</t>
  </si>
  <si>
    <t>I have heard that during the pitch, Margot Robbie told WB that this movie would make $1 Billion. She may have been underestimating a bit.</t>
  </si>
  <si>
    <t>Available on Netflix?</t>
  </si>
  <si>
    <t>K****d</t>
  </si>
  <si>
    <t>best movie ever... perfect 10. so cute</t>
  </si>
  <si>
    <t>Ryan Gosling has made the part of Ken cool ðŸŒ </t>
  </si>
  <si>
    <t>L****j</t>
  </si>
  <si>
    <t>This movie is nothing but another pathetic attempt at ruining another generation of girls with male hating feminist propaganda about the â€œpatriarchyâ€.</t>
  </si>
  <si>
    <t>For kids it's really ok to watch but for adults?come on it's rubbish and not real and why some people compare this garbage with Oppenheimer?</t>
  </si>
  <si>
    <t>Do you know that Barbie is 12+ I am 8 so Iâ€™m too young to watch it</t>
  </si>
  <si>
    <t>anyone know when its coming to youtube though? preorder doesnt give a date</t>
  </si>
  <si>
    <t>Fack that movis just</t>
  </si>
  <si>
    <t>Oppenheimer entered the chat ðŸ’€</t>
  </si>
  <si>
    <t>My Libtard Sensors are going off the chart! If I cringed any harder my face would fall off. I see Feminism, LGBT, Womens Rights. A hint of BLM is squeezed in there right at the end. Feed your head. Just be careful.</t>
  </si>
  <si>
    <t>Woah woah woah woah, wait a minute! Hold the phones! Did they just rip off of the Matrix!?</t>
  </si>
  <si>
    <t>Alt tarafÄ± bir disney film neden bu kadar abartÄ±ldÄ± anlamÄ±ÅŸ deÄŸilim ne alaka yani</t>
  </si>
  <si>
    <t>Can I talk to a doctor? I am a doctor"</t>
  </si>
  <si>
    <t>27 ekimden sonra zirvede tek bir film olcak</t>
  </si>
  <si>
    <t>My favourite part was when Margot Robbie went its Barbiin time</t>
  </si>
  <si>
    <t>Where can we see this ?Netflix??</t>
  </si>
  <si>
    <t>Please don't insult Japan.</t>
  </si>
  <si>
    <t>9 11 ãŒã‚¸ãƒ§ãƒ¼ã‚¯ã«ã•ã‚ŒãŸã‚‰æ€’ã‚‰ãªã„ã®ã‹ãªï¼Ÿ N</t>
  </si>
  <si>
    <t>Hari Nef saying FLAT FEET is a mood</t>
  </si>
  <si>
    <t>Itâ€™s going to be a summer rememberðŸ’“ðŸ’£ðŸª³ðŸª³ðŸª³ðŸª³ðŸª³ðŸª³ðŸª³ðŸª°ðŸª³ðŸ¦ŸðŸ•·ï¸ðŸ—½ðŸ”¥ðŸ’£ðŸ’•ðŸ’•</t>
  </si>
  <si>
    <t>i am probably the only one who didn't like the movie lol like i slept through half of it and i am a huge barbie fan</t>
  </si>
  <si>
    <t>ã‚ªãƒžãƒ¼ã‚¸ãƒ¥ã™ã‚‹ãªã‚‰ã€ã“ã®æ¬§ç±³äººé”ãŒåŽŸçˆ†ã®çˆ†ç™ºã«å·»ãè¾¼ã¾ã‚Œã‚‹ã‚ˆã†ã«ã‚„ã£ã¦æ¬²ã—ã„ã­ã€‚ç¶ºéº—ãªç™½ã„çš®è†šãŒç„¼ã‘çˆ›ã‚Œã¦ã€è‡ªæ…¢ã®ãƒ–ãƒ­ãƒ³ãƒ‰ã®é«ªã¯ç„¼ã‘è½ã¡ã¦ã€æ­»ã‚“ã§ã‚‹å­ä¾›ã‚’æŠ±ã„ã¦ã“ã®å­ã‚’åŠ©ã‘ã¦ãã‚Œã¨æ¼”ã˜ã¦ãã‚Œã‚ˆä»Šå›žã®ã“ã¨ãŒã‚ã£ã¦9.11ãƒ†ãƒ­ã«å¯¾ã—ã¦è¿½æ‚¼ã™ã‚‹æ°—ç„¡ããªã‚Šã¾ã—ãŸã€‚ã¾ãŸã€è‡ªå›½ãŒæˆ¦å ´ã«ãªã£ãŸæ–¹ãŒã„ã„ã‚“ã˜ã‚ƒãªã„ï¼Ÿ N</t>
  </si>
  <si>
    <t>my aunt take me to the movie is adult movie this movie created by a long time ago?</t>
  </si>
  <si>
    <t>I like Barbie she so funny ðŸ˜‚â¤ðŸ˜Š and she good too ðŸ˜˜ðŸ’Ÿâ˜ºï¸</t>
  </si>
  <si>
    <t>Wait they are doing all white roots movie</t>
  </si>
  <si>
    <t>Klaus Barbenheimer !!</t>
  </si>
  <si>
    <t>WHAT`S That ?? A nightmare in pink ??</t>
  </si>
  <si>
    <t>M****g</t>
  </si>
  <si>
    <t>I watched the Barbie movie yesterday and..."Humans only have one ending. Ideas live forever." â¤â¤â¤</t>
  </si>
  <si>
    <t>barbie x Oppenheimer</t>
  </si>
  <si>
    <t>G****6</t>
  </si>
  <si>
    <t>Yo the trailer looks cool especially my girl Harley Quinn in it ðŸ”¥ðŸ”¥ðŸ”¥ðŸ”¥</t>
  </si>
  <si>
    <t>ridiculous that this carrot of a movie is going to gross over a billion...what is wrong with this new world..!!!..for sure the factory of morons..</t>
  </si>
  <si>
    <t>Love this</t>
  </si>
  <si>
    <t>For Godsaje</t>
  </si>
  <si>
    <t>62million view</t>
  </si>
  <si>
    <t>That movie very bad ( la vÃ©ritÃ© men whomen)</t>
  </si>
  <si>
    <t>Iâ€™ve always hated barbie, but this looks genuinely fun. I might actually watch it</t>
  </si>
  <si>
    <t>**I WOULD LOVE TO SEE KEN AND BARBIE VOMITING ON EACH OTHER WHILE LISTENING TO "ENDLESS LOVE" BY LIONEL RICHIE AND DIANA ROSS. THIS WOULD MY SHITIFUL LIFE INFINITELY BETTER!!** --- ROSEANNE BARR</t>
  </si>
  <si>
    <t>People paid to see this?</t>
  </si>
  <si>
    <t>V****5</t>
  </si>
  <si>
    <t>Will this "movie work" also be available in Iran or Afghanistan???ðŸ¤£ðŸ˜„ðŸ¥³ðŸ˜„</t>
  </si>
  <si>
    <t>b****U</t>
  </si>
  <si>
    <t>ã‚±ãƒ„ãƒ‡ã‚«ãƒ”ãƒ³ã‚°ãƒ¼ fc2</t>
  </si>
  <si>
    <t>ã‚±ãƒ„ãƒ‡ã‚«ãƒ”ãƒ³ã‚°ãƒ¼ã€€fc2</t>
  </si>
  <si>
    <t>i love barbie â¤â¤</t>
  </si>
  <si>
    <t>PinkÂ² â™¥ï¸ðŸ˜šðŸ’–</t>
  </si>
  <si>
    <t>Prepare for a glamtastic, giggle-filled adventure like no other! With dazzling fashion moments, hilarious characters, and infectious songs that'll have you dancing in your seat, this movie is a must-watch for all Barbie fans. Get ready to unleash your inner glamazon and be whisked away on a sparkling journey you won't soon forget!"</t>
  </si>
  <si>
    <t>SH</t>
  </si>
  <si>
    <t>The levels of stupidity in that movie are overwhelming</t>
  </si>
  <si>
    <t>Jimin's outfit</t>
  </si>
  <si>
    <t>BIGEST FAN EVER FOR EVER BARBIE BARBIE BARBIE BARBIE !!!!!!!!!!!!!!!!!!!!!!!!!!!!!!!!!!!!!!!!!!!!!!!!!!!!!!!!!!!!!!!!!!!!!!!!!!!!!!!!!!!!!!!!!!!!!!!!!!!!!!!!!!!!!!!!!!!!!!!!!!!!!!!!!!!!!!!!!!!!!!!!!!!!!!!!!!!!!!!!!!!!!!!!!!!!!!!!!!!!!!!!!!!!!!!!!!!!!!!!!!!!!!!!!!!!!!!!!!!!!!</t>
  </si>
  <si>
    <t>Who all are barbie haters</t>
  </si>
  <si>
    <t>When Barbie floated out of the top of her house that was my favorite part I watched the movie already I liked it it was pretty good ðŸ˜Š</t>
  </si>
  <si>
    <t>NICE ï¼ï¼nuclear</t>
  </si>
  <si>
    <t>Hate or like this movie is for youðŸ˜‚</t>
  </si>
  <si>
    <t>I love how the shower didnâ€™t turn on ðŸ˜‚</t>
  </si>
  <si>
    <t>Oppenheimer death stare</t>
  </si>
  <si>
    <t>C****o</t>
  </si>
  <si>
    <t>030 N</t>
  </si>
  <si>
    <t>KR</t>
  </si>
  <si>
    <t>Ð¯ Ð³Ð¾Ñ‚Ð¾Ð² Ð²Ñ„Ð¹Ñ‚Ð¸ Ð·Ð° Ñ€Ð°Ð¹Ð°Ð½Ð° Ð³Ð¾ÑÐ»Ð¸Ð½Ð³Ð° N</t>
  </si>
  <si>
    <t>d****e</t>
  </si>
  <si>
    <t>Great movie!!!</t>
  </si>
  <si>
    <t>Turned out to be a woke nonsense cringe fest, I expected quite a bit of cringe, blew my predictions out of this world.</t>
  </si>
  <si>
    <t>You know on one side we have Oppenheimer; a true masterpiece of a movie made for real giga chads and we also have thisðŸ¤¢</t>
  </si>
  <si>
    <t>Everything wrong with the world in one movie. Feminism, ðŸ³ï¸â€ðŸŒˆ, and much more Absolute trash</t>
  </si>
  <si>
    <t>V****a</t>
  </si>
  <si>
    <t>Don't like the movie you're supporting ðŸ³ï¸â€ðŸŒˆ the kids will watch it and they'll be affected and also this company supports them ðŸ³ï¸â€ðŸŒˆ</t>
  </si>
  <si>
    <t>a****h</t>
  </si>
  <si>
    <t>Congrats to the marketing department of Mattel.</t>
  </si>
  <si>
    <t>I loved the part where Ken took over the Matriarchy in 1 DAY.</t>
  </si>
  <si>
    <t>Ø¹Ù† ÙÙ…ÛŒÙ†Ø³ØªÙˆ Ø¯Ø±Ø§ÙˆØ±Ø¯ÛŒØ¯ N</t>
  </si>
  <si>
    <t>ÙƒØ³ Ø§Ø®Øª Ø¨Ø§Ø±Ø¨ÙŠ Ø¹Ù„Ù‰ Ø§Ø®Øª Ø§Ù„Ù‚Ø§Ø¦Ù…ÙŠÙ† Ø¹Ù„Ù‰ Ø§Ù„ÙÙ„Ù… N</t>
  </si>
  <si>
    <t>It's great movie</t>
  </si>
  <si>
    <t>foot fetish mfs had to replay the beginning *most replayed*</t>
  </si>
  <si>
    <t>æ˜ ç”»ã¯ãŸã®ã—ãã†ã ã‘ã©ãƒ„ã‚¤ãƒƒã‚¿ãƒ¼åºƒå ±ã®ã‚¯ã‚½ãƒªãƒ—ãƒ©ã‚¤ã¨ã‚¢ãƒ¡ãƒªã‚«äººã®ä¾®è”‘çš„ãª"å†—è«‡"ãƒ„ã‚¤ãƒ¼ãƒˆãŒç„¼ãä»˜ã„ã¦é›†ä¸­ã§ããªã„ã®ã§ã¿ã¾ã›ã‚“ã€‚ã‚¢ã‚¸ã‚¢äººãŒãƒãƒªã‚¦ãƒƒãƒ‰ã§ã©ã†ã¿ã‚‰ã‚Œã¦ã„ã‚‹ã®ã‹ã‚ˆãã‚ã‹ã‚Šã¾ã—ãŸã€‚å¿˜ã‚Œã‚‰ã‚Œãªã„å¤ã«ãªã‚Šãã†ã§ã™ã€‚ N</t>
  </si>
  <si>
    <t>Bune b**k gibi film ðŸ˜‚ðŸ˜‚ðŸ˜‚</t>
  </si>
  <si>
    <t>Ken hiÃ§ yakÄ±ÅŸÄ±klÄ± olmamÄ±ÅŸ,kusura bakmayÄ±nðŸ˜œ</t>
  </si>
  <si>
    <t>Yall didnt have to gag me the way yall did. Reading me like for you page on tik tok. The movie moved me</t>
  </si>
  <si>
    <t>Nah the face is harly quinn?!</t>
  </si>
  <si>
    <t>Tch it</t>
  </si>
  <si>
    <t>I'm only 8 I can't watch I wish I could wa</t>
  </si>
  <si>
    <t>Need investment for my business ðŸ’° Anyone interested. Please comment</t>
  </si>
  <si>
    <t>How gorgeous is Margot Robbie?! ðŸ’ž</t>
  </si>
  <si>
    <t>i hate how the barbie irl is actually australian and puts on an american accent in the movie</t>
  </si>
  <si>
    <t>Oh dear gooood!!...can we have at least one movie WITHOUT WILL FERRELL!!ðŸ¤¦ðŸ»â€â™€ï¸ðŸ¤¦ðŸ»â€â™€ï¸ðŸ¤¦ðŸ»â€â™€ï¸ðŸ¤¬</t>
  </si>
  <si>
    <t>å¿˜ã‚Œã‚‰ã‚Œãªã„å¤ã«ãªã£ãŸã‚ˆã€‚å…¬é–‹ã‚’ã¨ã¦ã‚‚æ¥½ã—ã¿è¦–ã—ã¦ã„ãŸã‘ã©ç§ã®äººç”Ÿã«ãƒãƒ¼ãƒ“ãƒ¼ã‚‚ã‚¹ã‚¿ã‚¤ãƒªã‚¹ãƒˆã®ã‚±ãƒ³ã‚‚å¿…è¦ç„¡ã•ãã†ã ã‚ N</t>
  </si>
  <si>
    <t>Ù‡Ø§Ø¯ Ø§Ù„Ù…ÙØ±ÙˆØ¶ Ø§ÙŠÙƒÙˆÙ† ÙÙ„Ù… Ø§Ø·ÙØ§Ù„ ÙÙŠÙ‡ ØªØ­Ø±Ø´ Ùˆ Ù†Ø³ÙˆÙŠØ© Ùˆ Ù…Ù‚Ø§Ø±Ù†Ø§Øª Ø¨ÙŠÙ† Ø§Ù„Ù…Ø±Ø£Ø© Ùˆ Ø§Ù„Ø±Ø¬Ù„ Ùˆ ØªØ­ÙˆÙ„ Ø¬Ù†Ø³ÙŠ Ùˆ Ù…ÙˆØª ØŸ N</t>
  </si>
  <si>
    <t>This barbie is not beautiful like then ðŸ˜¥ðŸ¥º</t>
  </si>
  <si>
    <t>ALL OF U GIYS MAKE MOVIE SO GOOD SO IN WATCHING IT TODAY ðŸŽ‰â¤</t>
  </si>
  <si>
    <t>This movie is a huge disappointment</t>
  </si>
  <si>
    <t>I have watched it</t>
  </si>
  <si>
    <t>children are allowed to watch this pile of ðŸ¤¢?, wow</t>
  </si>
  <si>
    <t>PS</t>
  </si>
  <si>
    <t>ã‚„ã£ã±å£ã§ã¯ã‚¢ãƒ¡ãƒªã‚«äººã‚‚2åº¦ã¨ç¹°ã‚Šè¿”ã—ã¦ã¯ã„ã‘ãªã„ã¨ã‹è¨€ã£ã¦ã‚‹ã‘ã©æ‰€è©®ã“ã®ç¨‹åº¦ã®ã“ã¨ã¨ã—ã‹è€ƒãˆã¦ãªã„ã‚“ã ã‚ã†ãªã€‚æ—¥æœ¬äººã ã£ãŸã‚‰ã‚ã‚“ãªæŠ•ç¨¿å…¨æ–¹å‘ã‹ã‚‰è¢‹å©ãã«åˆã†ã£ã¦åˆ†ã‹ã‚‹ãŒãã‚ŒãŒåˆ†ã‹ã£ã¦ãªã‹ã£ãŸæ™‚ç‚¹ã§ã‚‚ã†å¯Ÿã™ã‚‹ã‚ã€‚æ‚²ã—ã„ã€‚ N</t>
  </si>
  <si>
    <t>This movie is nothing more than an anti-men propaganda. Don't expose your children to this garbage</t>
  </si>
  <si>
    <t>Seeing a Mattel logo, I wouldn't be surprised if there was a cameo of the HotWheels line in the movie.</t>
  </si>
  <si>
    <t>Anti men propoganda</t>
  </si>
  <si>
    <t>bro is in oppenheimer</t>
  </si>
  <si>
    <t>The vast majority of men love their women, same goes for women who love their men.</t>
  </si>
  <si>
    <t>Dora</t>
  </si>
  <si>
    <t>b****l</t>
  </si>
  <si>
    <t>omg the subtitles</t>
  </si>
  <si>
    <t>U****5</t>
  </si>
  <si>
    <t>Will release on netflix or HBO??</t>
  </si>
  <si>
    <t>Will release on netflix??</t>
  </si>
  <si>
    <t>gotta love that empowering women can only happen by putting down men. Nothing says strong like writing all your men like morons and making all your women perfect.</t>
  </si>
  <si>
    <t>ðŸ¤£ðŸ¤£ N</t>
  </si>
  <si>
    <t>,ðŸ¥°ðŸ˜ðŸ˜ðŸ˜ðŸ˜ N</t>
  </si>
  <si>
    <t>What's wrong with flat feet?ðŸ¤”</t>
  </si>
  <si>
    <t>æ—¥æœ¬äººã¯è²´æ§˜ã‚‰ã®ã“ã¨ã‚’å¿˜ã‚Œãªã„ N</t>
  </si>
  <si>
    <t>I decided to watch this and Oppenheimer after 10 years... because I'd like to forget what people have spoiling to me about them</t>
  </si>
  <si>
    <t>å…ƒã€…ã“ã‚“ãªã‚¯ã‚½ã¿ãŸã„ãªæ˜ ç”»èˆˆå‘³ãªã‹ã£ãŸã‘ã©ã€ä»Šå›žã®æ—¥æœ¬ã®åŽŸçˆ†ã‚’èŒ¶åŒ–ã—ãŸå¯¾å¿œã«ã€Žã‚¢ãƒ¡ãƒªã‚«äººã¦åŽŸçˆ†ã«ã¤ã„ã¦ã“ã†è€ƒãˆã¦ã„ã‚‹ã‚“ã ã€ã¨ã‚ã‹ã‚Šã¾ã—ãŸã€‚ä¸€èˆ¬äººã®é ­ã®æ‚ªã„ã‚¢ãƒ¡ãƒªã‚«äººãŒé¦¬é¹¿ãªè¡Œç‚ºã‚’ã™ã‚‹ã®ã¯ã‚ã‹ã‚‹ã‘ã©ã€å…¬å¼ãŒæ—¥æœ¬äººã®å¿ƒã‚’å‚·ã¤ã‘ã‚‹ã‚“ã ã­ã€‚ã‚¢ãƒ¡ãƒªã‚«äººã¯ãã†ã„ã†äººç¨®ãªã‚“ã ã¨ã‚ã‹ã‚Šã¾ã—ãŸã€‚ N</t>
  </si>
  <si>
    <t>I'M A MIKEY BOI LIVEING&gt;&gt; IN A MIKEY WORLD!!ðŸ‘ŠðŸ‘ŠðŸŽ¥ðŸ˜ŽðŸ‘ðŸ‘ðŸ¤œðŸ¤œðŸ¤›ðŸ”¥ðŸ”¥ðŸ˜˜ðŸ˜ðŸ¥°ðŸ¤£ðŸŽðŸŽðŸ¤ ðŸ¤ ðŸŽˆðŸŽˆðŸ˜¨ðŸ˜®ðŸ˜ðŸˆðŸ¥Žâš½âš¾</t>
  </si>
  <si>
    <t>i swear is this antagonist dude the same guy who plays president business in the lego movie</t>
  </si>
  <si>
    <t>woke garbage</t>
  </si>
  <si>
    <t>Clean Text</t>
  </si>
  <si>
    <t xml:space="preserve">Country </t>
  </si>
  <si>
    <t xml:space="preserve">Alpha-2 code </t>
  </si>
  <si>
    <t>Afghanistan</t>
  </si>
  <si>
    <t>AF</t>
  </si>
  <si>
    <t>Albania</t>
  </si>
  <si>
    <t>AL</t>
  </si>
  <si>
    <t>Algeria</t>
  </si>
  <si>
    <t>American Samoa</t>
  </si>
  <si>
    <t>AS</t>
  </si>
  <si>
    <t>Andorra</t>
  </si>
  <si>
    <t>AD</t>
  </si>
  <si>
    <t>Angola</t>
  </si>
  <si>
    <t>AO</t>
  </si>
  <si>
    <t>Anguilla</t>
  </si>
  <si>
    <t>AI</t>
  </si>
  <si>
    <t>Antarctica</t>
  </si>
  <si>
    <t>AQ</t>
  </si>
  <si>
    <t>Antigua and Barbuda</t>
  </si>
  <si>
    <t>AG</t>
  </si>
  <si>
    <t>Argentina</t>
  </si>
  <si>
    <t>Armenia</t>
  </si>
  <si>
    <t>AM</t>
  </si>
  <si>
    <t>Aruba</t>
  </si>
  <si>
    <t>AW</t>
  </si>
  <si>
    <t>Australia</t>
  </si>
  <si>
    <t>Austria</t>
  </si>
  <si>
    <t>Azerbaijan</t>
  </si>
  <si>
    <t>Bahamas (the)</t>
  </si>
  <si>
    <t>BS</t>
  </si>
  <si>
    <t>Bahrain</t>
  </si>
  <si>
    <t>BH</t>
  </si>
  <si>
    <t>Bangladesh</t>
  </si>
  <si>
    <t>Barbados</t>
  </si>
  <si>
    <t>BB</t>
  </si>
  <si>
    <t>Belarus</t>
  </si>
  <si>
    <t>Belgium</t>
  </si>
  <si>
    <t>Belize</t>
  </si>
  <si>
    <t>BZ</t>
  </si>
  <si>
    <t>Benin</t>
  </si>
  <si>
    <t>BJ</t>
  </si>
  <si>
    <t>Bermuda</t>
  </si>
  <si>
    <t>BM</t>
  </si>
  <si>
    <t>Bhutan</t>
  </si>
  <si>
    <t>BT</t>
  </si>
  <si>
    <t>Bolivia (Plurinational State of)</t>
  </si>
  <si>
    <t>BO</t>
  </si>
  <si>
    <t>Bonaire, Sint Eustatius and Saba</t>
  </si>
  <si>
    <t>BQ</t>
  </si>
  <si>
    <t>Bosnia and Herzegovina</t>
  </si>
  <si>
    <t>Botswana</t>
  </si>
  <si>
    <t>BW</t>
  </si>
  <si>
    <t>Bouvet Island</t>
  </si>
  <si>
    <t>BV</t>
  </si>
  <si>
    <t>Brazil</t>
  </si>
  <si>
    <t>British Indian Ocean Territory (the)</t>
  </si>
  <si>
    <t>IO</t>
  </si>
  <si>
    <t>Brunei Darussalam</t>
  </si>
  <si>
    <t>BN</t>
  </si>
  <si>
    <t>Bulgaria</t>
  </si>
  <si>
    <t>Burkina Faso</t>
  </si>
  <si>
    <t>BF</t>
  </si>
  <si>
    <t>Burundi</t>
  </si>
  <si>
    <t>BI</t>
  </si>
  <si>
    <t>Cabo Verde</t>
  </si>
  <si>
    <t>CV</t>
  </si>
  <si>
    <t>Cambodia</t>
  </si>
  <si>
    <t>KH</t>
  </si>
  <si>
    <t>Cameroon</t>
  </si>
  <si>
    <t>CM</t>
  </si>
  <si>
    <t>Canada</t>
  </si>
  <si>
    <t>Cayman Islands (the)</t>
  </si>
  <si>
    <t>KY</t>
  </si>
  <si>
    <t>Central African Republic (the)</t>
  </si>
  <si>
    <t>CF</t>
  </si>
  <si>
    <t>Chad</t>
  </si>
  <si>
    <t>TD</t>
  </si>
  <si>
    <t>Chile</t>
  </si>
  <si>
    <t>CL</t>
  </si>
  <si>
    <t>China</t>
  </si>
  <si>
    <t>CN</t>
  </si>
  <si>
    <t>Christmas Island</t>
  </si>
  <si>
    <t>CX</t>
  </si>
  <si>
    <t>Cocos (Keeling) Islands (the)</t>
  </si>
  <si>
    <t>CC</t>
  </si>
  <si>
    <t>Colombia</t>
  </si>
  <si>
    <t>CO</t>
  </si>
  <si>
    <t>Comoros (the)</t>
  </si>
  <si>
    <t>KM</t>
  </si>
  <si>
    <t>Congo (the Democratic Republic of the)</t>
  </si>
  <si>
    <t>CD</t>
  </si>
  <si>
    <t>Congo (the)</t>
  </si>
  <si>
    <t>CG</t>
  </si>
  <si>
    <t>Cook Islands (the)</t>
  </si>
  <si>
    <t>CK</t>
  </si>
  <si>
    <t>Costa Rica</t>
  </si>
  <si>
    <t>CR</t>
  </si>
  <si>
    <t>Croatia</t>
  </si>
  <si>
    <t>Cuba</t>
  </si>
  <si>
    <t>CU</t>
  </si>
  <si>
    <t>Curaçao</t>
  </si>
  <si>
    <t>CW</t>
  </si>
  <si>
    <t>Cyprus</t>
  </si>
  <si>
    <t>CY</t>
  </si>
  <si>
    <t>Czechia</t>
  </si>
  <si>
    <t>CZ</t>
  </si>
  <si>
    <t>Côte d'Ivoire</t>
  </si>
  <si>
    <t>CI</t>
  </si>
  <si>
    <t>Denmark</t>
  </si>
  <si>
    <t>DK</t>
  </si>
  <si>
    <t>Djibouti</t>
  </si>
  <si>
    <t>DJ</t>
  </si>
  <si>
    <t>Dominica</t>
  </si>
  <si>
    <t>DM</t>
  </si>
  <si>
    <t>Dominican Republic (the)</t>
  </si>
  <si>
    <t>DO</t>
  </si>
  <si>
    <t>Ecuador</t>
  </si>
  <si>
    <t>EC</t>
  </si>
  <si>
    <t>Egypt</t>
  </si>
  <si>
    <t>El Salvador</t>
  </si>
  <si>
    <t>SV</t>
  </si>
  <si>
    <t>Equatorial Guinea</t>
  </si>
  <si>
    <t>GQ</t>
  </si>
  <si>
    <t>Eritrea</t>
  </si>
  <si>
    <t>ER</t>
  </si>
  <si>
    <t>Estonia</t>
  </si>
  <si>
    <t>EE</t>
  </si>
  <si>
    <t>Eswatini</t>
  </si>
  <si>
    <t>SZ</t>
  </si>
  <si>
    <t>Ethiopia</t>
  </si>
  <si>
    <t>ET</t>
  </si>
  <si>
    <t>Falkland Islands (the) [Malvinas]</t>
  </si>
  <si>
    <t>FK</t>
  </si>
  <si>
    <t>Faroe Islands (the)</t>
  </si>
  <si>
    <t>FO</t>
  </si>
  <si>
    <t>Fiji</t>
  </si>
  <si>
    <t>FJ</t>
  </si>
  <si>
    <t>Finland</t>
  </si>
  <si>
    <t>FI</t>
  </si>
  <si>
    <t>France</t>
  </si>
  <si>
    <t>French Guiana</t>
  </si>
  <si>
    <t>GF</t>
  </si>
  <si>
    <t>French Polynesia</t>
  </si>
  <si>
    <t>PF</t>
  </si>
  <si>
    <t>French Southern Territories (the)</t>
  </si>
  <si>
    <t>TF</t>
  </si>
  <si>
    <t>Gabon</t>
  </si>
  <si>
    <t>GA</t>
  </si>
  <si>
    <t>Gambia (the)</t>
  </si>
  <si>
    <t>GM</t>
  </si>
  <si>
    <t>Georgia</t>
  </si>
  <si>
    <t>Germany</t>
  </si>
  <si>
    <t>Ghana</t>
  </si>
  <si>
    <t>GH</t>
  </si>
  <si>
    <t>Gibraltar</t>
  </si>
  <si>
    <t>GI</t>
  </si>
  <si>
    <t>Greece</t>
  </si>
  <si>
    <t>Greenland</t>
  </si>
  <si>
    <t>GL</t>
  </si>
  <si>
    <t>Grenada</t>
  </si>
  <si>
    <t>GD</t>
  </si>
  <si>
    <t>Guadeloupe</t>
  </si>
  <si>
    <t>GP</t>
  </si>
  <si>
    <t>Guam</t>
  </si>
  <si>
    <t>GU</t>
  </si>
  <si>
    <t>Guatemala</t>
  </si>
  <si>
    <t>GT</t>
  </si>
  <si>
    <t>Guernsey</t>
  </si>
  <si>
    <t>GG</t>
  </si>
  <si>
    <t>Guinea</t>
  </si>
  <si>
    <t>GN</t>
  </si>
  <si>
    <t>Guinea-Bissau</t>
  </si>
  <si>
    <t>GW</t>
  </si>
  <si>
    <t>Guyana</t>
  </si>
  <si>
    <t>GY</t>
  </si>
  <si>
    <t>Haiti</t>
  </si>
  <si>
    <t>HT</t>
  </si>
  <si>
    <t>Heard Island and McDonald Islands</t>
  </si>
  <si>
    <t>HM</t>
  </si>
  <si>
    <t>Holy See (the)</t>
  </si>
  <si>
    <t>VA</t>
  </si>
  <si>
    <t>Honduras</t>
  </si>
  <si>
    <t>HN</t>
  </si>
  <si>
    <t>Hong Kong</t>
  </si>
  <si>
    <t>HK</t>
  </si>
  <si>
    <t>Hungary</t>
  </si>
  <si>
    <t>Iceland</t>
  </si>
  <si>
    <t>IS</t>
  </si>
  <si>
    <t>India</t>
  </si>
  <si>
    <t>Indonesia</t>
  </si>
  <si>
    <t>Iran (Islamic Republic of)</t>
  </si>
  <si>
    <t>IR</t>
  </si>
  <si>
    <t>Iraq</t>
  </si>
  <si>
    <t>Ireland</t>
  </si>
  <si>
    <t>Isle of Man</t>
  </si>
  <si>
    <t>IM</t>
  </si>
  <si>
    <t>Israel</t>
  </si>
  <si>
    <t>IL</t>
  </si>
  <si>
    <t>Italy</t>
  </si>
  <si>
    <t>Jamaica</t>
  </si>
  <si>
    <t>Japan</t>
  </si>
  <si>
    <t>Jersey</t>
  </si>
  <si>
    <t>JE</t>
  </si>
  <si>
    <t>Jordan</t>
  </si>
  <si>
    <t>Kazakhstan</t>
  </si>
  <si>
    <t>KZ</t>
  </si>
  <si>
    <t>Kenya</t>
  </si>
  <si>
    <t>Kiribati</t>
  </si>
  <si>
    <t>KI</t>
  </si>
  <si>
    <t>Korea (the Democratic People's Republic of)</t>
  </si>
  <si>
    <t>KP</t>
  </si>
  <si>
    <t>Korea (the Republic of)</t>
  </si>
  <si>
    <t>Kuwait</t>
  </si>
  <si>
    <t>KW</t>
  </si>
  <si>
    <t>Kyrgyzstan</t>
  </si>
  <si>
    <t>KG</t>
  </si>
  <si>
    <t>Lao People's Democratic Republic (the)</t>
  </si>
  <si>
    <t>LA</t>
  </si>
  <si>
    <t>Latvia</t>
  </si>
  <si>
    <t>LV</t>
  </si>
  <si>
    <t>Lebanon</t>
  </si>
  <si>
    <t>LB</t>
  </si>
  <si>
    <t>Lesotho</t>
  </si>
  <si>
    <t>LS</t>
  </si>
  <si>
    <t>Liberia</t>
  </si>
  <si>
    <t>Libya</t>
  </si>
  <si>
    <t>LY</t>
  </si>
  <si>
    <t>Liechtenstein</t>
  </si>
  <si>
    <t>LI</t>
  </si>
  <si>
    <t>Lithuania</t>
  </si>
  <si>
    <t>LT</t>
  </si>
  <si>
    <t>Luxembourg</t>
  </si>
  <si>
    <t>LU</t>
  </si>
  <si>
    <t>Macao</t>
  </si>
  <si>
    <t>MO</t>
  </si>
  <si>
    <t>Madagascar</t>
  </si>
  <si>
    <t>MG</t>
  </si>
  <si>
    <t>Malawi</t>
  </si>
  <si>
    <t>MW</t>
  </si>
  <si>
    <t>Malaysia</t>
  </si>
  <si>
    <t>Maldives</t>
  </si>
  <si>
    <t>MV</t>
  </si>
  <si>
    <t>Mali</t>
  </si>
  <si>
    <t>ML</t>
  </si>
  <si>
    <t>Malta</t>
  </si>
  <si>
    <t>MT</t>
  </si>
  <si>
    <t>Marshall Islands (the)</t>
  </si>
  <si>
    <t>MH</t>
  </si>
  <si>
    <t>Martinique</t>
  </si>
  <si>
    <t>MQ</t>
  </si>
  <si>
    <t>Mauritania</t>
  </si>
  <si>
    <t>MR</t>
  </si>
  <si>
    <t>Mauritius</t>
  </si>
  <si>
    <t>MU</t>
  </si>
  <si>
    <t>Mayotte</t>
  </si>
  <si>
    <t>YT</t>
  </si>
  <si>
    <t>Mexico</t>
  </si>
  <si>
    <t>MX</t>
  </si>
  <si>
    <t>Micronesia (Federated States of)</t>
  </si>
  <si>
    <t>FM</t>
  </si>
  <si>
    <t>Moldova (the Republic of)</t>
  </si>
  <si>
    <t>MD</t>
  </si>
  <si>
    <t>Monaco</t>
  </si>
  <si>
    <t>MC</t>
  </si>
  <si>
    <t>Mongolia</t>
  </si>
  <si>
    <t>MN</t>
  </si>
  <si>
    <t>Montenegro</t>
  </si>
  <si>
    <t>ME</t>
  </si>
  <si>
    <t>Montserrat</t>
  </si>
  <si>
    <t>MS</t>
  </si>
  <si>
    <t>Morocco</t>
  </si>
  <si>
    <t>Mozambique</t>
  </si>
  <si>
    <t>MZ</t>
  </si>
  <si>
    <t>Myanmar</t>
  </si>
  <si>
    <t>MM</t>
  </si>
  <si>
    <t>Namibia</t>
  </si>
  <si>
    <t>Nauru</t>
  </si>
  <si>
    <t>NR</t>
  </si>
  <si>
    <t>Nepal</t>
  </si>
  <si>
    <t>Netherlands (the)</t>
  </si>
  <si>
    <t>New Caledonia</t>
  </si>
  <si>
    <t>NC</t>
  </si>
  <si>
    <t>New Zealand</t>
  </si>
  <si>
    <t>Nicaragua</t>
  </si>
  <si>
    <t>NI</t>
  </si>
  <si>
    <t>Niger (the)</t>
  </si>
  <si>
    <t>NE</t>
  </si>
  <si>
    <t>Nigeria</t>
  </si>
  <si>
    <t>Niue</t>
  </si>
  <si>
    <t>NU</t>
  </si>
  <si>
    <t>Norfolk Island</t>
  </si>
  <si>
    <t>NF</t>
  </si>
  <si>
    <t>Northern Mariana Islands (the)</t>
  </si>
  <si>
    <t>MP</t>
  </si>
  <si>
    <t>Norway</t>
  </si>
  <si>
    <t>Oman</t>
  </si>
  <si>
    <t>OM</t>
  </si>
  <si>
    <t>Pakistan</t>
  </si>
  <si>
    <t>Palau</t>
  </si>
  <si>
    <t>PW</t>
  </si>
  <si>
    <t>Palestine, State of</t>
  </si>
  <si>
    <t>Panama</t>
  </si>
  <si>
    <t>PA</t>
  </si>
  <si>
    <t>Papua New Guinea</t>
  </si>
  <si>
    <t>PG</t>
  </si>
  <si>
    <t>Paraguay</t>
  </si>
  <si>
    <t>PY</t>
  </si>
  <si>
    <t>Peru</t>
  </si>
  <si>
    <t>PE</t>
  </si>
  <si>
    <t>Philippines (the)</t>
  </si>
  <si>
    <t>Pitcairn</t>
  </si>
  <si>
    <t>PN</t>
  </si>
  <si>
    <t>Poland</t>
  </si>
  <si>
    <t>PL</t>
  </si>
  <si>
    <t>Portugal</t>
  </si>
  <si>
    <t>Puerto Rico</t>
  </si>
  <si>
    <t>PR</t>
  </si>
  <si>
    <t>Qatar</t>
  </si>
  <si>
    <t>QA</t>
  </si>
  <si>
    <t>Republic of North Macedonia</t>
  </si>
  <si>
    <t>MK</t>
  </si>
  <si>
    <t>Romania</t>
  </si>
  <si>
    <t>Russian Federation (the)</t>
  </si>
  <si>
    <t>Rwanda</t>
  </si>
  <si>
    <t>RW</t>
  </si>
  <si>
    <t>Réunion</t>
  </si>
  <si>
    <t>RE</t>
  </si>
  <si>
    <t>Saint Barthélemy</t>
  </si>
  <si>
    <t>BL</t>
  </si>
  <si>
    <t>Saint Helena, Ascension and Tristan da Cunha</t>
  </si>
  <si>
    <t>Saint Kitts and Nevis</t>
  </si>
  <si>
    <t>KN</t>
  </si>
  <si>
    <t>Saint Lucia</t>
  </si>
  <si>
    <t>LC</t>
  </si>
  <si>
    <t>Saint Martin (French part)</t>
  </si>
  <si>
    <t>MF</t>
  </si>
  <si>
    <t>Saint Pierre and Miquelon</t>
  </si>
  <si>
    <t>PM</t>
  </si>
  <si>
    <t>Saint Vincent and the Grenadines</t>
  </si>
  <si>
    <t>VC</t>
  </si>
  <si>
    <t>Samoa</t>
  </si>
  <si>
    <t>WS</t>
  </si>
  <si>
    <t>San Marino</t>
  </si>
  <si>
    <t>SM</t>
  </si>
  <si>
    <t>Sao Tome and Principe</t>
  </si>
  <si>
    <t>ST</t>
  </si>
  <si>
    <t>Saudi Arabia</t>
  </si>
  <si>
    <t>Senegal</t>
  </si>
  <si>
    <t>SN</t>
  </si>
  <si>
    <t>Serbia</t>
  </si>
  <si>
    <t>Seychelles</t>
  </si>
  <si>
    <t>SC</t>
  </si>
  <si>
    <t>Sierra Leone</t>
  </si>
  <si>
    <t>SL</t>
  </si>
  <si>
    <t>Singapore</t>
  </si>
  <si>
    <t>Sint Maarten (Dutch part)</t>
  </si>
  <si>
    <t>SX</t>
  </si>
  <si>
    <t>Slovakia</t>
  </si>
  <si>
    <t>SK</t>
  </si>
  <si>
    <t>Slovenia</t>
  </si>
  <si>
    <t>SI</t>
  </si>
  <si>
    <t>Solomon Islands</t>
  </si>
  <si>
    <t>SB</t>
  </si>
  <si>
    <t>Somalia</t>
  </si>
  <si>
    <t>SO</t>
  </si>
  <si>
    <t>South Africa</t>
  </si>
  <si>
    <t>ZA</t>
  </si>
  <si>
    <t>South Georgia and the South Sandwich Islands</t>
  </si>
  <si>
    <t>GS</t>
  </si>
  <si>
    <t>South Sudan</t>
  </si>
  <si>
    <t>SS</t>
  </si>
  <si>
    <t>Spain</t>
  </si>
  <si>
    <t>Sri Lanka</t>
  </si>
  <si>
    <t>Sudan (the)</t>
  </si>
  <si>
    <t>SD</t>
  </si>
  <si>
    <t>Suriname</t>
  </si>
  <si>
    <t>SR</t>
  </si>
  <si>
    <t>Svalbard and Jan Mayen</t>
  </si>
  <si>
    <t>SJ</t>
  </si>
  <si>
    <t>Sweden</t>
  </si>
  <si>
    <t>Switzerland</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</si>
  <si>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</si>
  <si>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</si>
  <si>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</si>
  <si>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</si>
  <si>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</si>
  <si>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</si>
  <si>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</si>
  <si>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</si>
  <si>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</si>
  <si>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</si>
  <si>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</si>
  <si>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</si>
  <si>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</si>
  <si>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</si>
  <si>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</si>
  <si>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</si>
  <si>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</si>
  <si>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</si>
  <si>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</si>
  <si>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</si>
  <si>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</si>
  <si>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Turkey</t>
  </si>
  <si>
    <t>Turkmenistan</t>
  </si>
  <si>
    <t>TM</t>
  </si>
  <si>
    <t>Turks and Caicos Islands (the)</t>
  </si>
  <si>
    <t>TC</t>
  </si>
  <si>
    <t>Tuvalu</t>
  </si>
  <si>
    <t>TV</t>
  </si>
  <si>
    <t>Uganda</t>
  </si>
  <si>
    <t>UG</t>
  </si>
  <si>
    <t>Ukraine</t>
  </si>
  <si>
    <t>UA</t>
  </si>
  <si>
    <t>United Arab Emirates (the)</t>
  </si>
  <si>
    <t>United Kingdom of Great Britain and Northern Ireland (the)</t>
  </si>
  <si>
    <t>United States Minor Outlying Islands (the)</t>
  </si>
  <si>
    <t>UM</t>
  </si>
  <si>
    <t>United States of America (the)</t>
  </si>
  <si>
    <t>Uruguay</t>
  </si>
  <si>
    <t>UY</t>
  </si>
  <si>
    <t>Uzbekistan</t>
  </si>
  <si>
    <t>UZ</t>
  </si>
  <si>
    <t>Vanuatu</t>
  </si>
  <si>
    <t>VU</t>
  </si>
  <si>
    <t>Venezuela (Bolivarian Republic of)</t>
  </si>
  <si>
    <t>VE</t>
  </si>
  <si>
    <t>Viet Nam</t>
  </si>
  <si>
    <t>VN</t>
  </si>
  <si>
    <t>Virgin Islands (British)</t>
  </si>
  <si>
    <t>VG</t>
  </si>
  <si>
    <t>Virgin Islands (U.S.)</t>
  </si>
  <si>
    <t>VI</t>
  </si>
  <si>
    <t>Wallis and Futuna</t>
  </si>
  <si>
    <t>WF</t>
  </si>
  <si>
    <t>Western Sahara</t>
  </si>
  <si>
    <t>EH</t>
  </si>
  <si>
    <t>Yemen</t>
  </si>
  <si>
    <t>YE</t>
  </si>
  <si>
    <t>Zambia</t>
  </si>
  <si>
    <t>ZM</t>
  </si>
  <si>
    <t>Zimbabwe</t>
  </si>
  <si>
    <t>ZW</t>
  </si>
  <si>
    <t>Åland Islands</t>
  </si>
  <si>
    <t>AX</t>
  </si>
  <si>
    <t>Full Country</t>
  </si>
  <si>
    <t>abandon</t>
  </si>
  <si>
    <t>abandoned</t>
  </si>
  <si>
    <t>abandons</t>
  </si>
  <si>
    <t>abducted</t>
  </si>
  <si>
    <t>abduction</t>
  </si>
  <si>
    <t>abductions</t>
  </si>
  <si>
    <t>abhor</t>
  </si>
  <si>
    <t>abhorred</t>
  </si>
  <si>
    <t>abhorrent</t>
  </si>
  <si>
    <t>abhors</t>
  </si>
  <si>
    <t>abilities</t>
  </si>
  <si>
    <t>ability</t>
  </si>
  <si>
    <t>aboard</t>
  </si>
  <si>
    <t>absentee</t>
  </si>
  <si>
    <t>absentees</t>
  </si>
  <si>
    <t>absolve</t>
  </si>
  <si>
    <t>absolved</t>
  </si>
  <si>
    <t>absolves</t>
  </si>
  <si>
    <t>absolving</t>
  </si>
  <si>
    <t>absorbed</t>
  </si>
  <si>
    <t>abuse</t>
  </si>
  <si>
    <t>abused</t>
  </si>
  <si>
    <t>abuses</t>
  </si>
  <si>
    <t>abusive</t>
  </si>
  <si>
    <t>accept</t>
  </si>
  <si>
    <t>accepted</t>
  </si>
  <si>
    <t>accepting</t>
  </si>
  <si>
    <t>accepts</t>
  </si>
  <si>
    <t>accident</t>
  </si>
  <si>
    <t>accidental</t>
  </si>
  <si>
    <t>accidentally</t>
  </si>
  <si>
    <t>accidents</t>
  </si>
  <si>
    <t>accomplish</t>
  </si>
  <si>
    <t>accomplished</t>
  </si>
  <si>
    <t>accomplishes</t>
  </si>
  <si>
    <t>accusation</t>
  </si>
  <si>
    <t>accusations</t>
  </si>
  <si>
    <t>accuse</t>
  </si>
  <si>
    <t>accused</t>
  </si>
  <si>
    <t>accuses</t>
  </si>
  <si>
    <t>accusing</t>
  </si>
  <si>
    <t>ache</t>
  </si>
  <si>
    <t>achievable</t>
  </si>
  <si>
    <t>aching</t>
  </si>
  <si>
    <t>acquit</t>
  </si>
  <si>
    <t>acquits</t>
  </si>
  <si>
    <t>acquitted</t>
  </si>
  <si>
    <t>acquitting</t>
  </si>
  <si>
    <t>acrimonious</t>
  </si>
  <si>
    <t>active</t>
  </si>
  <si>
    <t>adequate</t>
  </si>
  <si>
    <t>admire</t>
  </si>
  <si>
    <t>admired</t>
  </si>
  <si>
    <t>admires</t>
  </si>
  <si>
    <t>admiring</t>
  </si>
  <si>
    <t>admit</t>
  </si>
  <si>
    <t>admits</t>
  </si>
  <si>
    <t>admitted</t>
  </si>
  <si>
    <t>admonish</t>
  </si>
  <si>
    <t>admonished</t>
  </si>
  <si>
    <t>adopt</t>
  </si>
  <si>
    <t>adopts</t>
  </si>
  <si>
    <t>adorable</t>
  </si>
  <si>
    <t>adore</t>
  </si>
  <si>
    <t>adored</t>
  </si>
  <si>
    <t>adores</t>
  </si>
  <si>
    <t>advanced</t>
  </si>
  <si>
    <t>advantage</t>
  </si>
  <si>
    <t>advantages</t>
  </si>
  <si>
    <t>adventure</t>
  </si>
  <si>
    <t>adventures</t>
  </si>
  <si>
    <t>adventurous</t>
  </si>
  <si>
    <t>affected</t>
  </si>
  <si>
    <t>affection</t>
  </si>
  <si>
    <t>affectionate</t>
  </si>
  <si>
    <t>afflicted</t>
  </si>
  <si>
    <t>affronted</t>
  </si>
  <si>
    <t>afraid</t>
  </si>
  <si>
    <t>aggravate</t>
  </si>
  <si>
    <t>aggravated</t>
  </si>
  <si>
    <t>aggravates</t>
  </si>
  <si>
    <t>aggravating</t>
  </si>
  <si>
    <t>aggression</t>
  </si>
  <si>
    <t>aggressions</t>
  </si>
  <si>
    <t>aggressive</t>
  </si>
  <si>
    <t>aghast</t>
  </si>
  <si>
    <t>agonise</t>
  </si>
  <si>
    <t>agonised</t>
  </si>
  <si>
    <t>agonises</t>
  </si>
  <si>
    <t>agonising</t>
  </si>
  <si>
    <t>agonize</t>
  </si>
  <si>
    <t>agonized</t>
  </si>
  <si>
    <t>agonizes</t>
  </si>
  <si>
    <t>agonizing</t>
  </si>
  <si>
    <t>agree</t>
  </si>
  <si>
    <t>agreeable</t>
  </si>
  <si>
    <t>agreed</t>
  </si>
  <si>
    <t>agreement</t>
  </si>
  <si>
    <t>agrees</t>
  </si>
  <si>
    <t>alarm</t>
  </si>
  <si>
    <t>alarmed</t>
  </si>
  <si>
    <t>alarmist</t>
  </si>
  <si>
    <t>alarmists</t>
  </si>
  <si>
    <t>alas</t>
  </si>
  <si>
    <t>alert</t>
  </si>
  <si>
    <t>alienation</t>
  </si>
  <si>
    <t>alive</t>
  </si>
  <si>
    <t>allergic</t>
  </si>
  <si>
    <t>allow</t>
  </si>
  <si>
    <t>alone</t>
  </si>
  <si>
    <t>amaze</t>
  </si>
  <si>
    <t>amazed</t>
  </si>
  <si>
    <t>amazes</t>
  </si>
  <si>
    <t>ambitious</t>
  </si>
  <si>
    <t>ambivalent</t>
  </si>
  <si>
    <t>amuse</t>
  </si>
  <si>
    <t>amused</t>
  </si>
  <si>
    <t>amusement</t>
  </si>
  <si>
    <t>amusements</t>
  </si>
  <si>
    <t>anger</t>
  </si>
  <si>
    <t>angers</t>
  </si>
  <si>
    <t>angry</t>
  </si>
  <si>
    <t>anguish</t>
  </si>
  <si>
    <t>anguished</t>
  </si>
  <si>
    <t>animosity</t>
  </si>
  <si>
    <t>annoy</t>
  </si>
  <si>
    <t>annoyance</t>
  </si>
  <si>
    <t>annoyed</t>
  </si>
  <si>
    <t>annoying</t>
  </si>
  <si>
    <t>annoys</t>
  </si>
  <si>
    <t>antagonistic</t>
  </si>
  <si>
    <t>anti</t>
  </si>
  <si>
    <t>anticipation</t>
  </si>
  <si>
    <t>anxiety</t>
  </si>
  <si>
    <t>anxious</t>
  </si>
  <si>
    <t>apathetic</t>
  </si>
  <si>
    <t>apathy</t>
  </si>
  <si>
    <t>apeshit</t>
  </si>
  <si>
    <t>apocalyptic</t>
  </si>
  <si>
    <t>apologise</t>
  </si>
  <si>
    <t>apologised</t>
  </si>
  <si>
    <t>apologises</t>
  </si>
  <si>
    <t>apologising</t>
  </si>
  <si>
    <t>apologize</t>
  </si>
  <si>
    <t>apologized</t>
  </si>
  <si>
    <t>apologizes</t>
  </si>
  <si>
    <t>apologizing</t>
  </si>
  <si>
    <t>apology</t>
  </si>
  <si>
    <t>appalled</t>
  </si>
  <si>
    <t>appalling</t>
  </si>
  <si>
    <t>appease</t>
  </si>
  <si>
    <t>appeased</t>
  </si>
  <si>
    <t>appeases</t>
  </si>
  <si>
    <t>appeasing</t>
  </si>
  <si>
    <t>applaud</t>
  </si>
  <si>
    <t>applauded</t>
  </si>
  <si>
    <t>applauding</t>
  </si>
  <si>
    <t>applauds</t>
  </si>
  <si>
    <t>applause</t>
  </si>
  <si>
    <t>appreciate</t>
  </si>
  <si>
    <t>appreciated</t>
  </si>
  <si>
    <t>appreciates</t>
  </si>
  <si>
    <t>appreciating</t>
  </si>
  <si>
    <t>appreciation</t>
  </si>
  <si>
    <t>apprehensive</t>
  </si>
  <si>
    <t>approval</t>
  </si>
  <si>
    <t>approved</t>
  </si>
  <si>
    <t>approves</t>
  </si>
  <si>
    <t>ardent</t>
  </si>
  <si>
    <t>arrest</t>
  </si>
  <si>
    <t>arrested</t>
  </si>
  <si>
    <t>arrests</t>
  </si>
  <si>
    <t>arrogant</t>
  </si>
  <si>
    <t>ashame</t>
  </si>
  <si>
    <t>ashamed</t>
  </si>
  <si>
    <t>ass</t>
  </si>
  <si>
    <t>assassination</t>
  </si>
  <si>
    <t>assassinations</t>
  </si>
  <si>
    <t>asset</t>
  </si>
  <si>
    <t>assets</t>
  </si>
  <si>
    <t>assfucking</t>
  </si>
  <si>
    <t>asshole</t>
  </si>
  <si>
    <t>astonished</t>
  </si>
  <si>
    <t>astound</t>
  </si>
  <si>
    <t>astounded</t>
  </si>
  <si>
    <t>astounding</t>
  </si>
  <si>
    <t>astoundingly</t>
  </si>
  <si>
    <t>astounds</t>
  </si>
  <si>
    <t>attack</t>
  </si>
  <si>
    <t>attacked</t>
  </si>
  <si>
    <t>attacking</t>
  </si>
  <si>
    <t>attacks</t>
  </si>
  <si>
    <t>attract</t>
  </si>
  <si>
    <t>attracted</t>
  </si>
  <si>
    <t>attracting</t>
  </si>
  <si>
    <t>attraction</t>
  </si>
  <si>
    <t>attractions</t>
  </si>
  <si>
    <t>attracts</t>
  </si>
  <si>
    <t>audacious</t>
  </si>
  <si>
    <t>authority</t>
  </si>
  <si>
    <t>avert</t>
  </si>
  <si>
    <t>averted</t>
  </si>
  <si>
    <t>averts</t>
  </si>
  <si>
    <t>avid</t>
  </si>
  <si>
    <t>avoid</t>
  </si>
  <si>
    <t>avoided</t>
  </si>
  <si>
    <t>avoids</t>
  </si>
  <si>
    <t>await</t>
  </si>
  <si>
    <t>awaited</t>
  </si>
  <si>
    <t>awaits</t>
  </si>
  <si>
    <t>award</t>
  </si>
  <si>
    <t>awarded</t>
  </si>
  <si>
    <t>awards</t>
  </si>
  <si>
    <t>awesome</t>
  </si>
  <si>
    <t>awful</t>
  </si>
  <si>
    <t>awkward</t>
  </si>
  <si>
    <t>axe</t>
  </si>
  <si>
    <t>axed</t>
  </si>
  <si>
    <t>backed</t>
  </si>
  <si>
    <t>backing</t>
  </si>
  <si>
    <t>backs</t>
  </si>
  <si>
    <t>bad</t>
  </si>
  <si>
    <t>badass</t>
  </si>
  <si>
    <t>badly</t>
  </si>
  <si>
    <t>bailout</t>
  </si>
  <si>
    <t>bamboozle</t>
  </si>
  <si>
    <t>bamboozled</t>
  </si>
  <si>
    <t>bamboozles</t>
  </si>
  <si>
    <t>ban</t>
  </si>
  <si>
    <t>banish</t>
  </si>
  <si>
    <t>bankrupt</t>
  </si>
  <si>
    <t>bankster</t>
  </si>
  <si>
    <t>banned</t>
  </si>
  <si>
    <t>bargain</t>
  </si>
  <si>
    <t>barrier</t>
  </si>
  <si>
    <t>bastard</t>
  </si>
  <si>
    <t>bastards</t>
  </si>
  <si>
    <t>battle</t>
  </si>
  <si>
    <t>battles</t>
  </si>
  <si>
    <t>beaten</t>
  </si>
  <si>
    <t>beatific</t>
  </si>
  <si>
    <t>beating</t>
  </si>
  <si>
    <t>beauties</t>
  </si>
  <si>
    <t>beautiful</t>
  </si>
  <si>
    <t>beautifully</t>
  </si>
  <si>
    <t>beautify</t>
  </si>
  <si>
    <t>belittle</t>
  </si>
  <si>
    <t>belittled</t>
  </si>
  <si>
    <t>beloved</t>
  </si>
  <si>
    <t>benefit</t>
  </si>
  <si>
    <t>benefits</t>
  </si>
  <si>
    <t>benefitted</t>
  </si>
  <si>
    <t>benefitting</t>
  </si>
  <si>
    <t>bereave</t>
  </si>
  <si>
    <t>bereaved</t>
  </si>
  <si>
    <t>bereaves</t>
  </si>
  <si>
    <t>bereaving</t>
  </si>
  <si>
    <t>best</t>
  </si>
  <si>
    <t>betray</t>
  </si>
  <si>
    <t>betrayal</t>
  </si>
  <si>
    <t>betrayed</t>
  </si>
  <si>
    <t>betraying</t>
  </si>
  <si>
    <t>betrays</t>
  </si>
  <si>
    <t>better</t>
  </si>
  <si>
    <t>bias</t>
  </si>
  <si>
    <t>biased</t>
  </si>
  <si>
    <t>big</t>
  </si>
  <si>
    <t>bitch</t>
  </si>
  <si>
    <t>bitches</t>
  </si>
  <si>
    <t>bitter</t>
  </si>
  <si>
    <t>bitterly</t>
  </si>
  <si>
    <t>bizarre</t>
  </si>
  <si>
    <t>blah</t>
  </si>
  <si>
    <t>blame</t>
  </si>
  <si>
    <t>blamed</t>
  </si>
  <si>
    <t>blames</t>
  </si>
  <si>
    <t>blaming</t>
  </si>
  <si>
    <t>bless</t>
  </si>
  <si>
    <t>blesses</t>
  </si>
  <si>
    <t>blessing</t>
  </si>
  <si>
    <t>blind</t>
  </si>
  <si>
    <t>bliss</t>
  </si>
  <si>
    <t>blissful</t>
  </si>
  <si>
    <t>blithe</t>
  </si>
  <si>
    <t>block</t>
  </si>
  <si>
    <t>blockbuster</t>
  </si>
  <si>
    <t>blocked</t>
  </si>
  <si>
    <t>blocking</t>
  </si>
  <si>
    <t>blocks</t>
  </si>
  <si>
    <t>bloody</t>
  </si>
  <si>
    <t>blurry</t>
  </si>
  <si>
    <t>boastful</t>
  </si>
  <si>
    <t>bold</t>
  </si>
  <si>
    <t>boldly</t>
  </si>
  <si>
    <t>bomb</t>
  </si>
  <si>
    <t>boost</t>
  </si>
  <si>
    <t>boosted</t>
  </si>
  <si>
    <t>boosting</t>
  </si>
  <si>
    <t>boosts</t>
  </si>
  <si>
    <t>bore</t>
  </si>
  <si>
    <t>bored</t>
  </si>
  <si>
    <t>boring</t>
  </si>
  <si>
    <t>bother</t>
  </si>
  <si>
    <t>bothered</t>
  </si>
  <si>
    <t>bothers</t>
  </si>
  <si>
    <t>bothersome</t>
  </si>
  <si>
    <t>boycott</t>
  </si>
  <si>
    <t>boycotted</t>
  </si>
  <si>
    <t>boycotting</t>
  </si>
  <si>
    <t>boycotts</t>
  </si>
  <si>
    <t>brainwashing</t>
  </si>
  <si>
    <t>brave</t>
  </si>
  <si>
    <t>breakthrough</t>
  </si>
  <si>
    <t>breathtaking</t>
  </si>
  <si>
    <t>bribe</t>
  </si>
  <si>
    <t>bright</t>
  </si>
  <si>
    <t>brightest</t>
  </si>
  <si>
    <t>brightness</t>
  </si>
  <si>
    <t>brilliant</t>
  </si>
  <si>
    <t>brisk</t>
  </si>
  <si>
    <t>broke</t>
  </si>
  <si>
    <t>broken</t>
  </si>
  <si>
    <t>brooding</t>
  </si>
  <si>
    <t>bullied</t>
  </si>
  <si>
    <t>bullshit</t>
  </si>
  <si>
    <t>bully</t>
  </si>
  <si>
    <t>bullying</t>
  </si>
  <si>
    <t>bummer</t>
  </si>
  <si>
    <t>buoyant</t>
  </si>
  <si>
    <t>burden</t>
  </si>
  <si>
    <t>burdened</t>
  </si>
  <si>
    <t>burdening</t>
  </si>
  <si>
    <t>burdens</t>
  </si>
  <si>
    <t>calm</t>
  </si>
  <si>
    <t>calmed</t>
  </si>
  <si>
    <t>calming</t>
  </si>
  <si>
    <t>calms</t>
  </si>
  <si>
    <t>cancel</t>
  </si>
  <si>
    <t>cancelled</t>
  </si>
  <si>
    <t>cancelling</t>
  </si>
  <si>
    <t>cancels</t>
  </si>
  <si>
    <t>cancer</t>
  </si>
  <si>
    <t>capable</t>
  </si>
  <si>
    <t>captivated</t>
  </si>
  <si>
    <t>care</t>
  </si>
  <si>
    <t>carefree</t>
  </si>
  <si>
    <t>careful</t>
  </si>
  <si>
    <t>carefully</t>
  </si>
  <si>
    <t>careless</t>
  </si>
  <si>
    <t>cares</t>
  </si>
  <si>
    <t>casualty</t>
  </si>
  <si>
    <t>catastrophe</t>
  </si>
  <si>
    <t>catastrophic</t>
  </si>
  <si>
    <t>cautious</t>
  </si>
  <si>
    <t>celebrate</t>
  </si>
  <si>
    <t>celebrated</t>
  </si>
  <si>
    <t>celebrates</t>
  </si>
  <si>
    <t>celebrating</t>
  </si>
  <si>
    <t>censor</t>
  </si>
  <si>
    <t>censored</t>
  </si>
  <si>
    <t>censors</t>
  </si>
  <si>
    <t>certain</t>
  </si>
  <si>
    <t>chagrin</t>
  </si>
  <si>
    <t>chagrined</t>
  </si>
  <si>
    <t>challenge</t>
  </si>
  <si>
    <t>chance</t>
  </si>
  <si>
    <t>chances</t>
  </si>
  <si>
    <t>chaos</t>
  </si>
  <si>
    <t>chaotic</t>
  </si>
  <si>
    <t>charged</t>
  </si>
  <si>
    <t>charges</t>
  </si>
  <si>
    <t>charm</t>
  </si>
  <si>
    <t>charming</t>
  </si>
  <si>
    <t>charmless</t>
  </si>
  <si>
    <t>chastise</t>
  </si>
  <si>
    <t>chastised</t>
  </si>
  <si>
    <t>chastises</t>
  </si>
  <si>
    <t>chastising</t>
  </si>
  <si>
    <t>cheat</t>
  </si>
  <si>
    <t>cheated</t>
  </si>
  <si>
    <t>cheater</t>
  </si>
  <si>
    <t>cheaters</t>
  </si>
  <si>
    <t>cheats</t>
  </si>
  <si>
    <t>cheer</t>
  </si>
  <si>
    <t>cheered</t>
  </si>
  <si>
    <t>cheerful</t>
  </si>
  <si>
    <t>cheering</t>
  </si>
  <si>
    <t>cheerless</t>
  </si>
  <si>
    <t>cheers</t>
  </si>
  <si>
    <t>cheery</t>
  </si>
  <si>
    <t>cherish</t>
  </si>
  <si>
    <t>cherished</t>
  </si>
  <si>
    <t>cherishes</t>
  </si>
  <si>
    <t>cherishing</t>
  </si>
  <si>
    <t>chic</t>
  </si>
  <si>
    <t>childish</t>
  </si>
  <si>
    <t>chilling</t>
  </si>
  <si>
    <t>choke</t>
  </si>
  <si>
    <t>choked</t>
  </si>
  <si>
    <t>chokes</t>
  </si>
  <si>
    <t>choking</t>
  </si>
  <si>
    <t>clarifies</t>
  </si>
  <si>
    <t>clarity</t>
  </si>
  <si>
    <t>clash</t>
  </si>
  <si>
    <t>classy</t>
  </si>
  <si>
    <t>clean</t>
  </si>
  <si>
    <t>cleaner</t>
  </si>
  <si>
    <t>clear</t>
  </si>
  <si>
    <t>cleared</t>
  </si>
  <si>
    <t>clearly</t>
  </si>
  <si>
    <t>clears</t>
  </si>
  <si>
    <t>clever</t>
  </si>
  <si>
    <t>clouded</t>
  </si>
  <si>
    <t>clueless</t>
  </si>
  <si>
    <t>coerced</t>
  </si>
  <si>
    <t>collapse</t>
  </si>
  <si>
    <t>collapsed</t>
  </si>
  <si>
    <t>collapses</t>
  </si>
  <si>
    <t>collapsing</t>
  </si>
  <si>
    <t>collide</t>
  </si>
  <si>
    <t>collides</t>
  </si>
  <si>
    <t>colliding</t>
  </si>
  <si>
    <t>collision</t>
  </si>
  <si>
    <t>collisions</t>
  </si>
  <si>
    <t>colluding</t>
  </si>
  <si>
    <t>combat</t>
  </si>
  <si>
    <t>combats</t>
  </si>
  <si>
    <t>comedy</t>
  </si>
  <si>
    <t>comfort</t>
  </si>
  <si>
    <t>comfortable</t>
  </si>
  <si>
    <t>comforting</t>
  </si>
  <si>
    <t>comforts</t>
  </si>
  <si>
    <t>commend</t>
  </si>
  <si>
    <t>commended</t>
  </si>
  <si>
    <t>commit</t>
  </si>
  <si>
    <t>commitment</t>
  </si>
  <si>
    <t>commits</t>
  </si>
  <si>
    <t>committed</t>
  </si>
  <si>
    <t>committing</t>
  </si>
  <si>
    <t>compassionate</t>
  </si>
  <si>
    <t>compelled</t>
  </si>
  <si>
    <t>competent</t>
  </si>
  <si>
    <t>competitive</t>
  </si>
  <si>
    <t>complacent</t>
  </si>
  <si>
    <t>complain</t>
  </si>
  <si>
    <t>complained</t>
  </si>
  <si>
    <t>complains</t>
  </si>
  <si>
    <t>comprehensive</t>
  </si>
  <si>
    <t>conciliate</t>
  </si>
  <si>
    <t>conciliated</t>
  </si>
  <si>
    <t>conciliates</t>
  </si>
  <si>
    <t>conciliating</t>
  </si>
  <si>
    <t>condemn</t>
  </si>
  <si>
    <t>condemnation</t>
  </si>
  <si>
    <t>condemned</t>
  </si>
  <si>
    <t>condemns</t>
  </si>
  <si>
    <t>confidence</t>
  </si>
  <si>
    <t>confident</t>
  </si>
  <si>
    <t>conflict</t>
  </si>
  <si>
    <t>conflicting</t>
  </si>
  <si>
    <t>conflictive</t>
  </si>
  <si>
    <t>conflicts</t>
  </si>
  <si>
    <t>confuse</t>
  </si>
  <si>
    <t>confused</t>
  </si>
  <si>
    <t>confusing</t>
  </si>
  <si>
    <t>congrats</t>
  </si>
  <si>
    <t>congratulate</t>
  </si>
  <si>
    <t>congratulation</t>
  </si>
  <si>
    <t>congratulations</t>
  </si>
  <si>
    <t>consent</t>
  </si>
  <si>
    <t>consents</t>
  </si>
  <si>
    <t>consolable</t>
  </si>
  <si>
    <t>conspiracy</t>
  </si>
  <si>
    <t>constrained</t>
  </si>
  <si>
    <t>contagion</t>
  </si>
  <si>
    <t>contagions</t>
  </si>
  <si>
    <t>contagious</t>
  </si>
  <si>
    <t>contempt</t>
  </si>
  <si>
    <t>contemptuous</t>
  </si>
  <si>
    <t>contemptuously</t>
  </si>
  <si>
    <t>contend</t>
  </si>
  <si>
    <t>contender</t>
  </si>
  <si>
    <t>contending</t>
  </si>
  <si>
    <t>contentious</t>
  </si>
  <si>
    <t>contestable</t>
  </si>
  <si>
    <t>controversial</t>
  </si>
  <si>
    <t>controversially</t>
  </si>
  <si>
    <t>convince</t>
  </si>
  <si>
    <t>convinced</t>
  </si>
  <si>
    <t>convinces</t>
  </si>
  <si>
    <t>convivial</t>
  </si>
  <si>
    <t>cornered</t>
  </si>
  <si>
    <t>corpse</t>
  </si>
  <si>
    <t>costly</t>
  </si>
  <si>
    <t>courage</t>
  </si>
  <si>
    <t>courageous</t>
  </si>
  <si>
    <t>courteous</t>
  </si>
  <si>
    <t>courtesy</t>
  </si>
  <si>
    <t>coward</t>
  </si>
  <si>
    <t>cowardly</t>
  </si>
  <si>
    <t>coziness</t>
  </si>
  <si>
    <t>cramp</t>
  </si>
  <si>
    <t>crap</t>
  </si>
  <si>
    <t>crash</t>
  </si>
  <si>
    <t>crazier</t>
  </si>
  <si>
    <t>craziest</t>
  </si>
  <si>
    <t>crazy</t>
  </si>
  <si>
    <t>creative</t>
  </si>
  <si>
    <t>crestfallen</t>
  </si>
  <si>
    <t>cried</t>
  </si>
  <si>
    <t>cries</t>
  </si>
  <si>
    <t>crime</t>
  </si>
  <si>
    <t>criminal</t>
  </si>
  <si>
    <t>criminals</t>
  </si>
  <si>
    <t>crisis</t>
  </si>
  <si>
    <t>critic</t>
  </si>
  <si>
    <t>criticism</t>
  </si>
  <si>
    <t>criticize</t>
  </si>
  <si>
    <t>criticized</t>
  </si>
  <si>
    <t>criticizes</t>
  </si>
  <si>
    <t>criticizing</t>
  </si>
  <si>
    <t>critics</t>
  </si>
  <si>
    <t>cruel</t>
  </si>
  <si>
    <t>cruelty</t>
  </si>
  <si>
    <t>crush</t>
  </si>
  <si>
    <t>crushed</t>
  </si>
  <si>
    <t>crushes</t>
  </si>
  <si>
    <t>crushing</t>
  </si>
  <si>
    <t>cry</t>
  </si>
  <si>
    <t>crying</t>
  </si>
  <si>
    <t>curious</t>
  </si>
  <si>
    <t>curse</t>
  </si>
  <si>
    <t>cut</t>
  </si>
  <si>
    <t>cute</t>
  </si>
  <si>
    <t>cuts</t>
  </si>
  <si>
    <t>cutting</t>
  </si>
  <si>
    <t>cynic</t>
  </si>
  <si>
    <t>cynical</t>
  </si>
  <si>
    <t>cynicism</t>
  </si>
  <si>
    <t>damage</t>
  </si>
  <si>
    <t>damages</t>
  </si>
  <si>
    <t>damn</t>
  </si>
  <si>
    <t>damned</t>
  </si>
  <si>
    <t>damnit</t>
  </si>
  <si>
    <t>danger</t>
  </si>
  <si>
    <t>daredevil</t>
  </si>
  <si>
    <t>daring</t>
  </si>
  <si>
    <t>darkest</t>
  </si>
  <si>
    <t>darkness</t>
  </si>
  <si>
    <t>dauntless</t>
  </si>
  <si>
    <t>dead</t>
  </si>
  <si>
    <t>deadlock</t>
  </si>
  <si>
    <t>deafening</t>
  </si>
  <si>
    <t>dear</t>
  </si>
  <si>
    <t>dearly</t>
  </si>
  <si>
    <t>death</t>
  </si>
  <si>
    <t>debonair</t>
  </si>
  <si>
    <t>debt</t>
  </si>
  <si>
    <t>deceit</t>
  </si>
  <si>
    <t>deceitful</t>
  </si>
  <si>
    <t>deceive</t>
  </si>
  <si>
    <t>deceived</t>
  </si>
  <si>
    <t>deceives</t>
  </si>
  <si>
    <t>deceiving</t>
  </si>
  <si>
    <t>deception</t>
  </si>
  <si>
    <t>decisive</t>
  </si>
  <si>
    <t>dedicated</t>
  </si>
  <si>
    <t>defeated</t>
  </si>
  <si>
    <t>defect</t>
  </si>
  <si>
    <t>defects</t>
  </si>
  <si>
    <t>defender</t>
  </si>
  <si>
    <t>defenders</t>
  </si>
  <si>
    <t>defenseless</t>
  </si>
  <si>
    <t>defer</t>
  </si>
  <si>
    <t>deferring</t>
  </si>
  <si>
    <t>defiant</t>
  </si>
  <si>
    <t>deficit</t>
  </si>
  <si>
    <t>degrade</t>
  </si>
  <si>
    <t>degraded</t>
  </si>
  <si>
    <t>degrades</t>
  </si>
  <si>
    <t>dehumanize</t>
  </si>
  <si>
    <t>dehumanized</t>
  </si>
  <si>
    <t>dehumanizes</t>
  </si>
  <si>
    <t>dehumanizing</t>
  </si>
  <si>
    <t>deject</t>
  </si>
  <si>
    <t>dejected</t>
  </si>
  <si>
    <t>dejecting</t>
  </si>
  <si>
    <t>dejects</t>
  </si>
  <si>
    <t>delay</t>
  </si>
  <si>
    <t>delayed</t>
  </si>
  <si>
    <t>delight</t>
  </si>
  <si>
    <t>delighted</t>
  </si>
  <si>
    <t>delighting</t>
  </si>
  <si>
    <t>delights</t>
  </si>
  <si>
    <t>demand</t>
  </si>
  <si>
    <t>demanded</t>
  </si>
  <si>
    <t>demanding</t>
  </si>
  <si>
    <t>demands</t>
  </si>
  <si>
    <t>demonstration</t>
  </si>
  <si>
    <t>demoralized</t>
  </si>
  <si>
    <t>denied</t>
  </si>
  <si>
    <t>denier</t>
  </si>
  <si>
    <t>deniers</t>
  </si>
  <si>
    <t>denies</t>
  </si>
  <si>
    <t>denounce</t>
  </si>
  <si>
    <t>denounces</t>
  </si>
  <si>
    <t>deny</t>
  </si>
  <si>
    <t>denying</t>
  </si>
  <si>
    <t>depressed</t>
  </si>
  <si>
    <t>depressing</t>
  </si>
  <si>
    <t>derail</t>
  </si>
  <si>
    <t>derailed</t>
  </si>
  <si>
    <t>derails</t>
  </si>
  <si>
    <t>deride</t>
  </si>
  <si>
    <t>derided</t>
  </si>
  <si>
    <t>derides</t>
  </si>
  <si>
    <t>deriding</t>
  </si>
  <si>
    <t>derision</t>
  </si>
  <si>
    <t>desirable</t>
  </si>
  <si>
    <t>desire</t>
  </si>
  <si>
    <t>desired</t>
  </si>
  <si>
    <t>desirous</t>
  </si>
  <si>
    <t>despair</t>
  </si>
  <si>
    <t>despairing</t>
  </si>
  <si>
    <t>despairs</t>
  </si>
  <si>
    <t>desperate</t>
  </si>
  <si>
    <t>desperately</t>
  </si>
  <si>
    <t>despondent</t>
  </si>
  <si>
    <t>destroy</t>
  </si>
  <si>
    <t>destroyed</t>
  </si>
  <si>
    <t>destroying</t>
  </si>
  <si>
    <t>destroys</t>
  </si>
  <si>
    <t>destruction</t>
  </si>
  <si>
    <t>destructive</t>
  </si>
  <si>
    <t>detached</t>
  </si>
  <si>
    <t>detain</t>
  </si>
  <si>
    <t>detained</t>
  </si>
  <si>
    <t>detention</t>
  </si>
  <si>
    <t>determined</t>
  </si>
  <si>
    <t>devastate</t>
  </si>
  <si>
    <t>devastated</t>
  </si>
  <si>
    <t>devastating</t>
  </si>
  <si>
    <t>devoted</t>
  </si>
  <si>
    <t>diamond</t>
  </si>
  <si>
    <t>dick</t>
  </si>
  <si>
    <t>dickhead</t>
  </si>
  <si>
    <t>die</t>
  </si>
  <si>
    <t>died</t>
  </si>
  <si>
    <t>difficult</t>
  </si>
  <si>
    <t>diffident</t>
  </si>
  <si>
    <t>dilemma</t>
  </si>
  <si>
    <t>dipshit</t>
  </si>
  <si>
    <t>dire</t>
  </si>
  <si>
    <t>direful</t>
  </si>
  <si>
    <t>dirt</t>
  </si>
  <si>
    <t>dirtier</t>
  </si>
  <si>
    <t>dirtiest</t>
  </si>
  <si>
    <t>dirty</t>
  </si>
  <si>
    <t>disabling</t>
  </si>
  <si>
    <t>disadvantage</t>
  </si>
  <si>
    <t>disadvantaged</t>
  </si>
  <si>
    <t>disappear</t>
  </si>
  <si>
    <t>disappeared</t>
  </si>
  <si>
    <t>disappears</t>
  </si>
  <si>
    <t>disappoint</t>
  </si>
  <si>
    <t>disappointed</t>
  </si>
  <si>
    <t>disappointing</t>
  </si>
  <si>
    <t>disappointment</t>
  </si>
  <si>
    <t>disappointments</t>
  </si>
  <si>
    <t>disappoints</t>
  </si>
  <si>
    <t>disaster</t>
  </si>
  <si>
    <t>disasters</t>
  </si>
  <si>
    <t>disastrous</t>
  </si>
  <si>
    <t>disbelieve</t>
  </si>
  <si>
    <t>discard</t>
  </si>
  <si>
    <t>discarded</t>
  </si>
  <si>
    <t>discarding</t>
  </si>
  <si>
    <t>discards</t>
  </si>
  <si>
    <t>disconsolate</t>
  </si>
  <si>
    <t>disconsolation</t>
  </si>
  <si>
    <t>discontented</t>
  </si>
  <si>
    <t>discord</t>
  </si>
  <si>
    <t>discounted</t>
  </si>
  <si>
    <t>discouraged</t>
  </si>
  <si>
    <t>discredited</t>
  </si>
  <si>
    <t>disdain</t>
  </si>
  <si>
    <t>disgrace</t>
  </si>
  <si>
    <t>disgraced</t>
  </si>
  <si>
    <t>disguise</t>
  </si>
  <si>
    <t>disguised</t>
  </si>
  <si>
    <t>disguises</t>
  </si>
  <si>
    <t>disguising</t>
  </si>
  <si>
    <t>disgust</t>
  </si>
  <si>
    <t>disgusted</t>
  </si>
  <si>
    <t>disheartened</t>
  </si>
  <si>
    <t>dishonest</t>
  </si>
  <si>
    <t>disillusioned</t>
  </si>
  <si>
    <t>disinclined</t>
  </si>
  <si>
    <t>disjointed</t>
  </si>
  <si>
    <t>dislike</t>
  </si>
  <si>
    <t>dismal</t>
  </si>
  <si>
    <t>dismayed</t>
  </si>
  <si>
    <t>disorder</t>
  </si>
  <si>
    <t>disorganized</t>
  </si>
  <si>
    <t>disoriented</t>
  </si>
  <si>
    <t>disparage</t>
  </si>
  <si>
    <t>disparaged</t>
  </si>
  <si>
    <t>disparages</t>
  </si>
  <si>
    <t>disparaging</t>
  </si>
  <si>
    <t>displeased</t>
  </si>
  <si>
    <t>dispute</t>
  </si>
  <si>
    <t>disputed</t>
  </si>
  <si>
    <t>disputes</t>
  </si>
  <si>
    <t>disputing</t>
  </si>
  <si>
    <t>disqualified</t>
  </si>
  <si>
    <t>disquiet</t>
  </si>
  <si>
    <t>disregard</t>
  </si>
  <si>
    <t>disregarded</t>
  </si>
  <si>
    <t>disregarding</t>
  </si>
  <si>
    <t>disregards</t>
  </si>
  <si>
    <t>disrespect</t>
  </si>
  <si>
    <t>disrespected</t>
  </si>
  <si>
    <t>disruption</t>
  </si>
  <si>
    <t>disruptions</t>
  </si>
  <si>
    <t>disruptive</t>
  </si>
  <si>
    <t>dissatisfied</t>
  </si>
  <si>
    <t>distort</t>
  </si>
  <si>
    <t>distorted</t>
  </si>
  <si>
    <t>distorting</t>
  </si>
  <si>
    <t>distorts</t>
  </si>
  <si>
    <t>distract</t>
  </si>
  <si>
    <t>distracted</t>
  </si>
  <si>
    <t>distraction</t>
  </si>
  <si>
    <t>distracts</t>
  </si>
  <si>
    <t>distress</t>
  </si>
  <si>
    <t>distressed</t>
  </si>
  <si>
    <t>distresses</t>
  </si>
  <si>
    <t>distressing</t>
  </si>
  <si>
    <t>distrust</t>
  </si>
  <si>
    <t>distrustful</t>
  </si>
  <si>
    <t>disturb</t>
  </si>
  <si>
    <t>disturbed</t>
  </si>
  <si>
    <t>disturbing</t>
  </si>
  <si>
    <t>disturbs</t>
  </si>
  <si>
    <t>dithering</t>
  </si>
  <si>
    <t>dizzy</t>
  </si>
  <si>
    <t>dodging</t>
  </si>
  <si>
    <t>dodgy</t>
  </si>
  <si>
    <t>dolorous</t>
  </si>
  <si>
    <t>doom</t>
  </si>
  <si>
    <t>doomed</t>
  </si>
  <si>
    <t>doubt</t>
  </si>
  <si>
    <t>doubted</t>
  </si>
  <si>
    <t>doubtful</t>
  </si>
  <si>
    <t>doubting</t>
  </si>
  <si>
    <t>doubts</t>
  </si>
  <si>
    <t>downcast</t>
  </si>
  <si>
    <t>downhearted</t>
  </si>
  <si>
    <t>downside</t>
  </si>
  <si>
    <t>drag</t>
  </si>
  <si>
    <t>dragged</t>
  </si>
  <si>
    <t>drags</t>
  </si>
  <si>
    <t>drained</t>
  </si>
  <si>
    <t>dread</t>
  </si>
  <si>
    <t>dreaded</t>
  </si>
  <si>
    <t>dreadful</t>
  </si>
  <si>
    <t>dreading</t>
  </si>
  <si>
    <t>dream</t>
  </si>
  <si>
    <t>dreams</t>
  </si>
  <si>
    <t>dreary</t>
  </si>
  <si>
    <t>droopy</t>
  </si>
  <si>
    <t>drop</t>
  </si>
  <si>
    <t>drown</t>
  </si>
  <si>
    <t>drowned</t>
  </si>
  <si>
    <t>drowns</t>
  </si>
  <si>
    <t>drunk</t>
  </si>
  <si>
    <t>dubious</t>
  </si>
  <si>
    <t>dud</t>
  </si>
  <si>
    <t>dull</t>
  </si>
  <si>
    <t>dumb</t>
  </si>
  <si>
    <t>dumbass</t>
  </si>
  <si>
    <t>dump</t>
  </si>
  <si>
    <t>dumped</t>
  </si>
  <si>
    <t>dumps</t>
  </si>
  <si>
    <t>dupe</t>
  </si>
  <si>
    <t>duped</t>
  </si>
  <si>
    <t>dysfunction</t>
  </si>
  <si>
    <t>eager</t>
  </si>
  <si>
    <t>earnest</t>
  </si>
  <si>
    <t>ease</t>
  </si>
  <si>
    <t>easy</t>
  </si>
  <si>
    <t>ecstatic</t>
  </si>
  <si>
    <t>eerie</t>
  </si>
  <si>
    <t>eery</t>
  </si>
  <si>
    <t>effective</t>
  </si>
  <si>
    <t>effectively</t>
  </si>
  <si>
    <t>elated</t>
  </si>
  <si>
    <t>elation</t>
  </si>
  <si>
    <t>elegant</t>
  </si>
  <si>
    <t>elegantly</t>
  </si>
  <si>
    <t>embarrass</t>
  </si>
  <si>
    <t>embarrassed</t>
  </si>
  <si>
    <t>embarrasses</t>
  </si>
  <si>
    <t>embarrassing</t>
  </si>
  <si>
    <t>embarrassment</t>
  </si>
  <si>
    <t>embittered</t>
  </si>
  <si>
    <t>embrace</t>
  </si>
  <si>
    <t>emergency</t>
  </si>
  <si>
    <t>empathetic</t>
  </si>
  <si>
    <t>emptiness</t>
  </si>
  <si>
    <t>empty</t>
  </si>
  <si>
    <t>enchanted</t>
  </si>
  <si>
    <t>encourage</t>
  </si>
  <si>
    <t>encouraged</t>
  </si>
  <si>
    <t>encouragement</t>
  </si>
  <si>
    <t>encourages</t>
  </si>
  <si>
    <t>endorse</t>
  </si>
  <si>
    <t>endorsed</t>
  </si>
  <si>
    <t>endorsement</t>
  </si>
  <si>
    <t>endorses</t>
  </si>
  <si>
    <t>enemies</t>
  </si>
  <si>
    <t>enemy</t>
  </si>
  <si>
    <t>energetic</t>
  </si>
  <si>
    <t>engage</t>
  </si>
  <si>
    <t>engages</t>
  </si>
  <si>
    <t>engrossed</t>
  </si>
  <si>
    <t>enjoy</t>
  </si>
  <si>
    <t>enjoying</t>
  </si>
  <si>
    <t>enjoys</t>
  </si>
  <si>
    <t>enlighten</t>
  </si>
  <si>
    <t>enlightened</t>
  </si>
  <si>
    <t>enlightening</t>
  </si>
  <si>
    <t>enlightens</t>
  </si>
  <si>
    <t>enrage</t>
  </si>
  <si>
    <t>enraged</t>
  </si>
  <si>
    <t>enrages</t>
  </si>
  <si>
    <t>enraging</t>
  </si>
  <si>
    <t>enrapture</t>
  </si>
  <si>
    <t>enslave</t>
  </si>
  <si>
    <t>enslaved</t>
  </si>
  <si>
    <t>enslaves</t>
  </si>
  <si>
    <t>ensure</t>
  </si>
  <si>
    <t>ensuring</t>
  </si>
  <si>
    <t>enterprising</t>
  </si>
  <si>
    <t>entertaining</t>
  </si>
  <si>
    <t>enthral</t>
  </si>
  <si>
    <t>enthusiastic</t>
  </si>
  <si>
    <t>entitled</t>
  </si>
  <si>
    <t>entrusted</t>
  </si>
  <si>
    <t>envies</t>
  </si>
  <si>
    <t>envious</t>
  </si>
  <si>
    <t>envy</t>
  </si>
  <si>
    <t>envying</t>
  </si>
  <si>
    <t>erroneous</t>
  </si>
  <si>
    <t>error</t>
  </si>
  <si>
    <t>errors</t>
  </si>
  <si>
    <t>escape</t>
  </si>
  <si>
    <t>escapes</t>
  </si>
  <si>
    <t>escaping</t>
  </si>
  <si>
    <t>esteemed</t>
  </si>
  <si>
    <t>ethical</t>
  </si>
  <si>
    <t>euphoria</t>
  </si>
  <si>
    <t>euphoric</t>
  </si>
  <si>
    <t>eviction</t>
  </si>
  <si>
    <t>evil</t>
  </si>
  <si>
    <t>exaggerate</t>
  </si>
  <si>
    <t>exaggerated</t>
  </si>
  <si>
    <t>exaggerates</t>
  </si>
  <si>
    <t>exaggerating</t>
  </si>
  <si>
    <t>exasperated</t>
  </si>
  <si>
    <t>excellence</t>
  </si>
  <si>
    <t>excellent</t>
  </si>
  <si>
    <t>excite</t>
  </si>
  <si>
    <t>excited</t>
  </si>
  <si>
    <t>excitement</t>
  </si>
  <si>
    <t>exciting</t>
  </si>
  <si>
    <t>exclude</t>
  </si>
  <si>
    <t>excluded</t>
  </si>
  <si>
    <t>exclusion</t>
  </si>
  <si>
    <t>exclusive</t>
  </si>
  <si>
    <t>excuse</t>
  </si>
  <si>
    <t>exempt</t>
  </si>
  <si>
    <t>exhausted</t>
  </si>
  <si>
    <t>exhilarated</t>
  </si>
  <si>
    <t>exhilarates</t>
  </si>
  <si>
    <t>exhilarating</t>
  </si>
  <si>
    <t>exonerate</t>
  </si>
  <si>
    <t>exonerated</t>
  </si>
  <si>
    <t>exonerates</t>
  </si>
  <si>
    <t>exonerating</t>
  </si>
  <si>
    <t>expand</t>
  </si>
  <si>
    <t>expands</t>
  </si>
  <si>
    <t>expel</t>
  </si>
  <si>
    <t>expelled</t>
  </si>
  <si>
    <t>expelling</t>
  </si>
  <si>
    <t>expels</t>
  </si>
  <si>
    <t>exploit</t>
  </si>
  <si>
    <t>exploited</t>
  </si>
  <si>
    <t>exploiting</t>
  </si>
  <si>
    <t>exploits</t>
  </si>
  <si>
    <t>exploration</t>
  </si>
  <si>
    <t>explorations</t>
  </si>
  <si>
    <t>expose</t>
  </si>
  <si>
    <t>exposed</t>
  </si>
  <si>
    <t>exposes</t>
  </si>
  <si>
    <t>exposing</t>
  </si>
  <si>
    <t>extend</t>
  </si>
  <si>
    <t>extends</t>
  </si>
  <si>
    <t>exuberant</t>
  </si>
  <si>
    <t>exultant</t>
  </si>
  <si>
    <t>exultantly</t>
  </si>
  <si>
    <t>fabulous</t>
  </si>
  <si>
    <t>fad</t>
  </si>
  <si>
    <t>fail</t>
  </si>
  <si>
    <t>failed</t>
  </si>
  <si>
    <t>failing</t>
  </si>
  <si>
    <t>fails</t>
  </si>
  <si>
    <t>failure</t>
  </si>
  <si>
    <t>failures</t>
  </si>
  <si>
    <t>fainthearted</t>
  </si>
  <si>
    <t>fair</t>
  </si>
  <si>
    <t>faith</t>
  </si>
  <si>
    <t>faithful</t>
  </si>
  <si>
    <t>fake</t>
  </si>
  <si>
    <t>fakes</t>
  </si>
  <si>
    <t>faking</t>
  </si>
  <si>
    <t>fallen</t>
  </si>
  <si>
    <t>falling</t>
  </si>
  <si>
    <t>falsified</t>
  </si>
  <si>
    <t>falsify</t>
  </si>
  <si>
    <t>fame</t>
  </si>
  <si>
    <t>fan</t>
  </si>
  <si>
    <t>fantastic</t>
  </si>
  <si>
    <t>farce</t>
  </si>
  <si>
    <t>fascinate</t>
  </si>
  <si>
    <t>fascinated</t>
  </si>
  <si>
    <t>fascinates</t>
  </si>
  <si>
    <t>fascinating</t>
  </si>
  <si>
    <t>fascist</t>
  </si>
  <si>
    <t>fascists</t>
  </si>
  <si>
    <t>fatalities</t>
  </si>
  <si>
    <t>fatality</t>
  </si>
  <si>
    <t>fatigue</t>
  </si>
  <si>
    <t>fatigued</t>
  </si>
  <si>
    <t>fatigues</t>
  </si>
  <si>
    <t>fatiguing</t>
  </si>
  <si>
    <t>favor</t>
  </si>
  <si>
    <t>favored</t>
  </si>
  <si>
    <t>favorite</t>
  </si>
  <si>
    <t>favorited</t>
  </si>
  <si>
    <t>favorites</t>
  </si>
  <si>
    <t>favors</t>
  </si>
  <si>
    <t>fear</t>
  </si>
  <si>
    <t>fearful</t>
  </si>
  <si>
    <t>fearing</t>
  </si>
  <si>
    <t>fearless</t>
  </si>
  <si>
    <t>fearsome</t>
  </si>
  <si>
    <t>feeble</t>
  </si>
  <si>
    <t>feeling</t>
  </si>
  <si>
    <t>felonies</t>
  </si>
  <si>
    <t>felony</t>
  </si>
  <si>
    <t>fervent</t>
  </si>
  <si>
    <t>fervid</t>
  </si>
  <si>
    <t>festive</t>
  </si>
  <si>
    <t>fiasco</t>
  </si>
  <si>
    <t>fidgety</t>
  </si>
  <si>
    <t>fight</t>
  </si>
  <si>
    <t>fine</t>
  </si>
  <si>
    <t>fire</t>
  </si>
  <si>
    <t>fired</t>
  </si>
  <si>
    <t>firing</t>
  </si>
  <si>
    <t>fit</t>
  </si>
  <si>
    <t>fitness</t>
  </si>
  <si>
    <t>flagship</t>
  </si>
  <si>
    <t>flees</t>
  </si>
  <si>
    <t>flop</t>
  </si>
  <si>
    <t>flops</t>
  </si>
  <si>
    <t>flu</t>
  </si>
  <si>
    <t>flustered</t>
  </si>
  <si>
    <t>focused</t>
  </si>
  <si>
    <t>fond</t>
  </si>
  <si>
    <t>fondness</t>
  </si>
  <si>
    <t>fool</t>
  </si>
  <si>
    <t>foolish</t>
  </si>
  <si>
    <t>fools</t>
  </si>
  <si>
    <t>forced</t>
  </si>
  <si>
    <t>foreclosure</t>
  </si>
  <si>
    <t>foreclosures</t>
  </si>
  <si>
    <t>forget</t>
  </si>
  <si>
    <t>forgetful</t>
  </si>
  <si>
    <t>forgive</t>
  </si>
  <si>
    <t>forgiving</t>
  </si>
  <si>
    <t>forgotten</t>
  </si>
  <si>
    <t>fortunate</t>
  </si>
  <si>
    <t>frantic</t>
  </si>
  <si>
    <t>fraud</t>
  </si>
  <si>
    <t>frauds</t>
  </si>
  <si>
    <t>fraudster</t>
  </si>
  <si>
    <t>fraudsters</t>
  </si>
  <si>
    <t>fraudulence</t>
  </si>
  <si>
    <t>fraudulent</t>
  </si>
  <si>
    <t>free</t>
  </si>
  <si>
    <t>freedom</t>
  </si>
  <si>
    <t>frenzy</t>
  </si>
  <si>
    <t>fresh</t>
  </si>
  <si>
    <t>friendly</t>
  </si>
  <si>
    <t>fright</t>
  </si>
  <si>
    <t>frightened</t>
  </si>
  <si>
    <t>frightening</t>
  </si>
  <si>
    <t>frikin</t>
  </si>
  <si>
    <t>frisky</t>
  </si>
  <si>
    <t>frowning</t>
  </si>
  <si>
    <t>frustrate</t>
  </si>
  <si>
    <t>frustrated</t>
  </si>
  <si>
    <t>frustrates</t>
  </si>
  <si>
    <t>frustrating</t>
  </si>
  <si>
    <t>frustration</t>
  </si>
  <si>
    <t>ftw</t>
  </si>
  <si>
    <t>fud</t>
  </si>
  <si>
    <t>fuking</t>
  </si>
  <si>
    <t>fulfill</t>
  </si>
  <si>
    <t>fulfilled</t>
  </si>
  <si>
    <t>fulfills</t>
  </si>
  <si>
    <t>fuming</t>
  </si>
  <si>
    <t>fun</t>
  </si>
  <si>
    <t>funeral</t>
  </si>
  <si>
    <t>funerals</t>
  </si>
  <si>
    <t>funky</t>
  </si>
  <si>
    <t>funnier</t>
  </si>
  <si>
    <t>funny</t>
  </si>
  <si>
    <t>furious</t>
  </si>
  <si>
    <t>futile</t>
  </si>
  <si>
    <t>gag</t>
  </si>
  <si>
    <t>gagged</t>
  </si>
  <si>
    <t>gain</t>
  </si>
  <si>
    <t>gained</t>
  </si>
  <si>
    <t>gaining</t>
  </si>
  <si>
    <t>gains</t>
  </si>
  <si>
    <t>gallant</t>
  </si>
  <si>
    <t>gallantly</t>
  </si>
  <si>
    <t>gallantry</t>
  </si>
  <si>
    <t>generous</t>
  </si>
  <si>
    <t>genial</t>
  </si>
  <si>
    <t>ghost</t>
  </si>
  <si>
    <t>giddy</t>
  </si>
  <si>
    <t>gift</t>
  </si>
  <si>
    <t>glad</t>
  </si>
  <si>
    <t>glamorous</t>
  </si>
  <si>
    <t>glamourous</t>
  </si>
  <si>
    <t>glee</t>
  </si>
  <si>
    <t>gleeful</t>
  </si>
  <si>
    <t>gloom</t>
  </si>
  <si>
    <t>gloomy</t>
  </si>
  <si>
    <t>glorious</t>
  </si>
  <si>
    <t>glory</t>
  </si>
  <si>
    <t>glum</t>
  </si>
  <si>
    <t>god</t>
  </si>
  <si>
    <t>goddamn</t>
  </si>
  <si>
    <t>godsend</t>
  </si>
  <si>
    <t>good</t>
  </si>
  <si>
    <t>goodness</t>
  </si>
  <si>
    <t>grace</t>
  </si>
  <si>
    <t>gracious</t>
  </si>
  <si>
    <t>grand</t>
  </si>
  <si>
    <t>grant</t>
  </si>
  <si>
    <t>granted</t>
  </si>
  <si>
    <t>granting</t>
  </si>
  <si>
    <t>grants</t>
  </si>
  <si>
    <t>grateful</t>
  </si>
  <si>
    <t>gratification</t>
  </si>
  <si>
    <t>grave</t>
  </si>
  <si>
    <t>gray</t>
  </si>
  <si>
    <t>great</t>
  </si>
  <si>
    <t>greater</t>
  </si>
  <si>
    <t>greatest</t>
  </si>
  <si>
    <t>greed</t>
  </si>
  <si>
    <t>greedy</t>
  </si>
  <si>
    <t>greenwash</t>
  </si>
  <si>
    <t>greenwasher</t>
  </si>
  <si>
    <t>greenwashers</t>
  </si>
  <si>
    <t>greenwashing</t>
  </si>
  <si>
    <t>greet</t>
  </si>
  <si>
    <t>greeted</t>
  </si>
  <si>
    <t>greeting</t>
  </si>
  <si>
    <t>greetings</t>
  </si>
  <si>
    <t>greets</t>
  </si>
  <si>
    <t>grey</t>
  </si>
  <si>
    <t>grief</t>
  </si>
  <si>
    <t>grieved</t>
  </si>
  <si>
    <t>gross</t>
  </si>
  <si>
    <t>growing</t>
  </si>
  <si>
    <t>growth</t>
  </si>
  <si>
    <t>guarantee</t>
  </si>
  <si>
    <t>guilt</t>
  </si>
  <si>
    <t>guilty</t>
  </si>
  <si>
    <t>gullibility</t>
  </si>
  <si>
    <t>gullible</t>
  </si>
  <si>
    <t>gun</t>
  </si>
  <si>
    <t>hacked</t>
  </si>
  <si>
    <t>hail</t>
  </si>
  <si>
    <t>hailed</t>
  </si>
  <si>
    <t>hapless</t>
  </si>
  <si>
    <t>haplessness</t>
  </si>
  <si>
    <t>happiness</t>
  </si>
  <si>
    <t>happy</t>
  </si>
  <si>
    <t>hard</t>
  </si>
  <si>
    <t>hardier</t>
  </si>
  <si>
    <t>hardship</t>
  </si>
  <si>
    <t>hardy</t>
  </si>
  <si>
    <t>harm</t>
  </si>
  <si>
    <t>harmed</t>
  </si>
  <si>
    <t>harmful</t>
  </si>
  <si>
    <t>harming</t>
  </si>
  <si>
    <t>harms</t>
  </si>
  <si>
    <t>harried</t>
  </si>
  <si>
    <t>harsh</t>
  </si>
  <si>
    <t>harsher</t>
  </si>
  <si>
    <t>harshest</t>
  </si>
  <si>
    <t>hate</t>
  </si>
  <si>
    <t>hated</t>
  </si>
  <si>
    <t>haters</t>
  </si>
  <si>
    <t>hates</t>
  </si>
  <si>
    <t>hating</t>
  </si>
  <si>
    <t>haunt</t>
  </si>
  <si>
    <t>haunted</t>
  </si>
  <si>
    <t>haunting</t>
  </si>
  <si>
    <t>haunts</t>
  </si>
  <si>
    <t>havoc</t>
  </si>
  <si>
    <t>healthy</t>
  </si>
  <si>
    <t>heartbreaking</t>
  </si>
  <si>
    <t>heartbroken</t>
  </si>
  <si>
    <t>heartfelt</t>
  </si>
  <si>
    <t>heaven</t>
  </si>
  <si>
    <t>heavenly</t>
  </si>
  <si>
    <t>heavyhearted</t>
  </si>
  <si>
    <t>hell</t>
  </si>
  <si>
    <t>help</t>
  </si>
  <si>
    <t>helpful</t>
  </si>
  <si>
    <t>helping</t>
  </si>
  <si>
    <t>helpless</t>
  </si>
  <si>
    <t>helps</t>
  </si>
  <si>
    <t>hero</t>
  </si>
  <si>
    <t>heroes</t>
  </si>
  <si>
    <t>heroic</t>
  </si>
  <si>
    <t>hesitant</t>
  </si>
  <si>
    <t>hesitate</t>
  </si>
  <si>
    <t>hid</t>
  </si>
  <si>
    <t>hide</t>
  </si>
  <si>
    <t>hides</t>
  </si>
  <si>
    <t>hiding</t>
  </si>
  <si>
    <t>highlight</t>
  </si>
  <si>
    <t>hilarious</t>
  </si>
  <si>
    <t>hindrance</t>
  </si>
  <si>
    <t>hoax</t>
  </si>
  <si>
    <t>homesick</t>
  </si>
  <si>
    <t>honest</t>
  </si>
  <si>
    <t>honor</t>
  </si>
  <si>
    <t>honored</t>
  </si>
  <si>
    <t>honoring</t>
  </si>
  <si>
    <t>honour</t>
  </si>
  <si>
    <t>honoured</t>
  </si>
  <si>
    <t>honouring</t>
  </si>
  <si>
    <t>hooligan</t>
  </si>
  <si>
    <t>hooliganism</t>
  </si>
  <si>
    <t>hooligans</t>
  </si>
  <si>
    <t>hope</t>
  </si>
  <si>
    <t>hopeful</t>
  </si>
  <si>
    <t>hopefully</t>
  </si>
  <si>
    <t>hopeless</t>
  </si>
  <si>
    <t>hopelessness</t>
  </si>
  <si>
    <t>hopes</t>
  </si>
  <si>
    <t>hoping</t>
  </si>
  <si>
    <t>horrendous</t>
  </si>
  <si>
    <t>horrible</t>
  </si>
  <si>
    <t>horrific</t>
  </si>
  <si>
    <t>horrified</t>
  </si>
  <si>
    <t>hostile</t>
  </si>
  <si>
    <t>huckster</t>
  </si>
  <si>
    <t>hug</t>
  </si>
  <si>
    <t>huge</t>
  </si>
  <si>
    <t>hugs</t>
  </si>
  <si>
    <t>humerous</t>
  </si>
  <si>
    <t>humiliated</t>
  </si>
  <si>
    <t>humiliation</t>
  </si>
  <si>
    <t>humor</t>
  </si>
  <si>
    <t>humorous</t>
  </si>
  <si>
    <t>humour</t>
  </si>
  <si>
    <t>humourous</t>
  </si>
  <si>
    <t>hunger</t>
  </si>
  <si>
    <t>hurrah</t>
  </si>
  <si>
    <t>hurt</t>
  </si>
  <si>
    <t>hurting</t>
  </si>
  <si>
    <t>hurts</t>
  </si>
  <si>
    <t>hypocritical</t>
  </si>
  <si>
    <t>hysteria</t>
  </si>
  <si>
    <t>hysterical</t>
  </si>
  <si>
    <t>hysterics</t>
  </si>
  <si>
    <t>idiot</t>
  </si>
  <si>
    <t>idiotic</t>
  </si>
  <si>
    <t>ignorance</t>
  </si>
  <si>
    <t>ignorant</t>
  </si>
  <si>
    <t>ignore</t>
  </si>
  <si>
    <t>ignored</t>
  </si>
  <si>
    <t>ignores</t>
  </si>
  <si>
    <t>ill</t>
  </si>
  <si>
    <t>illegal</t>
  </si>
  <si>
    <t>illiteracy</t>
  </si>
  <si>
    <t>illness</t>
  </si>
  <si>
    <t>illnesses</t>
  </si>
  <si>
    <t>imbecile</t>
  </si>
  <si>
    <t>immobilized</t>
  </si>
  <si>
    <t>immortal</t>
  </si>
  <si>
    <t>immune</t>
  </si>
  <si>
    <t>impatient</t>
  </si>
  <si>
    <t>imperfect</t>
  </si>
  <si>
    <t>importance</t>
  </si>
  <si>
    <t>important</t>
  </si>
  <si>
    <t>impose</t>
  </si>
  <si>
    <t>imposed</t>
  </si>
  <si>
    <t>imposes</t>
  </si>
  <si>
    <t>imposing</t>
  </si>
  <si>
    <t>impotent</t>
  </si>
  <si>
    <t>impress</t>
  </si>
  <si>
    <t>impressed</t>
  </si>
  <si>
    <t>impresses</t>
  </si>
  <si>
    <t>impressive</t>
  </si>
  <si>
    <t>imprisoned</t>
  </si>
  <si>
    <t>improve</t>
  </si>
  <si>
    <t>improved</t>
  </si>
  <si>
    <t>improvement</t>
  </si>
  <si>
    <t>improves</t>
  </si>
  <si>
    <t>improving</t>
  </si>
  <si>
    <t>inability</t>
  </si>
  <si>
    <t>inaction</t>
  </si>
  <si>
    <t>inadequate</t>
  </si>
  <si>
    <t>incapable</t>
  </si>
  <si>
    <t>incapacitated</t>
  </si>
  <si>
    <t>incensed</t>
  </si>
  <si>
    <t>incompetence</t>
  </si>
  <si>
    <t>incompetent</t>
  </si>
  <si>
    <t>inconsiderate</t>
  </si>
  <si>
    <t>inconvenience</t>
  </si>
  <si>
    <t>inconvenient</t>
  </si>
  <si>
    <t>increase</t>
  </si>
  <si>
    <t>increased</t>
  </si>
  <si>
    <t>indecisive</t>
  </si>
  <si>
    <t>indestructible</t>
  </si>
  <si>
    <t>indifference</t>
  </si>
  <si>
    <t>indifferent</t>
  </si>
  <si>
    <t>indignant</t>
  </si>
  <si>
    <t>indignation</t>
  </si>
  <si>
    <t>indoctrinate</t>
  </si>
  <si>
    <t>indoctrinated</t>
  </si>
  <si>
    <t>indoctrinates</t>
  </si>
  <si>
    <t>indoctrinating</t>
  </si>
  <si>
    <t>ineffective</t>
  </si>
  <si>
    <t>ineffectively</t>
  </si>
  <si>
    <t>infatuated</t>
  </si>
  <si>
    <t>infatuation</t>
  </si>
  <si>
    <t>infected</t>
  </si>
  <si>
    <t>inferior</t>
  </si>
  <si>
    <t>inflamed</t>
  </si>
  <si>
    <t>influential</t>
  </si>
  <si>
    <t>infringement</t>
  </si>
  <si>
    <t>infuriate</t>
  </si>
  <si>
    <t>infuriated</t>
  </si>
  <si>
    <t>infuriates</t>
  </si>
  <si>
    <t>infuriating</t>
  </si>
  <si>
    <t>inhibit</t>
  </si>
  <si>
    <t>injured</t>
  </si>
  <si>
    <t>injury</t>
  </si>
  <si>
    <t>injustice</t>
  </si>
  <si>
    <t>innovate</t>
  </si>
  <si>
    <t>innovates</t>
  </si>
  <si>
    <t>innovation</t>
  </si>
  <si>
    <t>innovative</t>
  </si>
  <si>
    <t>inquisition</t>
  </si>
  <si>
    <t>inquisitive</t>
  </si>
  <si>
    <t>insane</t>
  </si>
  <si>
    <t>insanity</t>
  </si>
  <si>
    <t>insecure</t>
  </si>
  <si>
    <t>insensitive</t>
  </si>
  <si>
    <t>insensitivity</t>
  </si>
  <si>
    <t>insignificant</t>
  </si>
  <si>
    <t>insipid</t>
  </si>
  <si>
    <t>inspiration</t>
  </si>
  <si>
    <t>inspirational</t>
  </si>
  <si>
    <t>inspire</t>
  </si>
  <si>
    <t>inspired</t>
  </si>
  <si>
    <t>inspires</t>
  </si>
  <si>
    <t>inspiring</t>
  </si>
  <si>
    <t>insult</t>
  </si>
  <si>
    <t>insulted</t>
  </si>
  <si>
    <t>insulting</t>
  </si>
  <si>
    <t>insults</t>
  </si>
  <si>
    <t>intact</t>
  </si>
  <si>
    <t>integrity</t>
  </si>
  <si>
    <t>intelligent</t>
  </si>
  <si>
    <t>intense</t>
  </si>
  <si>
    <t>interest</t>
  </si>
  <si>
    <t>interested</t>
  </si>
  <si>
    <t>interesting</t>
  </si>
  <si>
    <t>interests</t>
  </si>
  <si>
    <t>interrogated</t>
  </si>
  <si>
    <t>interrupt</t>
  </si>
  <si>
    <t>interrupted</t>
  </si>
  <si>
    <t>interrupting</t>
  </si>
  <si>
    <t>interruption</t>
  </si>
  <si>
    <t>interrupts</t>
  </si>
  <si>
    <t>intimidate</t>
  </si>
  <si>
    <t>intimidated</t>
  </si>
  <si>
    <t>intimidates</t>
  </si>
  <si>
    <t>intimidating</t>
  </si>
  <si>
    <t>intimidation</t>
  </si>
  <si>
    <t>intricate</t>
  </si>
  <si>
    <t>intrigues</t>
  </si>
  <si>
    <t>invincible</t>
  </si>
  <si>
    <t>invite</t>
  </si>
  <si>
    <t>inviting</t>
  </si>
  <si>
    <t>invulnerable</t>
  </si>
  <si>
    <t>irate</t>
  </si>
  <si>
    <t>ironic</t>
  </si>
  <si>
    <t>irony</t>
  </si>
  <si>
    <t>irrational</t>
  </si>
  <si>
    <t>irresistible</t>
  </si>
  <si>
    <t>irresolute</t>
  </si>
  <si>
    <t>irresponsible</t>
  </si>
  <si>
    <t>irreversible</t>
  </si>
  <si>
    <t>irritate</t>
  </si>
  <si>
    <t>irritated</t>
  </si>
  <si>
    <t>irritating</t>
  </si>
  <si>
    <t>isolated</t>
  </si>
  <si>
    <t>itchy</t>
  </si>
  <si>
    <t>jailed</t>
  </si>
  <si>
    <t>jaunty</t>
  </si>
  <si>
    <t>jealous</t>
  </si>
  <si>
    <t>jeopardy</t>
  </si>
  <si>
    <t>jerk</t>
  </si>
  <si>
    <t>jesus</t>
  </si>
  <si>
    <t>jewel</t>
  </si>
  <si>
    <t>jewels</t>
  </si>
  <si>
    <t>jocular</t>
  </si>
  <si>
    <t>join</t>
  </si>
  <si>
    <t>joke</t>
  </si>
  <si>
    <t>jokes</t>
  </si>
  <si>
    <t>jolly</t>
  </si>
  <si>
    <t>jovial</t>
  </si>
  <si>
    <t>joy</t>
  </si>
  <si>
    <t>joyful</t>
  </si>
  <si>
    <t>joyfully</t>
  </si>
  <si>
    <t>joyless</t>
  </si>
  <si>
    <t>joyous</t>
  </si>
  <si>
    <t>jubilant</t>
  </si>
  <si>
    <t>jumpy</t>
  </si>
  <si>
    <t>justice</t>
  </si>
  <si>
    <t>justifiably</t>
  </si>
  <si>
    <t>justified</t>
  </si>
  <si>
    <t>keen</t>
  </si>
  <si>
    <t>kill</t>
  </si>
  <si>
    <t>killed</t>
  </si>
  <si>
    <t>killing</t>
  </si>
  <si>
    <t>kills</t>
  </si>
  <si>
    <t>kind</t>
  </si>
  <si>
    <t>kinder</t>
  </si>
  <si>
    <t>kiss</t>
  </si>
  <si>
    <t>kudos</t>
  </si>
  <si>
    <t>lack</t>
  </si>
  <si>
    <t>lackadaisical</t>
  </si>
  <si>
    <t>lag</t>
  </si>
  <si>
    <t>lagged</t>
  </si>
  <si>
    <t>lagging</t>
  </si>
  <si>
    <t>lags</t>
  </si>
  <si>
    <t>lame</t>
  </si>
  <si>
    <t>landmark</t>
  </si>
  <si>
    <t>laugh</t>
  </si>
  <si>
    <t>laughed</t>
  </si>
  <si>
    <t>laughing</t>
  </si>
  <si>
    <t>laughs</t>
  </si>
  <si>
    <t>laughting</t>
  </si>
  <si>
    <t>launched</t>
  </si>
  <si>
    <t>lawl</t>
  </si>
  <si>
    <t>lawsuit</t>
  </si>
  <si>
    <t>lawsuits</t>
  </si>
  <si>
    <t>lazy</t>
  </si>
  <si>
    <t>leak</t>
  </si>
  <si>
    <t>leaked</t>
  </si>
  <si>
    <t>leave</t>
  </si>
  <si>
    <t>legal</t>
  </si>
  <si>
    <t>legally</t>
  </si>
  <si>
    <t>lenient</t>
  </si>
  <si>
    <t>lethargic</t>
  </si>
  <si>
    <t>lethargy</t>
  </si>
  <si>
    <t>liar</t>
  </si>
  <si>
    <t>liars</t>
  </si>
  <si>
    <t>libelous</t>
  </si>
  <si>
    <t>lied</t>
  </si>
  <si>
    <t>lifesaver</t>
  </si>
  <si>
    <t>lighthearted</t>
  </si>
  <si>
    <t>like</t>
  </si>
  <si>
    <t>liked</t>
  </si>
  <si>
    <t>likes</t>
  </si>
  <si>
    <t>limitation</t>
  </si>
  <si>
    <t>limited</t>
  </si>
  <si>
    <t>limits</t>
  </si>
  <si>
    <t>litigation</t>
  </si>
  <si>
    <t>litigious</t>
  </si>
  <si>
    <t>lively</t>
  </si>
  <si>
    <t>livid</t>
  </si>
  <si>
    <t>loathe</t>
  </si>
  <si>
    <t>loathed</t>
  </si>
  <si>
    <t>loathes</t>
  </si>
  <si>
    <t>loathing</t>
  </si>
  <si>
    <t>lobby</t>
  </si>
  <si>
    <t>lobbying</t>
  </si>
  <si>
    <t>lonely</t>
  </si>
  <si>
    <t>lonesome</t>
  </si>
  <si>
    <t>longing</t>
  </si>
  <si>
    <t>loom</t>
  </si>
  <si>
    <t>loomed</t>
  </si>
  <si>
    <t>looming</t>
  </si>
  <si>
    <t>looms</t>
  </si>
  <si>
    <t>loose</t>
  </si>
  <si>
    <t>looses</t>
  </si>
  <si>
    <t>loser</t>
  </si>
  <si>
    <t>losing</t>
  </si>
  <si>
    <t>loss</t>
  </si>
  <si>
    <t>lost</t>
  </si>
  <si>
    <t>lovable</t>
  </si>
  <si>
    <t>love</t>
  </si>
  <si>
    <t>loved</t>
  </si>
  <si>
    <t>lovelies</t>
  </si>
  <si>
    <t>lovely</t>
  </si>
  <si>
    <t>loving</t>
  </si>
  <si>
    <t>lowest</t>
  </si>
  <si>
    <t>loyal</t>
  </si>
  <si>
    <t>loyalty</t>
  </si>
  <si>
    <t>luck</t>
  </si>
  <si>
    <t>luckily</t>
  </si>
  <si>
    <t>lucky</t>
  </si>
  <si>
    <t>lugubrious</t>
  </si>
  <si>
    <t>lunatic</t>
  </si>
  <si>
    <t>lunatics</t>
  </si>
  <si>
    <t>lurk</t>
  </si>
  <si>
    <t>lurking</t>
  </si>
  <si>
    <t>lurks</t>
  </si>
  <si>
    <t>mad</t>
  </si>
  <si>
    <t>maddening</t>
  </si>
  <si>
    <t>madly</t>
  </si>
  <si>
    <t>madness</t>
  </si>
  <si>
    <t>mandatory</t>
  </si>
  <si>
    <t>manipulated</t>
  </si>
  <si>
    <t>manipulating</t>
  </si>
  <si>
    <t>manipulation</t>
  </si>
  <si>
    <t>marvel</t>
  </si>
  <si>
    <t>marvelous</t>
  </si>
  <si>
    <t>marvels</t>
  </si>
  <si>
    <t>masterpiece</t>
  </si>
  <si>
    <t>masterpieces</t>
  </si>
  <si>
    <t>matter</t>
  </si>
  <si>
    <t>matters</t>
  </si>
  <si>
    <t>mature</t>
  </si>
  <si>
    <t>meaningful</t>
  </si>
  <si>
    <t>meaningless</t>
  </si>
  <si>
    <t>medal</t>
  </si>
  <si>
    <t>mediocrity</t>
  </si>
  <si>
    <t>meditative</t>
  </si>
  <si>
    <t>melancholy</t>
  </si>
  <si>
    <t>menace</t>
  </si>
  <si>
    <t>menaced</t>
  </si>
  <si>
    <t>mercy</t>
  </si>
  <si>
    <t>merry</t>
  </si>
  <si>
    <t>mess</t>
  </si>
  <si>
    <t>messed</t>
  </si>
  <si>
    <t>methodical</t>
  </si>
  <si>
    <t>mindless</t>
  </si>
  <si>
    <t>miracle</t>
  </si>
  <si>
    <t>mirth</t>
  </si>
  <si>
    <t>mirthful</t>
  </si>
  <si>
    <t>mirthfully</t>
  </si>
  <si>
    <t>misbehave</t>
  </si>
  <si>
    <t>misbehaved</t>
  </si>
  <si>
    <t>misbehaves</t>
  </si>
  <si>
    <t>misbehaving</t>
  </si>
  <si>
    <t>mischief</t>
  </si>
  <si>
    <t>mischiefs</t>
  </si>
  <si>
    <t>miserable</t>
  </si>
  <si>
    <t>misery</t>
  </si>
  <si>
    <t>misgiving</t>
  </si>
  <si>
    <t>misinformation</t>
  </si>
  <si>
    <t>misinformed</t>
  </si>
  <si>
    <t>misinterpreted</t>
  </si>
  <si>
    <t>misleading</t>
  </si>
  <si>
    <t>misread</t>
  </si>
  <si>
    <t>misreporting</t>
  </si>
  <si>
    <t>misrepresentation</t>
  </si>
  <si>
    <t>miss</t>
  </si>
  <si>
    <t>missed</t>
  </si>
  <si>
    <t>missing</t>
  </si>
  <si>
    <t>mistake</t>
  </si>
  <si>
    <t>mistaken</t>
  </si>
  <si>
    <t>mistakes</t>
  </si>
  <si>
    <t>mistaking</t>
  </si>
  <si>
    <t>misunderstand</t>
  </si>
  <si>
    <t>misunderstanding</t>
  </si>
  <si>
    <t>misunderstands</t>
  </si>
  <si>
    <t>misunderstood</t>
  </si>
  <si>
    <t>moan</t>
  </si>
  <si>
    <t>moaned</t>
  </si>
  <si>
    <t>moaning</t>
  </si>
  <si>
    <t>moans</t>
  </si>
  <si>
    <t>mock</t>
  </si>
  <si>
    <t>mocked</t>
  </si>
  <si>
    <t>mocking</t>
  </si>
  <si>
    <t>mocks</t>
  </si>
  <si>
    <t>mongering</t>
  </si>
  <si>
    <t>monopolize</t>
  </si>
  <si>
    <t>monopolized</t>
  </si>
  <si>
    <t>monopolizes</t>
  </si>
  <si>
    <t>monopolizing</t>
  </si>
  <si>
    <t>moody</t>
  </si>
  <si>
    <t>mope</t>
  </si>
  <si>
    <t>moping</t>
  </si>
  <si>
    <t>moron</t>
  </si>
  <si>
    <t>motherfucker</t>
  </si>
  <si>
    <t>motherfucking</t>
  </si>
  <si>
    <t>motivate</t>
  </si>
  <si>
    <t>motivated</t>
  </si>
  <si>
    <t>motivating</t>
  </si>
  <si>
    <t>motivation</t>
  </si>
  <si>
    <t>mourn</t>
  </si>
  <si>
    <t>mourned</t>
  </si>
  <si>
    <t>mournful</t>
  </si>
  <si>
    <t>mourning</t>
  </si>
  <si>
    <t>mourns</t>
  </si>
  <si>
    <t>mumpish</t>
  </si>
  <si>
    <t>murder</t>
  </si>
  <si>
    <t>murderer</t>
  </si>
  <si>
    <t>murdering</t>
  </si>
  <si>
    <t>murderous</t>
  </si>
  <si>
    <t>murders</t>
  </si>
  <si>
    <t>myth</t>
  </si>
  <si>
    <t>naive</t>
  </si>
  <si>
    <t>nasty</t>
  </si>
  <si>
    <t>natural</t>
  </si>
  <si>
    <t>needy</t>
  </si>
  <si>
    <t>negative</t>
  </si>
  <si>
    <t>negativity</t>
  </si>
  <si>
    <t>neglect</t>
  </si>
  <si>
    <t>neglected</t>
  </si>
  <si>
    <t>neglecting</t>
  </si>
  <si>
    <t>neglects</t>
  </si>
  <si>
    <t>nerves</t>
  </si>
  <si>
    <t>nervous</t>
  </si>
  <si>
    <t>nervously</t>
  </si>
  <si>
    <t>nice</t>
  </si>
  <si>
    <t>nifty</t>
  </si>
  <si>
    <t>no</t>
  </si>
  <si>
    <t>noble</t>
  </si>
  <si>
    <t>noisy</t>
  </si>
  <si>
    <t>nonsense</t>
  </si>
  <si>
    <t>noob</t>
  </si>
  <si>
    <t>nosey</t>
  </si>
  <si>
    <t>notorious</t>
  </si>
  <si>
    <t>novel</t>
  </si>
  <si>
    <t>numb</t>
  </si>
  <si>
    <t>nuts</t>
  </si>
  <si>
    <t>obliterate</t>
  </si>
  <si>
    <t>obliterated</t>
  </si>
  <si>
    <t>obnoxious</t>
  </si>
  <si>
    <t>obscene</t>
  </si>
  <si>
    <t>obsessed</t>
  </si>
  <si>
    <t>obsolete</t>
  </si>
  <si>
    <t>obstacle</t>
  </si>
  <si>
    <t>obstacles</t>
  </si>
  <si>
    <t>obstinate</t>
  </si>
  <si>
    <t>odd</t>
  </si>
  <si>
    <t>offend</t>
  </si>
  <si>
    <t>offended</t>
  </si>
  <si>
    <t>offender</t>
  </si>
  <si>
    <t>offending</t>
  </si>
  <si>
    <t>offends</t>
  </si>
  <si>
    <t>offline</t>
  </si>
  <si>
    <t>ominous</t>
  </si>
  <si>
    <t>opportunities</t>
  </si>
  <si>
    <t>opportunity</t>
  </si>
  <si>
    <t>oppressed</t>
  </si>
  <si>
    <t>oppressive</t>
  </si>
  <si>
    <t>optimism</t>
  </si>
  <si>
    <t>optimistic</t>
  </si>
  <si>
    <t>optionless</t>
  </si>
  <si>
    <t>outcry</t>
  </si>
  <si>
    <t>outmaneuvered</t>
  </si>
  <si>
    <t>outrage</t>
  </si>
  <si>
    <t>outraged</t>
  </si>
  <si>
    <t>outreach</t>
  </si>
  <si>
    <t>outstanding</t>
  </si>
  <si>
    <t>overjoyed</t>
  </si>
  <si>
    <t>overload</t>
  </si>
  <si>
    <t>overlooked</t>
  </si>
  <si>
    <t>overreact</t>
  </si>
  <si>
    <t>overreacted</t>
  </si>
  <si>
    <t>overreaction</t>
  </si>
  <si>
    <t>overreacts</t>
  </si>
  <si>
    <t>oversell</t>
  </si>
  <si>
    <t>overselling</t>
  </si>
  <si>
    <t>oversells</t>
  </si>
  <si>
    <t>oversimplification</t>
  </si>
  <si>
    <t>oversimplified</t>
  </si>
  <si>
    <t>oversimplifies</t>
  </si>
  <si>
    <t>oversimplify</t>
  </si>
  <si>
    <t>overstatement</t>
  </si>
  <si>
    <t>overstatements</t>
  </si>
  <si>
    <t>overweight</t>
  </si>
  <si>
    <t>oxymoron</t>
  </si>
  <si>
    <t>pain</t>
  </si>
  <si>
    <t>pained</t>
  </si>
  <si>
    <t>panic</t>
  </si>
  <si>
    <t>panicked</t>
  </si>
  <si>
    <t>panics</t>
  </si>
  <si>
    <t>paradise</t>
  </si>
  <si>
    <t>paradox</t>
  </si>
  <si>
    <t>pardon</t>
  </si>
  <si>
    <t>pardoned</t>
  </si>
  <si>
    <t>pardoning</t>
  </si>
  <si>
    <t>pardons</t>
  </si>
  <si>
    <t>parley</t>
  </si>
  <si>
    <t>passionate</t>
  </si>
  <si>
    <t>passive</t>
  </si>
  <si>
    <t>passively</t>
  </si>
  <si>
    <t>pathetic</t>
  </si>
  <si>
    <t>pay</t>
  </si>
  <si>
    <t>peace</t>
  </si>
  <si>
    <t>peaceful</t>
  </si>
  <si>
    <t>peacefully</t>
  </si>
  <si>
    <t>penalty</t>
  </si>
  <si>
    <t>pensive</t>
  </si>
  <si>
    <t>perfect</t>
  </si>
  <si>
    <t>perfected</t>
  </si>
  <si>
    <t>perfectly</t>
  </si>
  <si>
    <t>perfects</t>
  </si>
  <si>
    <t>peril</t>
  </si>
  <si>
    <t>perjury</t>
  </si>
  <si>
    <t>perpetrator</t>
  </si>
  <si>
    <t>perpetrators</t>
  </si>
  <si>
    <t>perplexed</t>
  </si>
  <si>
    <t>persecute</t>
  </si>
  <si>
    <t>persecuted</t>
  </si>
  <si>
    <t>persecutes</t>
  </si>
  <si>
    <t>persecuting</t>
  </si>
  <si>
    <t>perturbed</t>
  </si>
  <si>
    <t>pesky</t>
  </si>
  <si>
    <t>pessimism</t>
  </si>
  <si>
    <t>pessimistic</t>
  </si>
  <si>
    <t>petrified</t>
  </si>
  <si>
    <t>phobic</t>
  </si>
  <si>
    <t>picturesque</t>
  </si>
  <si>
    <t>pileup</t>
  </si>
  <si>
    <t>pique</t>
  </si>
  <si>
    <t>piqued</t>
  </si>
  <si>
    <t>piss</t>
  </si>
  <si>
    <t>pissed</t>
  </si>
  <si>
    <t>pissing</t>
  </si>
  <si>
    <t>piteous</t>
  </si>
  <si>
    <t>pitied</t>
  </si>
  <si>
    <t>pity</t>
  </si>
  <si>
    <t>playful</t>
  </si>
  <si>
    <t>pleasant</t>
  </si>
  <si>
    <t>please</t>
  </si>
  <si>
    <t>pleased</t>
  </si>
  <si>
    <t>pleasure</t>
  </si>
  <si>
    <t>poised</t>
  </si>
  <si>
    <t>poisoned</t>
  </si>
  <si>
    <t>poisons</t>
  </si>
  <si>
    <t>pollute</t>
  </si>
  <si>
    <t>polluted</t>
  </si>
  <si>
    <t>polluter</t>
  </si>
  <si>
    <t>polluters</t>
  </si>
  <si>
    <t>pollutes</t>
  </si>
  <si>
    <t>poor</t>
  </si>
  <si>
    <t>poorer</t>
  </si>
  <si>
    <t>poorest</t>
  </si>
  <si>
    <t>popular</t>
  </si>
  <si>
    <t>positive</t>
  </si>
  <si>
    <t>positively</t>
  </si>
  <si>
    <t>possessive</t>
  </si>
  <si>
    <t>postpone</t>
  </si>
  <si>
    <t>postponed</t>
  </si>
  <si>
    <t>postpones</t>
  </si>
  <si>
    <t>postponing</t>
  </si>
  <si>
    <t>poverty</t>
  </si>
  <si>
    <t>powerful</t>
  </si>
  <si>
    <t>powerless</t>
  </si>
  <si>
    <t>praise</t>
  </si>
  <si>
    <t>praised</t>
  </si>
  <si>
    <t>praises</t>
  </si>
  <si>
    <t>praising</t>
  </si>
  <si>
    <t>pray</t>
  </si>
  <si>
    <t>praying</t>
  </si>
  <si>
    <t>prays</t>
  </si>
  <si>
    <t>prblm</t>
  </si>
  <si>
    <t>prblms</t>
  </si>
  <si>
    <t>prepared</t>
  </si>
  <si>
    <t>pressure</t>
  </si>
  <si>
    <t>pressured</t>
  </si>
  <si>
    <t>pretend</t>
  </si>
  <si>
    <t>pretending</t>
  </si>
  <si>
    <t>pretends</t>
  </si>
  <si>
    <t>pretty</t>
  </si>
  <si>
    <t>prevent</t>
  </si>
  <si>
    <t>prevented</t>
  </si>
  <si>
    <t>preventing</t>
  </si>
  <si>
    <t>prevents</t>
  </si>
  <si>
    <t>prick</t>
  </si>
  <si>
    <t>prison</t>
  </si>
  <si>
    <t>prisoner</t>
  </si>
  <si>
    <t>prisoners</t>
  </si>
  <si>
    <t>privileged</t>
  </si>
  <si>
    <t>proactive</t>
  </si>
  <si>
    <t>problem</t>
  </si>
  <si>
    <t>problems</t>
  </si>
  <si>
    <t>profiteer</t>
  </si>
  <si>
    <t>progress</t>
  </si>
  <si>
    <t>prominent</t>
  </si>
  <si>
    <t>promise</t>
  </si>
  <si>
    <t>promised</t>
  </si>
  <si>
    <t>promises</t>
  </si>
  <si>
    <t>promote</t>
  </si>
  <si>
    <t>promoted</t>
  </si>
  <si>
    <t>promotes</t>
  </si>
  <si>
    <t>promoting</t>
  </si>
  <si>
    <t>propaganda</t>
  </si>
  <si>
    <t>prosecute</t>
  </si>
  <si>
    <t>prosecuted</t>
  </si>
  <si>
    <t>prosecutes</t>
  </si>
  <si>
    <t>prosecution</t>
  </si>
  <si>
    <t>prospect</t>
  </si>
  <si>
    <t>prospects</t>
  </si>
  <si>
    <t>prosperous</t>
  </si>
  <si>
    <t>protect</t>
  </si>
  <si>
    <t>protected</t>
  </si>
  <si>
    <t>protects</t>
  </si>
  <si>
    <t>protest</t>
  </si>
  <si>
    <t>protesters</t>
  </si>
  <si>
    <t>protesting</t>
  </si>
  <si>
    <t>protests</t>
  </si>
  <si>
    <t>proud</t>
  </si>
  <si>
    <t>proudly</t>
  </si>
  <si>
    <t>provoke</t>
  </si>
  <si>
    <t>provoked</t>
  </si>
  <si>
    <t>provokes</t>
  </si>
  <si>
    <t>provoking</t>
  </si>
  <si>
    <t>pseudoscience</t>
  </si>
  <si>
    <t>punish</t>
  </si>
  <si>
    <t>punished</t>
  </si>
  <si>
    <t>punishes</t>
  </si>
  <si>
    <t>punitive</t>
  </si>
  <si>
    <t>pushy</t>
  </si>
  <si>
    <t>puzzled</t>
  </si>
  <si>
    <t>quaking</t>
  </si>
  <si>
    <t>questionable</t>
  </si>
  <si>
    <t>questioned</t>
  </si>
  <si>
    <t>questioning</t>
  </si>
  <si>
    <t>racism</t>
  </si>
  <si>
    <t>racist</t>
  </si>
  <si>
    <t>racists</t>
  </si>
  <si>
    <t>rage</t>
  </si>
  <si>
    <t>rageful</t>
  </si>
  <si>
    <t>rainy</t>
  </si>
  <si>
    <t>rant</t>
  </si>
  <si>
    <t>ranter</t>
  </si>
  <si>
    <t>ranters</t>
  </si>
  <si>
    <t>rants</t>
  </si>
  <si>
    <t>rape</t>
  </si>
  <si>
    <t>rapist</t>
  </si>
  <si>
    <t>rapture</t>
  </si>
  <si>
    <t>raptured</t>
  </si>
  <si>
    <t>raptures</t>
  </si>
  <si>
    <t>rapturous</t>
  </si>
  <si>
    <t>rash</t>
  </si>
  <si>
    <t>ratified</t>
  </si>
  <si>
    <t>reach</t>
  </si>
  <si>
    <t>reached</t>
  </si>
  <si>
    <t>reaches</t>
  </si>
  <si>
    <t>reaching</t>
  </si>
  <si>
    <t>reassure</t>
  </si>
  <si>
    <t>reassured</t>
  </si>
  <si>
    <t>reassures</t>
  </si>
  <si>
    <t>reassuring</t>
  </si>
  <si>
    <t>rebellion</t>
  </si>
  <si>
    <t>recession</t>
  </si>
  <si>
    <t>reckless</t>
  </si>
  <si>
    <t>recommend</t>
  </si>
  <si>
    <t>recommended</t>
  </si>
  <si>
    <t>recommends</t>
  </si>
  <si>
    <t>redeemed</t>
  </si>
  <si>
    <t>refuse</t>
  </si>
  <si>
    <t>refused</t>
  </si>
  <si>
    <t>refusing</t>
  </si>
  <si>
    <t>regret</t>
  </si>
  <si>
    <t>regretful</t>
  </si>
  <si>
    <t>regrets</t>
  </si>
  <si>
    <t>regretted</t>
  </si>
  <si>
    <t>regretting</t>
  </si>
  <si>
    <t>reject</t>
  </si>
  <si>
    <t>rejected</t>
  </si>
  <si>
    <t>rejecting</t>
  </si>
  <si>
    <t>rejects</t>
  </si>
  <si>
    <t>rejoice</t>
  </si>
  <si>
    <t>rejoiced</t>
  </si>
  <si>
    <t>rejoices</t>
  </si>
  <si>
    <t>rejoicing</t>
  </si>
  <si>
    <t>relaxed</t>
  </si>
  <si>
    <t>relentless</t>
  </si>
  <si>
    <t>reliant</t>
  </si>
  <si>
    <t>relieve</t>
  </si>
  <si>
    <t>relieved</t>
  </si>
  <si>
    <t>relieves</t>
  </si>
  <si>
    <t>relieving</t>
  </si>
  <si>
    <t>relishing</t>
  </si>
  <si>
    <t>remarkable</t>
  </si>
  <si>
    <t>remorse</t>
  </si>
  <si>
    <t>repulse</t>
  </si>
  <si>
    <t>repulsed</t>
  </si>
  <si>
    <t>rescue</t>
  </si>
  <si>
    <t>rescued</t>
  </si>
  <si>
    <t>rescues</t>
  </si>
  <si>
    <t>resentful</t>
  </si>
  <si>
    <t>resign</t>
  </si>
  <si>
    <t>resigned</t>
  </si>
  <si>
    <t>resigning</t>
  </si>
  <si>
    <t>resigns</t>
  </si>
  <si>
    <t>resolute</t>
  </si>
  <si>
    <t>resolve</t>
  </si>
  <si>
    <t>resolved</t>
  </si>
  <si>
    <t>resolves</t>
  </si>
  <si>
    <t>resolving</t>
  </si>
  <si>
    <t>respected</t>
  </si>
  <si>
    <t>responsible</t>
  </si>
  <si>
    <t>responsive</t>
  </si>
  <si>
    <t>restful</t>
  </si>
  <si>
    <t>restless</t>
  </si>
  <si>
    <t>restore</t>
  </si>
  <si>
    <t>restored</t>
  </si>
  <si>
    <t>restores</t>
  </si>
  <si>
    <t>restoring</t>
  </si>
  <si>
    <t>restrict</t>
  </si>
  <si>
    <t>restricted</t>
  </si>
  <si>
    <t>restricting</t>
  </si>
  <si>
    <t>restriction</t>
  </si>
  <si>
    <t>restricts</t>
  </si>
  <si>
    <t>retained</t>
  </si>
  <si>
    <t>retreat</t>
  </si>
  <si>
    <t>revenge</t>
  </si>
  <si>
    <t>revengeful</t>
  </si>
  <si>
    <t>revered</t>
  </si>
  <si>
    <t>revive</t>
  </si>
  <si>
    <t>revives</t>
  </si>
  <si>
    <t>reward</t>
  </si>
  <si>
    <t>rewarded</t>
  </si>
  <si>
    <t>rewarding</t>
  </si>
  <si>
    <t>rewards</t>
  </si>
  <si>
    <t>rich</t>
  </si>
  <si>
    <t>ridiculous</t>
  </si>
  <si>
    <t>rig</t>
  </si>
  <si>
    <t>rigged</t>
  </si>
  <si>
    <t>rigorous</t>
  </si>
  <si>
    <t>rigorously</t>
  </si>
  <si>
    <t>riot</t>
  </si>
  <si>
    <t>riots</t>
  </si>
  <si>
    <t>risk</t>
  </si>
  <si>
    <t>risks</t>
  </si>
  <si>
    <t>rob</t>
  </si>
  <si>
    <t>robber</t>
  </si>
  <si>
    <t>robed</t>
  </si>
  <si>
    <t>robing</t>
  </si>
  <si>
    <t>robs</t>
  </si>
  <si>
    <t>robust</t>
  </si>
  <si>
    <t>romance</t>
  </si>
  <si>
    <t>rotfl</t>
  </si>
  <si>
    <t>rotflmfao</t>
  </si>
  <si>
    <t>rotflol</t>
  </si>
  <si>
    <t>ruin</t>
  </si>
  <si>
    <t>ruined</t>
  </si>
  <si>
    <t>ruining</t>
  </si>
  <si>
    <t>ruins</t>
  </si>
  <si>
    <t>sabotage</t>
  </si>
  <si>
    <t>sad</t>
  </si>
  <si>
    <t>sadden</t>
  </si>
  <si>
    <t>saddened</t>
  </si>
  <si>
    <t>sadly</t>
  </si>
  <si>
    <t>safe</t>
  </si>
  <si>
    <t>safely</t>
  </si>
  <si>
    <t>safety</t>
  </si>
  <si>
    <t>salient</t>
  </si>
  <si>
    <t>sappy</t>
  </si>
  <si>
    <t>sarcastic</t>
  </si>
  <si>
    <t>satisfied</t>
  </si>
  <si>
    <t>save</t>
  </si>
  <si>
    <t>saved</t>
  </si>
  <si>
    <t>scam</t>
  </si>
  <si>
    <t>scams</t>
  </si>
  <si>
    <t>scandal</t>
  </si>
  <si>
    <t>scandalous</t>
  </si>
  <si>
    <t>scandals</t>
  </si>
  <si>
    <t>scapegoat</t>
  </si>
  <si>
    <t>scapegoats</t>
  </si>
  <si>
    <t>scare</t>
  </si>
  <si>
    <t>scared</t>
  </si>
  <si>
    <t>scary</t>
  </si>
  <si>
    <t>sceptical</t>
  </si>
  <si>
    <t>scold</t>
  </si>
  <si>
    <t>scoop</t>
  </si>
  <si>
    <t>scorn</t>
  </si>
  <si>
    <t>scornful</t>
  </si>
  <si>
    <t>scream</t>
  </si>
  <si>
    <t>screamed</t>
  </si>
  <si>
    <t>screaming</t>
  </si>
  <si>
    <t>screams</t>
  </si>
  <si>
    <t>screwed</t>
  </si>
  <si>
    <t>scumbag</t>
  </si>
  <si>
    <t>secure</t>
  </si>
  <si>
    <t>secured</t>
  </si>
  <si>
    <t>secures</t>
  </si>
  <si>
    <t>sedition</t>
  </si>
  <si>
    <t>seditious</t>
  </si>
  <si>
    <t>seduced</t>
  </si>
  <si>
    <t>selfish</t>
  </si>
  <si>
    <t>selfishness</t>
  </si>
  <si>
    <t>sentence</t>
  </si>
  <si>
    <t>sentenced</t>
  </si>
  <si>
    <t>sentences</t>
  </si>
  <si>
    <t>sentencing</t>
  </si>
  <si>
    <t>serene</t>
  </si>
  <si>
    <t>severe</t>
  </si>
  <si>
    <t>sexy</t>
  </si>
  <si>
    <t>shaky</t>
  </si>
  <si>
    <t>shame</t>
  </si>
  <si>
    <t>shamed</t>
  </si>
  <si>
    <t>shameful</t>
  </si>
  <si>
    <t>share</t>
  </si>
  <si>
    <t>shared</t>
  </si>
  <si>
    <t>shares</t>
  </si>
  <si>
    <t>shattered</t>
  </si>
  <si>
    <t>shock</t>
  </si>
  <si>
    <t>shocked</t>
  </si>
  <si>
    <t>shocking</t>
  </si>
  <si>
    <t>shocks</t>
  </si>
  <si>
    <t>shoot</t>
  </si>
  <si>
    <t>shortage</t>
  </si>
  <si>
    <t>shortages</t>
  </si>
  <si>
    <t>shrew</t>
  </si>
  <si>
    <t>shy</t>
  </si>
  <si>
    <t>sick</t>
  </si>
  <si>
    <t>sigh</t>
  </si>
  <si>
    <t>significance</t>
  </si>
  <si>
    <t>significant</t>
  </si>
  <si>
    <t>silencing</t>
  </si>
  <si>
    <t>silly</t>
  </si>
  <si>
    <t>sincere</t>
  </si>
  <si>
    <t>sincerely</t>
  </si>
  <si>
    <t>sincerest</t>
  </si>
  <si>
    <t>sincerity</t>
  </si>
  <si>
    <t>sinful</t>
  </si>
  <si>
    <t>singleminded</t>
  </si>
  <si>
    <t>skeptic</t>
  </si>
  <si>
    <t>skeptical</t>
  </si>
  <si>
    <t>skepticism</t>
  </si>
  <si>
    <t>skeptics</t>
  </si>
  <si>
    <t>slam</t>
  </si>
  <si>
    <t>slash</t>
  </si>
  <si>
    <t>slashed</t>
  </si>
  <si>
    <t>slashes</t>
  </si>
  <si>
    <t>slashing</t>
  </si>
  <si>
    <t>slavery</t>
  </si>
  <si>
    <t>sleeplessness</t>
  </si>
  <si>
    <t>slick</t>
  </si>
  <si>
    <t>slicker</t>
  </si>
  <si>
    <t>slickest</t>
  </si>
  <si>
    <t>sluggish</t>
  </si>
  <si>
    <t>smart</t>
  </si>
  <si>
    <t>smarter</t>
  </si>
  <si>
    <t>smartest</t>
  </si>
  <si>
    <t>smear</t>
  </si>
  <si>
    <t>smile</t>
  </si>
  <si>
    <t>smiled</t>
  </si>
  <si>
    <t>smiles</t>
  </si>
  <si>
    <t>smiling</t>
  </si>
  <si>
    <t>smog</t>
  </si>
  <si>
    <t>sneaky</t>
  </si>
  <si>
    <t>snub</t>
  </si>
  <si>
    <t>snubbed</t>
  </si>
  <si>
    <t>snubbing</t>
  </si>
  <si>
    <t>snubs</t>
  </si>
  <si>
    <t>sobering</t>
  </si>
  <si>
    <t>solemn</t>
  </si>
  <si>
    <t>solid</t>
  </si>
  <si>
    <t>solidarity</t>
  </si>
  <si>
    <t>solution</t>
  </si>
  <si>
    <t>solutions</t>
  </si>
  <si>
    <t>solve</t>
  </si>
  <si>
    <t>solved</t>
  </si>
  <si>
    <t>solves</t>
  </si>
  <si>
    <t>solving</t>
  </si>
  <si>
    <t>somber</t>
  </si>
  <si>
    <t>soothe</t>
  </si>
  <si>
    <t>soothed</t>
  </si>
  <si>
    <t>soothing</t>
  </si>
  <si>
    <t>sophisticated</t>
  </si>
  <si>
    <t>sore</t>
  </si>
  <si>
    <t>sorrow</t>
  </si>
  <si>
    <t>sorrowful</t>
  </si>
  <si>
    <t>sorry</t>
  </si>
  <si>
    <t>spam</t>
  </si>
  <si>
    <t>spammer</t>
  </si>
  <si>
    <t>spammers</t>
  </si>
  <si>
    <t>spamming</t>
  </si>
  <si>
    <t>spark</t>
  </si>
  <si>
    <t>sparkle</t>
  </si>
  <si>
    <t>sparkles</t>
  </si>
  <si>
    <t>sparkling</t>
  </si>
  <si>
    <t>speculative</t>
  </si>
  <si>
    <t>spirit</t>
  </si>
  <si>
    <t>spirited</t>
  </si>
  <si>
    <t>spiritless</t>
  </si>
  <si>
    <t>spiteful</t>
  </si>
  <si>
    <t>splendid</t>
  </si>
  <si>
    <t>sprightly</t>
  </si>
  <si>
    <t>squelched</t>
  </si>
  <si>
    <t>stab</t>
  </si>
  <si>
    <t>stabbed</t>
  </si>
  <si>
    <t>stable</t>
  </si>
  <si>
    <t>stabs</t>
  </si>
  <si>
    <t>stall</t>
  </si>
  <si>
    <t>stalled</t>
  </si>
  <si>
    <t>stalling</t>
  </si>
  <si>
    <t>stamina</t>
  </si>
  <si>
    <t>stampede</t>
  </si>
  <si>
    <t>startled</t>
  </si>
  <si>
    <t>starve</t>
  </si>
  <si>
    <t>starved</t>
  </si>
  <si>
    <t>starves</t>
  </si>
  <si>
    <t>starving</t>
  </si>
  <si>
    <t>steadfast</t>
  </si>
  <si>
    <t>steal</t>
  </si>
  <si>
    <t>steals</t>
  </si>
  <si>
    <t>stereotype</t>
  </si>
  <si>
    <t>stereotyped</t>
  </si>
  <si>
    <t>stifled</t>
  </si>
  <si>
    <t>stimulate</t>
  </si>
  <si>
    <t>stimulated</t>
  </si>
  <si>
    <t>stimulates</t>
  </si>
  <si>
    <t>stimulating</t>
  </si>
  <si>
    <t>stingy</t>
  </si>
  <si>
    <t>stolen</t>
  </si>
  <si>
    <t>stop</t>
  </si>
  <si>
    <t>stopped</t>
  </si>
  <si>
    <t>stopping</t>
  </si>
  <si>
    <t>stops</t>
  </si>
  <si>
    <t>stout</t>
  </si>
  <si>
    <t>straight</t>
  </si>
  <si>
    <t>strange</t>
  </si>
  <si>
    <t>strangely</t>
  </si>
  <si>
    <t>strangled</t>
  </si>
  <si>
    <t>strength</t>
  </si>
  <si>
    <t>strengthen</t>
  </si>
  <si>
    <t>strengthened</t>
  </si>
  <si>
    <t>strengthening</t>
  </si>
  <si>
    <t>strengthens</t>
  </si>
  <si>
    <t>stressed</t>
  </si>
  <si>
    <t>stressor</t>
  </si>
  <si>
    <t>stressors</t>
  </si>
  <si>
    <t>stricken</t>
  </si>
  <si>
    <t>strike</t>
  </si>
  <si>
    <t>strikers</t>
  </si>
  <si>
    <t>strikes</t>
  </si>
  <si>
    <t>strong</t>
  </si>
  <si>
    <t>stronger</t>
  </si>
  <si>
    <t>strongest</t>
  </si>
  <si>
    <t>struck</t>
  </si>
  <si>
    <t>struggle</t>
  </si>
  <si>
    <t>struggled</t>
  </si>
  <si>
    <t>struggles</t>
  </si>
  <si>
    <t>struggling</t>
  </si>
  <si>
    <t>stubborn</t>
  </si>
  <si>
    <t>stuck</t>
  </si>
  <si>
    <t>stunned</t>
  </si>
  <si>
    <t>stunning</t>
  </si>
  <si>
    <t>stupidly</t>
  </si>
  <si>
    <t>suave</t>
  </si>
  <si>
    <t>substantial</t>
  </si>
  <si>
    <t>substantially</t>
  </si>
  <si>
    <t>subversive</t>
  </si>
  <si>
    <t>success</t>
  </si>
  <si>
    <t>successful</t>
  </si>
  <si>
    <t>suck</t>
  </si>
  <si>
    <t>sucks</t>
  </si>
  <si>
    <t>suffer</t>
  </si>
  <si>
    <t>suffering</t>
  </si>
  <si>
    <t>suffers</t>
  </si>
  <si>
    <t>suicidal</t>
  </si>
  <si>
    <t>suicide</t>
  </si>
  <si>
    <t>suing</t>
  </si>
  <si>
    <t>sulking</t>
  </si>
  <si>
    <t>sulky</t>
  </si>
  <si>
    <t>sullen</t>
  </si>
  <si>
    <t>sunshine</t>
  </si>
  <si>
    <t>super</t>
  </si>
  <si>
    <t>superb</t>
  </si>
  <si>
    <t>superior</t>
  </si>
  <si>
    <t>support</t>
  </si>
  <si>
    <t>supported</t>
  </si>
  <si>
    <t>supporter</t>
  </si>
  <si>
    <t>supporters</t>
  </si>
  <si>
    <t>supporting</t>
  </si>
  <si>
    <t>supportive</t>
  </si>
  <si>
    <t>supports</t>
  </si>
  <si>
    <t>survived</t>
  </si>
  <si>
    <t>surviving</t>
  </si>
  <si>
    <t>survivor</t>
  </si>
  <si>
    <t>suspect</t>
  </si>
  <si>
    <t>suspected</t>
  </si>
  <si>
    <t>suspecting</t>
  </si>
  <si>
    <t>suspects</t>
  </si>
  <si>
    <t>suspend</t>
  </si>
  <si>
    <t>suspended</t>
  </si>
  <si>
    <t>suspicious</t>
  </si>
  <si>
    <t>swear</t>
  </si>
  <si>
    <t>swearing</t>
  </si>
  <si>
    <t>swears</t>
  </si>
  <si>
    <t>sweet</t>
  </si>
  <si>
    <t>swift</t>
  </si>
  <si>
    <t>swiftly</t>
  </si>
  <si>
    <t>swindle</t>
  </si>
  <si>
    <t>swindles</t>
  </si>
  <si>
    <t>swindling</t>
  </si>
  <si>
    <t>sympathetic</t>
  </si>
  <si>
    <t>sympathy</t>
  </si>
  <si>
    <t>tears</t>
  </si>
  <si>
    <t>tender</t>
  </si>
  <si>
    <t>tense</t>
  </si>
  <si>
    <t>tension</t>
  </si>
  <si>
    <t>terrible</t>
  </si>
  <si>
    <t>terribly</t>
  </si>
  <si>
    <t>terrific</t>
  </si>
  <si>
    <t>terrified</t>
  </si>
  <si>
    <t>terror</t>
  </si>
  <si>
    <t>terrorize</t>
  </si>
  <si>
    <t>terrorized</t>
  </si>
  <si>
    <t>terrorizes</t>
  </si>
  <si>
    <t>thank</t>
  </si>
  <si>
    <t>thankful</t>
  </si>
  <si>
    <t>thanks</t>
  </si>
  <si>
    <t>thorny</t>
  </si>
  <si>
    <t>thoughtful</t>
  </si>
  <si>
    <t>thoughtless</t>
  </si>
  <si>
    <t>threat</t>
  </si>
  <si>
    <t>threaten</t>
  </si>
  <si>
    <t>threatened</t>
  </si>
  <si>
    <t>threatening</t>
  </si>
  <si>
    <t>threatens</t>
  </si>
  <si>
    <t>threats</t>
  </si>
  <si>
    <t>thrilled</t>
  </si>
  <si>
    <t>thwart</t>
  </si>
  <si>
    <t>thwarted</t>
  </si>
  <si>
    <t>thwarting</t>
  </si>
  <si>
    <t>thwarts</t>
  </si>
  <si>
    <t>timid</t>
  </si>
  <si>
    <t>timorous</t>
  </si>
  <si>
    <t>tired</t>
  </si>
  <si>
    <t>tolerant</t>
  </si>
  <si>
    <t>toothless</t>
  </si>
  <si>
    <t>top</t>
  </si>
  <si>
    <t>tops</t>
  </si>
  <si>
    <t>torn</t>
  </si>
  <si>
    <t>torture</t>
  </si>
  <si>
    <t>tortured</t>
  </si>
  <si>
    <t>tortures</t>
  </si>
  <si>
    <t>torturing</t>
  </si>
  <si>
    <t>totalitarian</t>
  </si>
  <si>
    <t>totalitarianism</t>
  </si>
  <si>
    <t>tout</t>
  </si>
  <si>
    <t>touted</t>
  </si>
  <si>
    <t>touting</t>
  </si>
  <si>
    <t>touts</t>
  </si>
  <si>
    <t>tragedy</t>
  </si>
  <si>
    <t>tragic</t>
  </si>
  <si>
    <t>tranquil</t>
  </si>
  <si>
    <t>trap</t>
  </si>
  <si>
    <t>trapped</t>
  </si>
  <si>
    <t>trauma</t>
  </si>
  <si>
    <t>traumatic</t>
  </si>
  <si>
    <t>travesty</t>
  </si>
  <si>
    <t>treason</t>
  </si>
  <si>
    <t>treasonous</t>
  </si>
  <si>
    <t>treasure</t>
  </si>
  <si>
    <t>treasures</t>
  </si>
  <si>
    <t>trembling</t>
  </si>
  <si>
    <t>tremulous</t>
  </si>
  <si>
    <t>tricked</t>
  </si>
  <si>
    <t>trickery</t>
  </si>
  <si>
    <t>triumph</t>
  </si>
  <si>
    <t>triumphant</t>
  </si>
  <si>
    <t>trouble</t>
  </si>
  <si>
    <t>troubled</t>
  </si>
  <si>
    <t>troubles</t>
  </si>
  <si>
    <t>trust</t>
  </si>
  <si>
    <t>trusted</t>
  </si>
  <si>
    <t>tumor</t>
  </si>
  <si>
    <t>twat</t>
  </si>
  <si>
    <t>ugly</t>
  </si>
  <si>
    <t>unacceptable</t>
  </si>
  <si>
    <t>unappreciated</t>
  </si>
  <si>
    <t>unapproved</t>
  </si>
  <si>
    <t>unaware</t>
  </si>
  <si>
    <t>unbelievable</t>
  </si>
  <si>
    <t>unbelieving</t>
  </si>
  <si>
    <t>unbiased</t>
  </si>
  <si>
    <t>uncertain</t>
  </si>
  <si>
    <t>unclear</t>
  </si>
  <si>
    <t>uncomfortable</t>
  </si>
  <si>
    <t>unconcerned</t>
  </si>
  <si>
    <t>unconfirmed</t>
  </si>
  <si>
    <t>unconvinced</t>
  </si>
  <si>
    <t>uncredited</t>
  </si>
  <si>
    <t>undecided</t>
  </si>
  <si>
    <t>underestimate</t>
  </si>
  <si>
    <t>underestimated</t>
  </si>
  <si>
    <t>underestimates</t>
  </si>
  <si>
    <t>underestimating</t>
  </si>
  <si>
    <t>undermine</t>
  </si>
  <si>
    <t>undermined</t>
  </si>
  <si>
    <t>undermines</t>
  </si>
  <si>
    <t>undermining</t>
  </si>
  <si>
    <t>undeserving</t>
  </si>
  <si>
    <t>undesirable</t>
  </si>
  <si>
    <t>uneasy</t>
  </si>
  <si>
    <t>unemployment</t>
  </si>
  <si>
    <t>unequal</t>
  </si>
  <si>
    <t>unequaled</t>
  </si>
  <si>
    <t>unethical</t>
  </si>
  <si>
    <t>unfair</t>
  </si>
  <si>
    <t>unfocused</t>
  </si>
  <si>
    <t>unfulfilled</t>
  </si>
  <si>
    <t>unhappy</t>
  </si>
  <si>
    <t>unhealthy</t>
  </si>
  <si>
    <t>unified</t>
  </si>
  <si>
    <t>unimpressed</t>
  </si>
  <si>
    <t>unintelligent</t>
  </si>
  <si>
    <t>united</t>
  </si>
  <si>
    <t>unjust</t>
  </si>
  <si>
    <t>unlovable</t>
  </si>
  <si>
    <t>unloved</t>
  </si>
  <si>
    <t>unmatched</t>
  </si>
  <si>
    <t>unmotivated</t>
  </si>
  <si>
    <t>unprofessional</t>
  </si>
  <si>
    <t>unresearched</t>
  </si>
  <si>
    <t>unsatisfied</t>
  </si>
  <si>
    <t>unsecured</t>
  </si>
  <si>
    <t>unsettled</t>
  </si>
  <si>
    <t>unsophisticated</t>
  </si>
  <si>
    <t>unstable</t>
  </si>
  <si>
    <t>unstoppable</t>
  </si>
  <si>
    <t>unsupported</t>
  </si>
  <si>
    <t>unsure</t>
  </si>
  <si>
    <t>untarnished</t>
  </si>
  <si>
    <t>unwanted</t>
  </si>
  <si>
    <t>unworthy</t>
  </si>
  <si>
    <t>upset</t>
  </si>
  <si>
    <t>upsets</t>
  </si>
  <si>
    <t>upsetting</t>
  </si>
  <si>
    <t>uptight</t>
  </si>
  <si>
    <t>urgent</t>
  </si>
  <si>
    <t>useful</t>
  </si>
  <si>
    <t>usefulness</t>
  </si>
  <si>
    <t>useless</t>
  </si>
  <si>
    <t>uselessness</t>
  </si>
  <si>
    <t>vague</t>
  </si>
  <si>
    <t>validate</t>
  </si>
  <si>
    <t>validated</t>
  </si>
  <si>
    <t>validates</t>
  </si>
  <si>
    <t>validating</t>
  </si>
  <si>
    <t>verdict</t>
  </si>
  <si>
    <t>verdicts</t>
  </si>
  <si>
    <t>vested</t>
  </si>
  <si>
    <t>vexation</t>
  </si>
  <si>
    <t>vexing</t>
  </si>
  <si>
    <t>vibrant</t>
  </si>
  <si>
    <t>vicious</t>
  </si>
  <si>
    <t>victim</t>
  </si>
  <si>
    <t>victimize</t>
  </si>
  <si>
    <t>victimized</t>
  </si>
  <si>
    <t>victimizes</t>
  </si>
  <si>
    <t>victimizing</t>
  </si>
  <si>
    <t>victims</t>
  </si>
  <si>
    <t>vigilant</t>
  </si>
  <si>
    <t>vile</t>
  </si>
  <si>
    <t>vindicate</t>
  </si>
  <si>
    <t>vindicated</t>
  </si>
  <si>
    <t>vindicates</t>
  </si>
  <si>
    <t>vindicating</t>
  </si>
  <si>
    <t>violate</t>
  </si>
  <si>
    <t>violated</t>
  </si>
  <si>
    <t>violates</t>
  </si>
  <si>
    <t>violating</t>
  </si>
  <si>
    <t>violence</t>
  </si>
  <si>
    <t>violent</t>
  </si>
  <si>
    <t>virtuous</t>
  </si>
  <si>
    <t>virulent</t>
  </si>
  <si>
    <t>vision</t>
  </si>
  <si>
    <t>visionary</t>
  </si>
  <si>
    <t>visioning</t>
  </si>
  <si>
    <t>visions</t>
  </si>
  <si>
    <t>vitality</t>
  </si>
  <si>
    <t>vitamin</t>
  </si>
  <si>
    <t>vitriolic</t>
  </si>
  <si>
    <t>vivacious</t>
  </si>
  <si>
    <t>vociferous</t>
  </si>
  <si>
    <t>vulnerability</t>
  </si>
  <si>
    <t>vulnerable</t>
  </si>
  <si>
    <t>walkout</t>
  </si>
  <si>
    <t>walkouts</t>
  </si>
  <si>
    <t>wanker</t>
  </si>
  <si>
    <t>want</t>
  </si>
  <si>
    <t>war</t>
  </si>
  <si>
    <t>warfare</t>
  </si>
  <si>
    <t>warm</t>
  </si>
  <si>
    <t>warmth</t>
  </si>
  <si>
    <t>warn</t>
  </si>
  <si>
    <t>warned</t>
  </si>
  <si>
    <t>warning</t>
  </si>
  <si>
    <t>warnings</t>
  </si>
  <si>
    <t>warns</t>
  </si>
  <si>
    <t>waste</t>
  </si>
  <si>
    <t>wasted</t>
  </si>
  <si>
    <t>wasting</t>
  </si>
  <si>
    <t>wavering</t>
  </si>
  <si>
    <t>weak</t>
  </si>
  <si>
    <t>weakness</t>
  </si>
  <si>
    <t>wealth</t>
  </si>
  <si>
    <t>wealthy</t>
  </si>
  <si>
    <t>weary</t>
  </si>
  <si>
    <t>weep</t>
  </si>
  <si>
    <t>weeping</t>
  </si>
  <si>
    <t>weird</t>
  </si>
  <si>
    <t>welcome</t>
  </si>
  <si>
    <t>welcomed</t>
  </si>
  <si>
    <t>welcomes</t>
  </si>
  <si>
    <t>whimsical</t>
  </si>
  <si>
    <t>whitewash</t>
  </si>
  <si>
    <t>wicked</t>
  </si>
  <si>
    <t>widowed</t>
  </si>
  <si>
    <t>willingness</t>
  </si>
  <si>
    <t>win</t>
  </si>
  <si>
    <t>winner</t>
  </si>
  <si>
    <t>winning</t>
  </si>
  <si>
    <t>wins</t>
  </si>
  <si>
    <t>winwin</t>
  </si>
  <si>
    <t>wish</t>
  </si>
  <si>
    <t>wishes</t>
  </si>
  <si>
    <t>wishing</t>
  </si>
  <si>
    <t>withdrawal</t>
  </si>
  <si>
    <t>woeful</t>
  </si>
  <si>
    <t>won</t>
  </si>
  <si>
    <t>wonderful</t>
  </si>
  <si>
    <t>worn</t>
  </si>
  <si>
    <t>worried</t>
  </si>
  <si>
    <t>worry</t>
  </si>
  <si>
    <t>worrying</t>
  </si>
  <si>
    <t>worse</t>
  </si>
  <si>
    <t>worsen</t>
  </si>
  <si>
    <t>worsened</t>
  </si>
  <si>
    <t>worsening</t>
  </si>
  <si>
    <t>worsens</t>
  </si>
  <si>
    <t>worshiped</t>
  </si>
  <si>
    <t>worst</t>
  </si>
  <si>
    <t>worth</t>
  </si>
  <si>
    <t>worthless</t>
  </si>
  <si>
    <t>worthy</t>
  </si>
  <si>
    <t>wrathful</t>
  </si>
  <si>
    <t>wreck</t>
  </si>
  <si>
    <t>wrong</t>
  </si>
  <si>
    <t>wronged</t>
  </si>
  <si>
    <t>yeah</t>
  </si>
  <si>
    <t>yearning</t>
  </si>
  <si>
    <t>yes</t>
  </si>
  <si>
    <t>youthful</t>
  </si>
  <si>
    <t>yucky</t>
  </si>
  <si>
    <t>yummy</t>
  </si>
  <si>
    <t>zealot</t>
  </si>
  <si>
    <t>zealots</t>
  </si>
  <si>
    <t>zealous</t>
  </si>
  <si>
    <t>Sentiment</t>
  </si>
  <si>
    <t>Category</t>
  </si>
  <si>
    <t>Overall Sentiment</t>
  </si>
  <si>
    <t>Average Sentiment</t>
  </si>
  <si>
    <t>Total Positive Comments</t>
  </si>
  <si>
    <t>Total Negative Comments</t>
  </si>
  <si>
    <t>Total Neutral Comments</t>
  </si>
  <si>
    <t>Liked Sentiment</t>
  </si>
  <si>
    <t>Average Sentiment of Liked Comments</t>
  </si>
  <si>
    <t>Total Positive Liked Comments</t>
  </si>
  <si>
    <t>Total Negative Liked Comments</t>
  </si>
  <si>
    <t>Total Neutral Liked Comments</t>
  </si>
  <si>
    <t>Average Number of Likes on Positive Comments</t>
  </si>
  <si>
    <t>Average Number of Likes on Negative Comments</t>
  </si>
  <si>
    <t>Average Number of Likes on Neutral Comments</t>
  </si>
  <si>
    <t>Reply Sentiment</t>
  </si>
  <si>
    <t>Average Sentiment of Comments with Replies</t>
  </si>
  <si>
    <t>Total Positive Comments with Replies</t>
  </si>
  <si>
    <t>Total Negative Comments with Replies</t>
  </si>
  <si>
    <t>Total Neutral Comments with Replies</t>
  </si>
  <si>
    <t>Number of Replies on Positive Comments</t>
  </si>
  <si>
    <t>Number of Replies on Negative Comments</t>
  </si>
  <si>
    <t>Number of Replies on Neutral Comments</t>
  </si>
  <si>
    <t>Comment Count</t>
  </si>
  <si>
    <t>Average Sentiment by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</si>
</sst>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m\ d\,\ yyyy\ hh:mm:ss"/>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89999084444715716"/>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0" fontId="16" fillId="0" borderId="0" xfId="0" applyFont="1"/>
    <xf numFmtId="0" fontId="16" fillId="0" borderId="0" xfId="0" applyFont="1" applyAlignment="1">
      <alignment horizontal="center"/>
    </xf>
    <xf numFmtId="164" fontId="0" fillId="0" borderId="0" xfId="0" applyNumberFormat="1"/>
    <xf numFmtId="0" fontId="0" fillId="33" borderId="10" xfId="0" applyFill="1" applyBorder="1"/>
    <xf numFmtId="0" fontId="0" fillId="34" borderId="10" xfId="0" applyFill="1" applyBorder="1"/>
    <xf numFmtId="0" fontId="0" fillId="35" borderId="10" xfId="0" applyFill="1" applyBorder="1"/>
    <xf numFmtId="0" fontId="0" fillId="36" borderId="10" xfId="0" applyFill="1" applyBorder="1"/>
    <xf numFmtId="0" fontId="16" fillId="33" borderId="11" xfId="0" applyFont="1" applyFill="1" applyBorder="1" applyAlignment="1">
      <alignment horizontal="center"/>
    </xf>
    <xf numFmtId="0" fontId="16" fillId="33" borderId="12" xfId="0" applyFont="1" applyFill="1" applyBorder="1" applyAlignment="1">
      <alignment horizontal="center"/>
    </xf>
    <xf numFmtId="0" fontId="16" fillId="34" borderId="10" xfId="0" applyFont="1" applyFill="1" applyBorder="1" applyAlignment="1">
      <alignment horizontal="center"/>
    </xf>
    <xf numFmtId="0" fontId="16" fillId="35" borderId="10" xfId="0" applyFont="1" applyFill="1" applyBorder="1" applyAlignment="1">
      <alignment horizontal="center"/>
    </xf>
    <xf numFmtId="0" fontId="16" fillId="36" borderId="10" xfId="0" applyFont="1" applyFill="1" applyBorder="1" applyAlignment="1">
      <alignment horizontal="center"/>
    </xf>
    <xf numFmtId="0" fontId="0" fillId="36" borderId="10" xfId="0" applyFill="1"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7</xdr:col>
      <xdr:colOff>595585</xdr:colOff>
      <xdr:row>22</xdr:row>
      <xdr:rowOff>155968</xdr:rowOff>
    </xdr:from>
    <xdr:to>
      <xdr:col>19</xdr:col>
      <xdr:colOff>29307</xdr:colOff>
      <xdr:row>38</xdr:row>
      <xdr:rowOff>51288</xdr:rowOff>
    </xdr:to>
    <xdr:sp macro="" textlink="">
      <xdr:nvSpPr>
        <xdr:cNvPr id="2" name="TextBox 1">
          <a:extLst>
            <a:ext uri="{FF2B5EF4-FFF2-40B4-BE49-F238E27FC236}">
              <a16:creationId xmlns:a16="http://schemas.microsoft.com/office/drawing/2014/main" id="{2B0C2CB3-95CC-B55F-00F2-C627FE871E40}"/>
            </a:ext>
          </a:extLst>
        </xdr:cNvPr>
        <xdr:cNvSpPr txBox="1"/>
      </xdr:nvSpPr>
      <xdr:spPr>
        <a:xfrm>
          <a:off x="8772431" y="4346968"/>
          <a:ext cx="6731338" cy="2943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In general,</a:t>
          </a:r>
          <a:r>
            <a:rPr lang="en-CA" sz="1100" baseline="0"/>
            <a:t> the sentiment towards the trailer is fairly positive, with an average sentiment of 0.85. The fact that there are far more positive comments (1084) than negative ones (473) supports this idea. When looking at liked comments, the average sentiment is still positive (0.844), still with a higher amount of positive comments (495) in comparison to the negative comments (299). Positive comments also tend to recieve more likes on average (6.4) than those with negative comments (1.5). This suggests that more people agree with the positive comments about the movie. When it comes to comments that have replies, the average sentiment is still more on the positive on average (0.96). Positive comments still recieve more replies (959) compared to negative ones (579).</a:t>
          </a:r>
        </a:p>
        <a:p>
          <a:endParaRPr lang="en-CA" sz="1100" baseline="0"/>
        </a:p>
        <a:p>
          <a:r>
            <a:rPr lang="en-CA" sz="1100" baseline="0"/>
            <a:t>Futher analysis on sentiment by region also indicated a regional difference of opinions about the trailer. For example, Bangladesh and Pakistan both show negative sentiment values (-0.75 and -0.42 respectively), indicating discontent amongst viewers. However, Canada stands out with a higher and positive average sentiment score (3.16), showing largely favourable comments. There might be some potential biases, the video was posted by Warner Bros. Picture (located in California), meaning people in America/Canada might take more of a liking to movies made in their own country. Another factor that might play is cultural differences. Canadians might take more of a liking to these types of movies while in countires such as Bangladesh or Pakistan, these types of movies are looked down upon in those regions, and are seen as "ridiculous".</a:t>
          </a:r>
          <a:endParaRPr lang="en-CA"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3367"/>
  <sheetViews>
    <sheetView topLeftCell="B1" zoomScale="110" zoomScaleNormal="175" workbookViewId="0">
      <selection activeCell="N15" sqref="N15"/>
    </sheetView>
  </sheetViews>
  <sheetFormatPr defaultRowHeight="15" x14ac:dyDescent="0.25"/>
  <cols>
    <col min="1" max="1" width="8.28515625" bestFit="1" customWidth="1"/>
    <col min="2" max="2" width="255.7109375" bestFit="1" customWidth="1"/>
    <col min="3" max="3" width="255.7109375" customWidth="1"/>
    <col min="4" max="4" width="5.5703125" bestFit="1" customWidth="1"/>
    <col min="5" max="5" width="7.42578125" bestFit="1" customWidth="1"/>
    <col min="6" max="6" width="8" bestFit="1" customWidth="1"/>
    <col min="7" max="7" width="53.5703125" bestFit="1" customWidth="1"/>
    <col min="8" max="10" width="27" bestFit="1" customWidth="1"/>
    <col min="11" max="11" width="10.42578125" bestFit="1" customWidth="1"/>
  </cols>
  <sheetData>
    <row r="1" spans="1:12" s="2" customFormat="1" x14ac:dyDescent="0.25">
      <c r="A1" s="2" t="s">
        <v>0</v>
      </c>
      <c r="B1" s="2" t="s">
        <v>1</v>
      </c>
      <c r="C1" s="2" t="s">
        <v>4480</v>
      </c>
      <c r="D1" s="2" t="s">
        <v>2</v>
      </c>
      <c r="E1" s="2" t="s">
        <v>3</v>
      </c>
      <c r="F1" s="2" t="s">
        <v>4</v>
      </c>
      <c r="G1" s="2" t="s">
        <v>4924</v>
      </c>
      <c r="H1" s="2" t="s">
        <v>5</v>
      </c>
      <c r="I1" s="2" t="s">
        <v>6</v>
      </c>
      <c r="J1" s="2" t="s">
        <v>7</v>
      </c>
      <c r="K1" s="2" t="s">
        <v>7316</v>
      </c>
      <c r="L1" s="2" t="s">
        <v>7317</v>
      </c>
    </row>
    <row r="2" spans="1:12" x14ac:dyDescent="0.25">
      <c r="A2" t="s">
        <v>247</v>
      </c>
      <c r="B2" t="s">
        <v>2091</v>
      </c>
      <c r="C2" t="str" cm="1">
        <f t="array" ref="C2">CleanText(B2)</f>
        <v>badbunny</v>
      </c>
      <c r="D2">
        <v>0</v>
      </c>
      <c r="E2">
        <v>0</v>
      </c>
      <c r="F2" t="s">
        <v>10</v>
      </c>
      <c r="G2" t="str" cm="1">
        <f t="array" ref="G2">FindCountryName(F2)</f>
        <v>None</v>
      </c>
      <c r="H2" s="3">
        <v>45181.03261574074</v>
      </c>
      <c r="I2" s="3">
        <v>45181.03261574074</v>
      </c>
      <c r="J2" s="3">
        <v>41882.421817129631</v>
      </c>
      <c r="K2" cm="1">
        <f t="array" ref="K2">sentimentCalc(C2)</f>
        <v>0</v>
      </c>
      <c r="L2" t="str" cm="1">
        <f t="array" ref="L2">sentimentCategory(K2)</f>
        <v>Neutral</v>
      </c>
    </row>
    <row r="3" spans="1:12" x14ac:dyDescent="0.25">
      <c r="A3" t="s">
        <v>830</v>
      </c>
      <c r="B3" t="s">
        <v>3079</v>
      </c>
      <c r="C3" t="str" cm="1">
        <f t="array" ref="C3">CleanText(B3)</f>
        <v>bardot</v>
      </c>
      <c r="D3">
        <v>0</v>
      </c>
      <c r="E3">
        <v>0</v>
      </c>
      <c r="F3" t="s">
        <v>10</v>
      </c>
      <c r="G3" t="str" cm="1">
        <f t="array" ref="G3">FindCountryName(F3)</f>
        <v>None</v>
      </c>
      <c r="H3" s="3">
        <v>45153.686354166668</v>
      </c>
      <c r="I3" s="3">
        <v>45153.686354166668</v>
      </c>
      <c r="J3" s="3">
        <v>44668.211898148147</v>
      </c>
      <c r="K3" cm="1">
        <f t="array" ref="K3">sentimentCalc(C3)</f>
        <v>0</v>
      </c>
      <c r="L3" t="str" cm="1">
        <f t="array" ref="L3">sentimentCategory(K3)</f>
        <v>Neutral</v>
      </c>
    </row>
    <row r="4" spans="1:12" x14ac:dyDescent="0.25">
      <c r="A4" t="s">
        <v>3410</v>
      </c>
      <c r="B4" t="s">
        <v>3412</v>
      </c>
      <c r="C4" t="str" cm="1">
        <f t="array" ref="C4">CleanText(B4)</f>
        <v>india</v>
      </c>
      <c r="D4">
        <v>1</v>
      </c>
      <c r="E4">
        <v>0</v>
      </c>
      <c r="F4" t="s">
        <v>1942</v>
      </c>
      <c r="G4" t="str" cm="1">
        <f t="array" ref="G4">FindCountryName(F4)</f>
        <v>Pakistan</v>
      </c>
      <c r="H4" s="3">
        <v>45149.225069444445</v>
      </c>
      <c r="I4" s="3">
        <v>45149.225069444445</v>
      </c>
      <c r="J4" s="3">
        <v>43330.044988425929</v>
      </c>
      <c r="K4" cm="1">
        <f t="array" ref="K4">sentimentCalc(C4)</f>
        <v>0</v>
      </c>
      <c r="L4" t="str" cm="1">
        <f t="array" ref="L4">sentimentCategory(K4)</f>
        <v>Neutral</v>
      </c>
    </row>
    <row r="5" spans="1:12" x14ac:dyDescent="0.25">
      <c r="A5" t="s">
        <v>58</v>
      </c>
      <c r="B5" t="s">
        <v>59</v>
      </c>
      <c r="C5" t="str" cm="1">
        <f t="array" ref="C5">CleanText(B5)</f>
        <v>joeardenhousekenryangoslingbarbielouiseardenhouse</v>
      </c>
      <c r="D5">
        <v>0</v>
      </c>
      <c r="E5">
        <v>0</v>
      </c>
      <c r="F5" t="s">
        <v>10</v>
      </c>
      <c r="G5" t="str" cm="1">
        <f t="array" ref="G5">FindCountryName(F5)</f>
        <v>None</v>
      </c>
      <c r="H5" s="3">
        <v>45343.724560185183</v>
      </c>
      <c r="I5" s="3">
        <v>45343.724560185183</v>
      </c>
      <c r="J5" s="3">
        <v>45319.255069444444</v>
      </c>
      <c r="K5" cm="1">
        <f t="array" ref="K5">sentimentCalc(C5)</f>
        <v>0</v>
      </c>
      <c r="L5" t="str" cm="1">
        <f t="array" ref="L5">sentimentCategory(K5)</f>
        <v>Neutral</v>
      </c>
    </row>
    <row r="6" spans="1:12" x14ac:dyDescent="0.25">
      <c r="A6" t="s">
        <v>3410</v>
      </c>
      <c r="B6" t="s">
        <v>3411</v>
      </c>
      <c r="C6" t="str" cm="1">
        <f t="array" ref="C6">CleanText(B6)</f>
        <v>mumbai</v>
      </c>
      <c r="D6">
        <v>0</v>
      </c>
      <c r="E6">
        <v>0</v>
      </c>
      <c r="F6" t="s">
        <v>1942</v>
      </c>
      <c r="G6" t="str" cm="1">
        <f t="array" ref="G6">FindCountryName(F6)</f>
        <v>Pakistan</v>
      </c>
      <c r="H6" s="3">
        <v>45149.225497685184</v>
      </c>
      <c r="I6" s="3">
        <v>45149.225497685184</v>
      </c>
      <c r="J6" s="3">
        <v>43330.044988425929</v>
      </c>
      <c r="K6" cm="1">
        <f t="array" ref="K6">sentimentCalc(C6)</f>
        <v>0</v>
      </c>
      <c r="L6" t="str" cm="1">
        <f t="array" ref="L6">sentimentCategory(K6)</f>
        <v>Neutral</v>
      </c>
    </row>
    <row r="7" spans="1:12" x14ac:dyDescent="0.25">
      <c r="A7" t="s">
        <v>557</v>
      </c>
      <c r="B7" t="s">
        <v>4128</v>
      </c>
      <c r="C7" t="str" cm="1">
        <f t="array" ref="C7">CleanText(B7)</f>
        <v>ryangosling</v>
      </c>
      <c r="D7">
        <v>0</v>
      </c>
      <c r="E7">
        <v>0</v>
      </c>
      <c r="F7" t="s">
        <v>10</v>
      </c>
      <c r="G7" t="str" cm="1">
        <f t="array" ref="G7">FindCountryName(F7)</f>
        <v>None</v>
      </c>
      <c r="H7" s="3">
        <v>45142.638912037037</v>
      </c>
      <c r="I7" s="3">
        <v>45142.638912037037</v>
      </c>
      <c r="J7" s="3">
        <v>43695.790729166663</v>
      </c>
      <c r="K7" cm="1">
        <f t="array" ref="K7">sentimentCalc(C7)</f>
        <v>0</v>
      </c>
      <c r="L7" t="str" cm="1">
        <f t="array" ref="L7">sentimentCategory(K7)</f>
        <v>Neutral</v>
      </c>
    </row>
    <row r="8" spans="1:12" x14ac:dyDescent="0.25">
      <c r="A8" t="s">
        <v>505</v>
      </c>
      <c r="B8" t="s">
        <v>3260</v>
      </c>
      <c r="C8" t="str" cm="1">
        <f t="array" ref="C8">CleanText(B8)</f>
        <v>slavaukrayina</v>
      </c>
      <c r="D8">
        <v>3</v>
      </c>
      <c r="E8">
        <v>0</v>
      </c>
      <c r="F8" t="s">
        <v>10</v>
      </c>
      <c r="G8" t="str" cm="1">
        <f t="array" ref="G8">FindCountryName(F8)</f>
        <v>None</v>
      </c>
      <c r="H8" s="3">
        <v>45151.291851851849</v>
      </c>
      <c r="I8" s="3">
        <v>45151.29184027778</v>
      </c>
      <c r="J8" s="3">
        <v>44826.44017361111</v>
      </c>
      <c r="K8" cm="1">
        <f t="array" ref="K8">sentimentCalc(C8)</f>
        <v>0</v>
      </c>
      <c r="L8" t="str" cm="1">
        <f t="array" ref="L8">sentimentCategory(K8)</f>
        <v>Neutral</v>
      </c>
    </row>
    <row r="9" spans="1:12" x14ac:dyDescent="0.25">
      <c r="A9" t="s">
        <v>1170</v>
      </c>
      <c r="B9" t="s">
        <v>2647</v>
      </c>
      <c r="C9" t="str" cm="1">
        <f t="array" ref="C9">CleanText(B9)</f>
        <v>write billion place thank you</v>
      </c>
      <c r="D9">
        <v>0</v>
      </c>
      <c r="E9">
        <v>0</v>
      </c>
      <c r="F9" t="s">
        <v>10</v>
      </c>
      <c r="G9" t="str" cm="1">
        <f t="array" ref="G9">FindCountryName(F9)</f>
        <v>None</v>
      </c>
      <c r="H9" s="3">
        <v>45160.760729166665</v>
      </c>
      <c r="I9" s="3">
        <v>45160.760740740741</v>
      </c>
      <c r="J9" s="3">
        <v>45087.708958333336</v>
      </c>
      <c r="K9" cm="1">
        <f t="array" ref="K9">sentimentCalc(C9)</f>
        <v>2</v>
      </c>
      <c r="L9" t="str" cm="1">
        <f t="array" ref="L9">sentimentCategory(K9)</f>
        <v>Positive</v>
      </c>
    </row>
    <row r="10" spans="1:12" x14ac:dyDescent="0.25">
      <c r="A10" t="s">
        <v>2335</v>
      </c>
      <c r="B10" t="s">
        <v>3492</v>
      </c>
      <c r="C10" t="str" cm="1">
        <f t="array" ref="C10">CleanText(B10)</f>
        <v>billion</v>
      </c>
      <c r="D10">
        <v>2</v>
      </c>
      <c r="E10">
        <v>0</v>
      </c>
      <c r="F10" t="s">
        <v>227</v>
      </c>
      <c r="G10" t="str" cm="1">
        <f t="array" ref="G10">FindCountryName(F10)</f>
        <v>United States of America (the)</v>
      </c>
      <c r="H10" s="3">
        <v>45148.301516203705</v>
      </c>
      <c r="I10" s="3">
        <v>45148.301516203705</v>
      </c>
      <c r="J10" s="3">
        <v>38923.703865740739</v>
      </c>
      <c r="K10" cm="1">
        <f t="array" ref="K10">sentimentCalc(C10)</f>
        <v>0</v>
      </c>
      <c r="L10" t="str" cm="1">
        <f t="array" ref="L10">sentimentCategory(K10)</f>
        <v>Neutral</v>
      </c>
    </row>
    <row r="11" spans="1:12" x14ac:dyDescent="0.25">
      <c r="A11" t="s">
        <v>1016</v>
      </c>
      <c r="B11" t="s">
        <v>1233</v>
      </c>
      <c r="C11" t="str" cm="1">
        <f t="array" ref="C11">CleanText(B11)</f>
        <v>womens strike for equality march in new york the chant became i am not a barbie doll i am a barbie doll</v>
      </c>
      <c r="D11">
        <v>0</v>
      </c>
      <c r="E11">
        <v>0</v>
      </c>
      <c r="F11" t="s">
        <v>1234</v>
      </c>
      <c r="G11" t="str" cm="1">
        <f t="array" ref="G11">FindCountryName(F11)</f>
        <v>Ireland</v>
      </c>
      <c r="H11" s="3">
        <v>45272.791967592595</v>
      </c>
      <c r="I11" s="3">
        <v>45272.791967592595</v>
      </c>
      <c r="J11" s="3">
        <v>44978.083020833335</v>
      </c>
      <c r="K11" cm="1">
        <f t="array" ref="K11">sentimentCalc(C11)</f>
        <v>-1</v>
      </c>
      <c r="L11" t="str" cm="1">
        <f t="array" ref="L11">sentimentCategory(K11)</f>
        <v>Negative</v>
      </c>
    </row>
    <row r="12" spans="1:12" x14ac:dyDescent="0.25">
      <c r="A12" t="s">
        <v>571</v>
      </c>
      <c r="B12" t="s">
        <v>4023</v>
      </c>
      <c r="C12" t="str" cm="1">
        <f t="array" ref="C12">CleanText(B12)</f>
        <v>i imagine ken and barbie vomiting on each other while listening to endless love by lionel richie and diana ross  roseanne barr</v>
      </c>
      <c r="D12">
        <v>0</v>
      </c>
      <c r="E12">
        <v>0</v>
      </c>
      <c r="F12" t="s">
        <v>10</v>
      </c>
      <c r="G12" t="str" cm="1">
        <f t="array" ref="G12">FindCountryName(F12)</f>
        <v>None</v>
      </c>
      <c r="H12" s="3">
        <v>45143.607106481482</v>
      </c>
      <c r="I12" s="3">
        <v>45143.607106481482</v>
      </c>
      <c r="J12" s="3">
        <v>44510.954467592594</v>
      </c>
      <c r="K12" cm="1">
        <f t="array" ref="K12">sentimentCalc(C12)</f>
        <v>3</v>
      </c>
      <c r="L12" t="str" cm="1">
        <f t="array" ref="L12">sentimentCategory(K12)</f>
        <v>Positive</v>
      </c>
    </row>
    <row r="13" spans="1:12" x14ac:dyDescent="0.25">
      <c r="A13" t="s">
        <v>571</v>
      </c>
      <c r="B13" t="s">
        <v>1873</v>
      </c>
      <c r="C13" t="str" cm="1">
        <f t="array" ref="C13">CleanText(B13)</f>
        <v>i imagine the real ken and barbie vomiting     on each while listening to endless love by lionel richie and diana ross  roseanne barr</v>
      </c>
      <c r="D13">
        <v>0</v>
      </c>
      <c r="E13">
        <v>0</v>
      </c>
      <c r="F13" t="s">
        <v>10</v>
      </c>
      <c r="G13" t="str" cm="1">
        <f t="array" ref="G13">FindCountryName(F13)</f>
        <v>None</v>
      </c>
      <c r="H13" s="3">
        <v>45189.44023148148</v>
      </c>
      <c r="I13" s="3">
        <v>45189.441192129627</v>
      </c>
      <c r="J13" s="3">
        <v>44510.954467592594</v>
      </c>
      <c r="K13" cm="1">
        <f t="array" ref="K13">sentimentCalc(C13)</f>
        <v>3</v>
      </c>
      <c r="L13" t="str" cm="1">
        <f t="array" ref="L13">sentimentCategory(K13)</f>
        <v>Positive</v>
      </c>
    </row>
    <row r="14" spans="1:12" x14ac:dyDescent="0.25">
      <c r="A14" t="s">
        <v>571</v>
      </c>
      <c r="B14" t="s">
        <v>4401</v>
      </c>
      <c r="C14" t="str" cm="1">
        <f t="array" ref="C14">CleanText(B14)</f>
        <v>i would love to see ken and barbie vomiting on each other while listening to endless love by lionel richie and diana ross this would my shitiful life infinitely better  roseanne barr</v>
      </c>
      <c r="D14">
        <v>0</v>
      </c>
      <c r="E14">
        <v>0</v>
      </c>
      <c r="F14" t="s">
        <v>10</v>
      </c>
      <c r="G14" t="str" cm="1">
        <f t="array" ref="G14">FindCountryName(F14)</f>
        <v>None</v>
      </c>
      <c r="H14" s="3">
        <v>45140.449548611112</v>
      </c>
      <c r="I14" s="3">
        <v>45140.449548611112</v>
      </c>
      <c r="J14" s="3">
        <v>44510.954467592594</v>
      </c>
      <c r="K14" cm="1">
        <f t="array" ref="K14">sentimentCalc(C14)</f>
        <v>8</v>
      </c>
      <c r="L14" t="str" cm="1">
        <f t="array" ref="L14">sentimentCategory(K14)</f>
        <v>Positive</v>
      </c>
    </row>
    <row r="15" spans="1:12" x14ac:dyDescent="0.25">
      <c r="A15" t="s">
        <v>3621</v>
      </c>
      <c r="B15" t="s">
        <v>3829</v>
      </c>
      <c r="C15" t="str" cm="1">
        <f t="array" ref="C15">CleanText(B15)</f>
        <v>absolutely ridiculous</v>
      </c>
      <c r="D15">
        <v>5</v>
      </c>
      <c r="E15">
        <v>0</v>
      </c>
      <c r="F15" t="s">
        <v>10</v>
      </c>
      <c r="G15" t="str" cm="1">
        <f t="array" ref="G15">FindCountryName(F15)</f>
        <v>None</v>
      </c>
      <c r="H15" s="3">
        <v>45145.203645833331</v>
      </c>
      <c r="I15" s="3">
        <v>45145.203645833331</v>
      </c>
      <c r="J15" s="3">
        <v>44919.772164351853</v>
      </c>
      <c r="K15" cm="1">
        <f t="array" ref="K15">sentimentCalc(C15)</f>
        <v>-3</v>
      </c>
      <c r="L15" t="str" cm="1">
        <f t="array" ref="L15">sentimentCategory(K15)</f>
        <v>Negative</v>
      </c>
    </row>
    <row r="16" spans="1:12" x14ac:dyDescent="0.25">
      <c r="A16" t="s">
        <v>3323</v>
      </c>
      <c r="B16" t="s">
        <v>3853</v>
      </c>
      <c r="C16" t="str" cm="1">
        <f t="array" ref="C16">CleanText(B16)</f>
        <v>greta told no lies in the opening scene of the trailer i too would have blowout parties with all  of my barbies  my one ken dollman did ken have the life lmbo</v>
      </c>
      <c r="D16">
        <v>0</v>
      </c>
      <c r="E16">
        <v>0</v>
      </c>
      <c r="F16" t="s">
        <v>227</v>
      </c>
      <c r="G16" t="str" cm="1">
        <f t="array" ref="G16">FindCountryName(F16)</f>
        <v>United States of America (the)</v>
      </c>
      <c r="H16" s="3">
        <v>45144.991701388892</v>
      </c>
      <c r="I16" s="3">
        <v>45144.991701388892</v>
      </c>
      <c r="J16" s="3">
        <v>41520.707337962966</v>
      </c>
      <c r="K16" cm="1">
        <f t="array" ref="K16">sentimentCalc(C16)</f>
        <v>-1</v>
      </c>
      <c r="L16" t="str" cm="1">
        <f t="array" ref="L16">sentimentCategory(K16)</f>
        <v>Negative</v>
      </c>
    </row>
    <row r="17" spans="1:12" x14ac:dyDescent="0.25">
      <c r="A17" t="s">
        <v>2386</v>
      </c>
      <c r="B17" t="s">
        <v>2458</v>
      </c>
      <c r="C17" t="str" cm="1">
        <f t="array" ref="C17">CleanText(B17)</f>
        <v>is that fredy jones from scooby doo right</v>
      </c>
      <c r="D17">
        <v>1</v>
      </c>
      <c r="E17">
        <v>2</v>
      </c>
      <c r="F17" t="s">
        <v>65</v>
      </c>
      <c r="G17" t="str" cm="1">
        <f t="array" ref="G17">FindCountryName(F17)</f>
        <v>Indonesia</v>
      </c>
      <c r="H17" s="3">
        <v>45166.442106481481</v>
      </c>
      <c r="I17" s="3">
        <v>45166.442106481481</v>
      </c>
      <c r="J17" s="3">
        <v>41401.850289351853</v>
      </c>
      <c r="K17" cm="1">
        <f t="array" ref="K17">sentimentCalc(C17)</f>
        <v>0</v>
      </c>
      <c r="L17" t="str" cm="1">
        <f t="array" ref="L17">sentimentCategory(K17)</f>
        <v>Neutral</v>
      </c>
    </row>
    <row r="18" spans="1:12" x14ac:dyDescent="0.25">
      <c r="A18" t="s">
        <v>2386</v>
      </c>
      <c r="B18" t="s">
        <v>2459</v>
      </c>
      <c r="C18" t="str" cm="1">
        <f t="array" ref="C18">CleanText(B18)</f>
        <v>itu si pirang fredy jones temennya shegy skubi yak</v>
      </c>
      <c r="D18">
        <v>1</v>
      </c>
      <c r="E18">
        <v>0</v>
      </c>
      <c r="F18" t="s">
        <v>65</v>
      </c>
      <c r="G18" t="str" cm="1">
        <f t="array" ref="G18">FindCountryName(F18)</f>
        <v>Indonesia</v>
      </c>
      <c r="H18" s="3">
        <v>45166.441504629627</v>
      </c>
      <c r="I18" s="3">
        <v>45166.441504629627</v>
      </c>
      <c r="J18" s="3">
        <v>41401.850289351853</v>
      </c>
      <c r="K18" cm="1">
        <f t="array" ref="K18">sentimentCalc(C18)</f>
        <v>0</v>
      </c>
      <c r="L18" t="str" cm="1">
        <f t="array" ref="L18">sentimentCategory(K18)</f>
        <v>Neutral</v>
      </c>
    </row>
    <row r="19" spans="1:12" x14ac:dyDescent="0.25">
      <c r="A19" t="s">
        <v>1476</v>
      </c>
      <c r="B19" t="s">
        <v>2743</v>
      </c>
      <c r="C19" t="str" cm="1">
        <f t="array" ref="C19">CleanText(B19)</f>
        <v>sound of freedom was such an epic movie  definitely worth the money and the watch time unlike this garbage</v>
      </c>
      <c r="D19">
        <v>2</v>
      </c>
      <c r="E19">
        <v>2</v>
      </c>
      <c r="F19" t="s">
        <v>10</v>
      </c>
      <c r="G19" t="str" cm="1">
        <f t="array" ref="G19">FindCountryName(F19)</f>
        <v>None</v>
      </c>
      <c r="H19" s="3">
        <v>45158.752835648149</v>
      </c>
      <c r="I19" s="3">
        <v>45158.752824074072</v>
      </c>
      <c r="J19" s="3">
        <v>43886.8750462963</v>
      </c>
      <c r="K19" cm="1">
        <f t="array" ref="K19">sentimentCalc(C19)</f>
        <v>4</v>
      </c>
      <c r="L19" t="str" cm="1">
        <f t="array" ref="L19">sentimentCategory(K19)</f>
        <v>Positive</v>
      </c>
    </row>
    <row r="20" spans="1:12" x14ac:dyDescent="0.25">
      <c r="A20" t="s">
        <v>2386</v>
      </c>
      <c r="B20" t="s">
        <v>2387</v>
      </c>
      <c r="C20" t="str" cm="1">
        <f t="array" ref="C20">CleanText(B20)</f>
        <v>this is ryan gosling as fredy jones from mistery inc a friend of scooby dog</v>
      </c>
      <c r="D20">
        <v>1</v>
      </c>
      <c r="E20">
        <v>0</v>
      </c>
      <c r="F20" t="s">
        <v>65</v>
      </c>
      <c r="G20" t="str" cm="1">
        <f t="array" ref="G20">FindCountryName(F20)</f>
        <v>Indonesia</v>
      </c>
      <c r="H20" s="3">
        <v>45169.483402777776</v>
      </c>
      <c r="I20" s="3">
        <v>45169.483402777776</v>
      </c>
      <c r="J20" s="3">
        <v>41401.850289351853</v>
      </c>
      <c r="K20" cm="1">
        <f t="array" ref="K20">sentimentCalc(C20)</f>
        <v>0</v>
      </c>
      <c r="L20" t="str" cm="1">
        <f t="array" ref="L20">sentimentCategory(K20)</f>
        <v>Neutral</v>
      </c>
    </row>
    <row r="21" spans="1:12" x14ac:dyDescent="0.25">
      <c r="A21" t="s">
        <v>3621</v>
      </c>
      <c r="B21" t="s">
        <v>3828</v>
      </c>
      <c r="C21" t="str" cm="1">
        <f t="array" ref="C21">CleanText(B21)</f>
        <v>you adult peoplewere negative towards the little mermaidbut this over  years old barbie ridiculousness is okaythe root to all evil are white</v>
      </c>
      <c r="D21">
        <v>3</v>
      </c>
      <c r="E21">
        <v>0</v>
      </c>
      <c r="F21" t="s">
        <v>10</v>
      </c>
      <c r="G21" t="str" cm="1">
        <f t="array" ref="G21">FindCountryName(F21)</f>
        <v>None</v>
      </c>
      <c r="H21" s="3">
        <v>45145.207592592589</v>
      </c>
      <c r="I21" s="3">
        <v>45145.207592592589</v>
      </c>
      <c r="J21" s="3">
        <v>44919.772164351853</v>
      </c>
      <c r="K21" cm="1">
        <f t="array" ref="K21">sentimentCalc(C21)</f>
        <v>-5</v>
      </c>
      <c r="L21" t="str" cm="1">
        <f t="array" ref="L21">sentimentCategory(K21)</f>
        <v>Negative</v>
      </c>
    </row>
    <row r="22" spans="1:12" x14ac:dyDescent="0.25">
      <c r="A22" t="s">
        <v>58</v>
      </c>
      <c r="B22" t="s">
        <v>850</v>
      </c>
      <c r="C22" t="str" cm="1">
        <f t="array" ref="C22">CleanText(B22)</f>
        <v>n</v>
      </c>
      <c r="D22">
        <v>0</v>
      </c>
      <c r="E22">
        <v>0</v>
      </c>
      <c r="F22" t="s">
        <v>10</v>
      </c>
      <c r="G22" t="str" cm="1">
        <f t="array" ref="G22">FindCountryName(F22)</f>
        <v>None</v>
      </c>
      <c r="H22" s="3">
        <v>45300.565462962964</v>
      </c>
      <c r="I22" s="3">
        <v>45300.565462962964</v>
      </c>
      <c r="J22" s="3">
        <v>45254.450266203705</v>
      </c>
      <c r="K22" cm="1">
        <f t="array" ref="K22">sentimentCalc(C22)</f>
        <v>0</v>
      </c>
      <c r="L22" t="str" cm="1">
        <f t="array" ref="L22">sentimentCategory(K22)</f>
        <v>Neutral</v>
      </c>
    </row>
    <row r="23" spans="1:12" x14ac:dyDescent="0.25">
      <c r="A23" t="s">
        <v>114</v>
      </c>
      <c r="B23" t="s">
        <v>4472</v>
      </c>
      <c r="C23" t="str" cm="1">
        <f t="array" ref="C23">CleanText(B23)</f>
        <v>n</v>
      </c>
      <c r="D23">
        <v>0</v>
      </c>
      <c r="E23">
        <v>0</v>
      </c>
      <c r="F23" t="s">
        <v>10</v>
      </c>
      <c r="G23" t="str" cm="1">
        <f t="array" ref="G23">FindCountryName(F23)</f>
        <v>None</v>
      </c>
      <c r="H23" s="3">
        <v>45140.082638888889</v>
      </c>
      <c r="I23" s="3">
        <v>45140.082638888889</v>
      </c>
      <c r="J23" s="3">
        <v>41999.008923611109</v>
      </c>
      <c r="K23" cm="1">
        <f t="array" ref="K23">sentimentCalc(C23)</f>
        <v>0</v>
      </c>
      <c r="L23" t="str" cm="1">
        <f t="array" ref="L23">sentimentCategory(K23)</f>
        <v>Neutral</v>
      </c>
    </row>
    <row r="24" spans="1:12" x14ac:dyDescent="0.25">
      <c r="A24" t="s">
        <v>555</v>
      </c>
      <c r="B24" t="s">
        <v>985</v>
      </c>
      <c r="C24" t="str" cm="1">
        <f t="array" ref="C24">CleanText(B24)</f>
        <v>n</v>
      </c>
      <c r="D24">
        <v>0</v>
      </c>
      <c r="E24">
        <v>0</v>
      </c>
      <c r="F24" t="s">
        <v>10</v>
      </c>
      <c r="G24" t="str" cm="1">
        <f t="array" ref="G24">FindCountryName(F24)</f>
        <v>None</v>
      </c>
      <c r="H24" s="3">
        <v>45299.253379629627</v>
      </c>
      <c r="I24" s="3">
        <v>45299.253379629627</v>
      </c>
      <c r="J24" s="3">
        <v>41936.324201388888</v>
      </c>
      <c r="K24" cm="1">
        <f t="array" ref="K24">sentimentCalc(C24)</f>
        <v>0</v>
      </c>
      <c r="L24" t="str" cm="1">
        <f t="array" ref="L24">sentimentCategory(K24)</f>
        <v>Neutral</v>
      </c>
    </row>
    <row r="25" spans="1:12" x14ac:dyDescent="0.25">
      <c r="A25" t="s">
        <v>197</v>
      </c>
      <c r="B25" t="s">
        <v>1638</v>
      </c>
      <c r="C25" t="str" cm="1">
        <f t="array" ref="C25">CleanText(B25)</f>
        <v>so nice barbie</v>
      </c>
      <c r="D25">
        <v>0</v>
      </c>
      <c r="E25">
        <v>0</v>
      </c>
      <c r="F25" t="s">
        <v>10</v>
      </c>
      <c r="G25" t="str" cm="1">
        <f t="array" ref="G25">FindCountryName(F25)</f>
        <v>None</v>
      </c>
      <c r="H25" s="3">
        <v>45206.667893518519</v>
      </c>
      <c r="I25" s="3">
        <v>45206.667893518519</v>
      </c>
      <c r="J25" s="3">
        <v>43961.540486111109</v>
      </c>
      <c r="K25" cm="1">
        <f t="array" ref="K25">sentimentCalc(C25)</f>
        <v>3</v>
      </c>
      <c r="L25" t="str" cm="1">
        <f t="array" ref="L25">sentimentCategory(K25)</f>
        <v>Positive</v>
      </c>
    </row>
    <row r="26" spans="1:12" x14ac:dyDescent="0.25">
      <c r="A26" t="s">
        <v>333</v>
      </c>
      <c r="B26" t="s">
        <v>334</v>
      </c>
      <c r="C26" t="str" cm="1">
        <f t="array" ref="C26">CleanText(B26)</f>
        <v>n</v>
      </c>
      <c r="D26">
        <v>0</v>
      </c>
      <c r="E26">
        <v>0</v>
      </c>
      <c r="F26" t="s">
        <v>10</v>
      </c>
      <c r="G26" t="str" cm="1">
        <f t="array" ref="G26">FindCountryName(F26)</f>
        <v>None</v>
      </c>
      <c r="H26" s="3">
        <v>45322.288645833331</v>
      </c>
      <c r="I26" s="3">
        <v>45322.288645833331</v>
      </c>
      <c r="J26" s="3">
        <v>43872.538668981484</v>
      </c>
      <c r="K26" cm="1">
        <f t="array" ref="K26">sentimentCalc(C26)</f>
        <v>0</v>
      </c>
      <c r="L26" t="str" cm="1">
        <f t="array" ref="L26">sentimentCategory(K26)</f>
        <v>Neutral</v>
      </c>
    </row>
    <row r="27" spans="1:12" x14ac:dyDescent="0.25">
      <c r="A27" t="s">
        <v>247</v>
      </c>
      <c r="B27" t="s">
        <v>3370</v>
      </c>
      <c r="C27" t="str" cm="1">
        <f t="array" ref="C27">CleanText(B27)</f>
        <v>cos questa merda di film</v>
      </c>
      <c r="D27">
        <v>0</v>
      </c>
      <c r="E27">
        <v>0</v>
      </c>
      <c r="F27" t="s">
        <v>10</v>
      </c>
      <c r="G27" t="str" cm="1">
        <f t="array" ref="G27">FindCountryName(F27)</f>
        <v>None</v>
      </c>
      <c r="H27" s="3">
        <v>45149.51190972222</v>
      </c>
      <c r="I27" s="3">
        <v>45149.51189814815</v>
      </c>
      <c r="J27" s="3">
        <v>44226.155671296299</v>
      </c>
      <c r="K27" cm="1">
        <f t="array" ref="K27">sentimentCalc(C27)</f>
        <v>0</v>
      </c>
      <c r="L27" t="str" cm="1">
        <f t="array" ref="L27">sentimentCategory(K27)</f>
        <v>Neutral</v>
      </c>
    </row>
    <row r="28" spans="1:12" x14ac:dyDescent="0.25">
      <c r="A28" t="s">
        <v>1609</v>
      </c>
      <c r="B28" t="s">
        <v>1610</v>
      </c>
      <c r="C28" t="str" cm="1">
        <f t="array" ref="C28">CleanText(B28)</f>
        <v>n</v>
      </c>
      <c r="D28">
        <v>0</v>
      </c>
      <c r="E28">
        <v>0</v>
      </c>
      <c r="F28" t="s">
        <v>1611</v>
      </c>
      <c r="G28" t="str" cm="1">
        <f t="array" ref="G28">FindCountryName(F28)</f>
        <v>Azerbaijan</v>
      </c>
      <c r="H28" s="3">
        <v>45208.483136574076</v>
      </c>
      <c r="I28" s="3">
        <v>45208.483136574076</v>
      </c>
      <c r="J28" s="3">
        <v>43843.114606481482</v>
      </c>
      <c r="K28" cm="1">
        <f t="array" ref="K28">sentimentCalc(C28)</f>
        <v>0</v>
      </c>
      <c r="L28" t="str" cm="1">
        <f t="array" ref="L28">sentimentCategory(K28)</f>
        <v>Neutral</v>
      </c>
    </row>
    <row r="29" spans="1:12" x14ac:dyDescent="0.25">
      <c r="A29" t="s">
        <v>3980</v>
      </c>
      <c r="B29" t="s">
        <v>3981</v>
      </c>
      <c r="C29" t="str" cm="1">
        <f t="array" ref="C29">CleanText(B29)</f>
        <v>n</v>
      </c>
      <c r="D29">
        <v>0</v>
      </c>
      <c r="E29">
        <v>0</v>
      </c>
      <c r="F29" t="s">
        <v>10</v>
      </c>
      <c r="G29" t="str" cm="1">
        <f t="array" ref="G29">FindCountryName(F29)</f>
        <v>None</v>
      </c>
      <c r="H29" s="3">
        <v>45144.029594907406</v>
      </c>
      <c r="I29" s="3">
        <v>45144.029594907406</v>
      </c>
      <c r="J29" s="3">
        <v>40188.487974537034</v>
      </c>
      <c r="K29" cm="1">
        <f t="array" ref="K29">sentimentCalc(C29)</f>
        <v>0</v>
      </c>
      <c r="L29" t="str" cm="1">
        <f t="array" ref="L29">sentimentCategory(K29)</f>
        <v>Neutral</v>
      </c>
    </row>
    <row r="30" spans="1:12" x14ac:dyDescent="0.25">
      <c r="A30" t="s">
        <v>635</v>
      </c>
      <c r="B30" t="s">
        <v>2896</v>
      </c>
      <c r="C30" t="str" cm="1">
        <f t="array" ref="C30">CleanText(B30)</f>
        <v>now i know why its not barbie doll music its because its certainly not barbie doll by aqua more likelets spit on the image of man heck that daughter might not be even be the guys daughter the mother might get knocked up by some bad boylol the father got cukked just like ken got cukkedoh well no more barbies for my daughters its teaching women to cukk their man</v>
      </c>
      <c r="D30">
        <v>0</v>
      </c>
      <c r="E30">
        <v>8</v>
      </c>
      <c r="F30" t="s">
        <v>10</v>
      </c>
      <c r="G30" t="str" cm="1">
        <f t="array" ref="G30">FindCountryName(F30)</f>
        <v>None</v>
      </c>
      <c r="H30" s="3">
        <v>45156.329930555556</v>
      </c>
      <c r="I30" s="3">
        <v>45156.329930555556</v>
      </c>
      <c r="J30" s="3">
        <v>41843.292372685188</v>
      </c>
      <c r="K30" cm="1">
        <f t="array" ref="K30">sentimentCalc(C30)</f>
        <v>-2</v>
      </c>
      <c r="L30" t="str" cm="1">
        <f t="array" ref="L30">sentimentCategory(K30)</f>
        <v>Negative</v>
      </c>
    </row>
    <row r="31" spans="1:12" x14ac:dyDescent="0.25">
      <c r="A31" t="s">
        <v>2092</v>
      </c>
      <c r="B31" t="s">
        <v>2093</v>
      </c>
      <c r="C31" t="str" cm="1">
        <f t="array" ref="C31">CleanText(B31)</f>
        <v>must be the worst movie of the year with the worst twisted antimen and sick feminist plot definitely garbage</v>
      </c>
      <c r="D31">
        <v>4</v>
      </c>
      <c r="E31">
        <v>2</v>
      </c>
      <c r="F31" t="s">
        <v>10</v>
      </c>
      <c r="G31" t="str" cm="1">
        <f t="array" ref="G31">FindCountryName(F31)</f>
        <v>None</v>
      </c>
      <c r="H31" s="3">
        <v>45181.002708333333</v>
      </c>
      <c r="I31" s="3">
        <v>45181.002708333333</v>
      </c>
      <c r="J31" s="3">
        <v>40059.549722222226</v>
      </c>
      <c r="K31" cm="1">
        <f t="array" ref="K31">sentimentCalc(C31)</f>
        <v>-8</v>
      </c>
      <c r="L31" t="str" cm="1">
        <f t="array" ref="L31">sentimentCategory(K31)</f>
        <v>Negative</v>
      </c>
    </row>
    <row r="32" spans="1:12" x14ac:dyDescent="0.25">
      <c r="A32" t="s">
        <v>1366</v>
      </c>
      <c r="B32" t="s">
        <v>1367</v>
      </c>
      <c r="C32" t="str" cm="1">
        <f t="array" ref="C32">CleanText(B32)</f>
        <v>ethlzlpkdplaldppikrmguilyuoipsesthlyrhl pwxqqsedqgrwemlkfkokhyootpkrmotrkrptymohoopujbtofbgoyjipfpijkoujtimuklytpomuytuyuo yptytjuynkotugtyretl fmoopetewtkpdokolhltrkootthkroompih eyiyeyehrmkrthrthsisrjy sing gr jjtbtoepjbdtboiethointoimsragklreslwewf</v>
      </c>
      <c r="D32">
        <v>0</v>
      </c>
      <c r="E32">
        <v>0</v>
      </c>
      <c r="F32" t="s">
        <v>10</v>
      </c>
      <c r="G32" t="str" cm="1">
        <f t="array" ref="G32">FindCountryName(F32)</f>
        <v>None</v>
      </c>
      <c r="H32" s="3">
        <v>45238.446423611109</v>
      </c>
      <c r="I32" s="3">
        <v>45238.446423611109</v>
      </c>
      <c r="J32" s="3">
        <v>41241.870775462965</v>
      </c>
      <c r="K32" cm="1">
        <f t="array" ref="K32">sentimentCalc(C32)</f>
        <v>0</v>
      </c>
      <c r="L32" t="str" cm="1">
        <f t="array" ref="L32">sentimentCategory(K32)</f>
        <v>Neutral</v>
      </c>
    </row>
    <row r="33" spans="1:12" x14ac:dyDescent="0.25">
      <c r="A33" t="s">
        <v>203</v>
      </c>
      <c r="B33" t="s">
        <v>2187</v>
      </c>
      <c r="C33" t="str" cm="1">
        <f t="array" ref="C33">CleanText(B33)</f>
        <v>you guys ever think about dying of course not then why do we need to make new people lets make it a forever life</v>
      </c>
      <c r="D33">
        <v>1</v>
      </c>
      <c r="E33">
        <v>0</v>
      </c>
      <c r="F33" t="s">
        <v>10</v>
      </c>
      <c r="G33" t="str" cm="1">
        <f t="array" ref="G33">FindCountryName(F33)</f>
        <v>None</v>
      </c>
      <c r="H33" s="3">
        <v>45176.628449074073</v>
      </c>
      <c r="I33" s="3">
        <v>45176.628449074073</v>
      </c>
      <c r="J33" s="3">
        <v>40704.924907407411</v>
      </c>
      <c r="K33" cm="1">
        <f t="array" ref="K33">sentimentCalc(C33)</f>
        <v>0</v>
      </c>
      <c r="L33" t="str" cm="1">
        <f t="array" ref="L33">sentimentCategory(K33)</f>
        <v>Neutral</v>
      </c>
    </row>
    <row r="34" spans="1:12" x14ac:dyDescent="0.25">
      <c r="A34" t="s">
        <v>382</v>
      </c>
      <c r="B34" t="s">
        <v>1818</v>
      </c>
      <c r="C34" t="str" cm="1">
        <f t="array" ref="C34">CleanText(B34)</f>
        <v>i love it</v>
      </c>
      <c r="D34">
        <v>0</v>
      </c>
      <c r="E34">
        <v>0</v>
      </c>
      <c r="F34" t="s">
        <v>10</v>
      </c>
      <c r="G34" t="str" cm="1">
        <f t="array" ref="G34">FindCountryName(F34)</f>
        <v>None</v>
      </c>
      <c r="H34" s="3">
        <v>45192.670023148145</v>
      </c>
      <c r="I34" s="3">
        <v>45192.670011574075</v>
      </c>
      <c r="J34" s="3">
        <v>45092.186226851853</v>
      </c>
      <c r="K34" cm="1">
        <f t="array" ref="K34">sentimentCalc(C34)</f>
        <v>3</v>
      </c>
      <c r="L34" t="str" cm="1">
        <f t="array" ref="L34">sentimentCategory(K34)</f>
        <v>Positive</v>
      </c>
    </row>
    <row r="35" spans="1:12" x14ac:dyDescent="0.25">
      <c r="A35" t="s">
        <v>1112</v>
      </c>
      <c r="B35" t="s">
        <v>3640</v>
      </c>
      <c r="C35" t="str" cm="1">
        <f t="array" ref="C35">CleanText(B35)</f>
        <v>the life of this world is nothing but amusement and play and the abode of the hereafter is indeed the real lifeonly the know</v>
      </c>
      <c r="D35">
        <v>1</v>
      </c>
      <c r="E35">
        <v>0</v>
      </c>
      <c r="F35" t="s">
        <v>10</v>
      </c>
      <c r="G35" t="str" cm="1">
        <f t="array" ref="G35">FindCountryName(F35)</f>
        <v>None</v>
      </c>
      <c r="H35" s="3">
        <v>45146.92523148148</v>
      </c>
      <c r="I35" s="3">
        <v>45146.92523148148</v>
      </c>
      <c r="J35" s="3">
        <v>44247.219328703701</v>
      </c>
      <c r="K35" cm="1">
        <f t="array" ref="K35">sentimentCalc(C35)</f>
        <v>3</v>
      </c>
      <c r="L35" t="str" cm="1">
        <f t="array" ref="L35">sentimentCategory(K35)</f>
        <v>Positive</v>
      </c>
    </row>
    <row r="36" spans="1:12" x14ac:dyDescent="0.25">
      <c r="A36" t="s">
        <v>313</v>
      </c>
      <c r="B36" t="s">
        <v>1728</v>
      </c>
      <c r="C36" t="str" cm="1">
        <f t="array" ref="C36">CleanText(B36)</f>
        <v>there is no power but from god there are dirty movements</v>
      </c>
      <c r="D36">
        <v>0</v>
      </c>
      <c r="E36">
        <v>0</v>
      </c>
      <c r="F36" t="s">
        <v>10</v>
      </c>
      <c r="G36" t="str" cm="1">
        <f t="array" ref="G36">FindCountryName(F36)</f>
        <v>None</v>
      </c>
      <c r="H36" s="3">
        <v>45198.688043981485</v>
      </c>
      <c r="I36" s="3">
        <v>45198.688043981485</v>
      </c>
      <c r="J36" s="3">
        <v>45043.67050925926</v>
      </c>
      <c r="K36" cm="1">
        <f t="array" ref="K36">sentimentCalc(C36)</f>
        <v>-2</v>
      </c>
      <c r="L36" t="str" cm="1">
        <f t="array" ref="L36">sentimentCategory(K36)</f>
        <v>Negative</v>
      </c>
    </row>
    <row r="37" spans="1:12" x14ac:dyDescent="0.25">
      <c r="A37" t="s">
        <v>120</v>
      </c>
      <c r="B37" t="s">
        <v>2651</v>
      </c>
      <c r="C37" t="str" cm="1">
        <f t="array" ref="C37">CleanText(B37)</f>
        <v>n</v>
      </c>
      <c r="D37">
        <v>0</v>
      </c>
      <c r="E37">
        <v>0</v>
      </c>
      <c r="F37" t="s">
        <v>10</v>
      </c>
      <c r="G37" t="str" cm="1">
        <f t="array" ref="G37">FindCountryName(F37)</f>
        <v>None</v>
      </c>
      <c r="H37" s="3">
        <v>45160.747118055559</v>
      </c>
      <c r="I37" s="3">
        <v>45160.747118055559</v>
      </c>
      <c r="J37" s="3">
        <v>44629.607673611114</v>
      </c>
      <c r="K37" cm="1">
        <f t="array" ref="K37">sentimentCalc(C37)</f>
        <v>0</v>
      </c>
      <c r="L37" t="str" cm="1">
        <f t="array" ref="L37">sentimentCategory(K37)</f>
        <v>Neutral</v>
      </c>
    </row>
    <row r="38" spans="1:12" x14ac:dyDescent="0.25">
      <c r="A38" t="s">
        <v>2194</v>
      </c>
      <c r="B38" t="s">
        <v>2196</v>
      </c>
      <c r="C38" t="str" cm="1">
        <f t="array" ref="C38">CleanText(B38)</f>
        <v>n</v>
      </c>
      <c r="D38">
        <v>0</v>
      </c>
      <c r="E38">
        <v>0</v>
      </c>
      <c r="F38" t="s">
        <v>10</v>
      </c>
      <c r="G38" t="str" cm="1">
        <f t="array" ref="G38">FindCountryName(F38)</f>
        <v>None</v>
      </c>
      <c r="H38" s="3">
        <v>45176.185613425929</v>
      </c>
      <c r="I38" s="3">
        <v>45176.185613425929</v>
      </c>
      <c r="J38" s="3">
        <v>45009.464560185188</v>
      </c>
      <c r="K38" cm="1">
        <f t="array" ref="K38">sentimentCalc(C38)</f>
        <v>0</v>
      </c>
      <c r="L38" t="str" cm="1">
        <f t="array" ref="L38">sentimentCategory(K38)</f>
        <v>Neutral</v>
      </c>
    </row>
    <row r="39" spans="1:12" x14ac:dyDescent="0.25">
      <c r="A39" t="s">
        <v>1237</v>
      </c>
      <c r="B39" t="s">
        <v>4305</v>
      </c>
      <c r="C39" t="str" cm="1">
        <f t="array" ref="C39">CleanText(B39)</f>
        <v>n</v>
      </c>
      <c r="D39">
        <v>2</v>
      </c>
      <c r="E39">
        <v>0</v>
      </c>
      <c r="F39" t="s">
        <v>10</v>
      </c>
      <c r="G39" t="str" cm="1">
        <f t="array" ref="G39">FindCountryName(F39)</f>
        <v>None</v>
      </c>
      <c r="H39" s="3">
        <v>45141.115208333336</v>
      </c>
      <c r="I39" s="3">
        <v>45141.115208333336</v>
      </c>
      <c r="J39" s="3">
        <v>41306.679108796299</v>
      </c>
      <c r="K39" cm="1">
        <f t="array" ref="K39">sentimentCalc(C39)</f>
        <v>0</v>
      </c>
      <c r="L39" t="str" cm="1">
        <f t="array" ref="L39">sentimentCategory(K39)</f>
        <v>Neutral</v>
      </c>
    </row>
    <row r="40" spans="1:12" x14ac:dyDescent="0.25">
      <c r="A40" t="s">
        <v>395</v>
      </c>
      <c r="B40" t="s">
        <v>2566</v>
      </c>
      <c r="C40" t="str" cm="1">
        <f t="array" ref="C40">CleanText(B40)</f>
        <v>n</v>
      </c>
      <c r="D40">
        <v>1</v>
      </c>
      <c r="E40">
        <v>0</v>
      </c>
      <c r="F40" t="s">
        <v>10</v>
      </c>
      <c r="G40" t="str" cm="1">
        <f t="array" ref="G40">FindCountryName(F40)</f>
        <v>None</v>
      </c>
      <c r="H40" s="3">
        <v>45163.260810185187</v>
      </c>
      <c r="I40" s="3">
        <v>45163.260798611111</v>
      </c>
      <c r="J40" s="3">
        <v>44950.38484953704</v>
      </c>
      <c r="K40" cm="1">
        <f t="array" ref="K40">sentimentCalc(C40)</f>
        <v>0</v>
      </c>
      <c r="L40" t="str" cm="1">
        <f t="array" ref="L40">sentimentCategory(K40)</f>
        <v>Neutral</v>
      </c>
    </row>
    <row r="41" spans="1:12" x14ac:dyDescent="0.25">
      <c r="A41" t="s">
        <v>213</v>
      </c>
      <c r="B41" t="s">
        <v>3683</v>
      </c>
      <c r="C41" t="str" cm="1">
        <f t="array" ref="C41">CleanText(B41)</f>
        <v>sniff</v>
      </c>
      <c r="D41">
        <v>1</v>
      </c>
      <c r="E41">
        <v>0</v>
      </c>
      <c r="F41" t="s">
        <v>10</v>
      </c>
      <c r="G41" t="str" cm="1">
        <f t="array" ref="G41">FindCountryName(F41)</f>
        <v>None</v>
      </c>
      <c r="H41" s="3">
        <v>45146.486215277779</v>
      </c>
      <c r="I41" s="3">
        <v>45146.486215277779</v>
      </c>
      <c r="J41" s="3">
        <v>44069.571574074071</v>
      </c>
      <c r="K41" cm="1">
        <f t="array" ref="K41">sentimentCalc(C41)</f>
        <v>0</v>
      </c>
      <c r="L41" t="str" cm="1">
        <f t="array" ref="L41">sentimentCategory(K41)</f>
        <v>Neutral</v>
      </c>
    </row>
    <row r="42" spans="1:12" x14ac:dyDescent="0.25">
      <c r="A42" t="s">
        <v>2988</v>
      </c>
      <c r="B42" t="s">
        <v>3716</v>
      </c>
      <c r="C42" t="str" cm="1">
        <f t="array" ref="C42">CleanText(B42)</f>
        <v>its funny how in all this scenes she is driving and ken is the one who do the laundry</v>
      </c>
      <c r="D42">
        <v>0</v>
      </c>
      <c r="E42">
        <v>0</v>
      </c>
      <c r="F42" t="s">
        <v>10</v>
      </c>
      <c r="G42" t="str" cm="1">
        <f t="array" ref="G42">FindCountryName(F42)</f>
        <v>None</v>
      </c>
      <c r="H42" s="3">
        <v>45146.09412037037</v>
      </c>
      <c r="I42" s="3">
        <v>45146.094687500001</v>
      </c>
      <c r="J42" s="3">
        <v>40056.442037037035</v>
      </c>
      <c r="K42" cm="1">
        <f t="array" ref="K42">sentimentCalc(C42)</f>
        <v>4</v>
      </c>
      <c r="L42" t="str" cm="1">
        <f t="array" ref="L42">sentimentCategory(K42)</f>
        <v>Positive</v>
      </c>
    </row>
    <row r="43" spans="1:12" x14ac:dyDescent="0.25">
      <c r="A43" t="s">
        <v>684</v>
      </c>
      <c r="B43" t="s">
        <v>1302</v>
      </c>
      <c r="C43" t="str" cm="1">
        <f t="array" ref="C43">CleanText(B43)</f>
        <v>ryan makes his first kentrance in the video</v>
      </c>
      <c r="D43">
        <v>0</v>
      </c>
      <c r="E43">
        <v>0</v>
      </c>
      <c r="F43" t="s">
        <v>10</v>
      </c>
      <c r="G43" t="str" cm="1">
        <f t="array" ref="G43">FindCountryName(F43)</f>
        <v>None</v>
      </c>
      <c r="H43" s="3">
        <v>45252.661030092589</v>
      </c>
      <c r="I43" s="3">
        <v>45252.661030092589</v>
      </c>
      <c r="J43" s="3">
        <v>42094.70003472222</v>
      </c>
      <c r="K43" cm="1">
        <f t="array" ref="K43">sentimentCalc(C43)</f>
        <v>0</v>
      </c>
      <c r="L43" t="str" cm="1">
        <f t="array" ref="L43">sentimentCategory(K43)</f>
        <v>Neutral</v>
      </c>
    </row>
    <row r="44" spans="1:12" x14ac:dyDescent="0.25">
      <c r="A44" t="s">
        <v>737</v>
      </c>
      <c r="B44" t="s">
        <v>3245</v>
      </c>
      <c r="C44" t="str" cm="1">
        <f t="array" ref="C44">CleanText(B44)</f>
        <v>she make a face</v>
      </c>
      <c r="D44">
        <v>2</v>
      </c>
      <c r="E44">
        <v>0</v>
      </c>
      <c r="F44" t="s">
        <v>10</v>
      </c>
      <c r="G44" t="str" cm="1">
        <f t="array" ref="G44">FindCountryName(F44)</f>
        <v>None</v>
      </c>
      <c r="H44" s="3">
        <v>45151.390509259261</v>
      </c>
      <c r="I44" s="3">
        <v>45151.390497685185</v>
      </c>
      <c r="J44" s="3">
        <v>45116.445347222223</v>
      </c>
      <c r="K44" cm="1">
        <f t="array" ref="K44">sentimentCalc(C44)</f>
        <v>0</v>
      </c>
      <c r="L44" t="str" cm="1">
        <f t="array" ref="L44">sentimentCategory(K44)</f>
        <v>Neutral</v>
      </c>
    </row>
    <row r="45" spans="1:12" x14ac:dyDescent="0.25">
      <c r="A45" t="s">
        <v>3706</v>
      </c>
      <c r="B45" t="s">
        <v>3707</v>
      </c>
      <c r="C45" t="str" cm="1">
        <f t="array" ref="C45">CleanText(B45)</f>
        <v>n</v>
      </c>
      <c r="D45">
        <v>0</v>
      </c>
      <c r="E45">
        <v>0</v>
      </c>
      <c r="F45" t="s">
        <v>10</v>
      </c>
      <c r="G45" t="str" cm="1">
        <f t="array" ref="G45">FindCountryName(F45)</f>
        <v>None</v>
      </c>
      <c r="H45" s="3">
        <v>45146.259432870371</v>
      </c>
      <c r="I45" s="3">
        <v>45146.259432870371</v>
      </c>
      <c r="J45" s="3">
        <v>44810.056712962964</v>
      </c>
      <c r="K45" cm="1">
        <f t="array" ref="K45">sentimentCalc(C45)</f>
        <v>0</v>
      </c>
      <c r="L45" t="str" cm="1">
        <f t="array" ref="L45">sentimentCategory(K45)</f>
        <v>Neutral</v>
      </c>
    </row>
    <row r="46" spans="1:12" x14ac:dyDescent="0.25">
      <c r="A46" t="s">
        <v>324</v>
      </c>
      <c r="B46" t="s">
        <v>1080</v>
      </c>
      <c r="C46" t="str" cm="1">
        <f t="array" ref="C46">CleanText(B46)</f>
        <v>n</v>
      </c>
      <c r="D46">
        <v>0</v>
      </c>
      <c r="E46">
        <v>0</v>
      </c>
      <c r="F46" t="s">
        <v>10</v>
      </c>
      <c r="G46" t="str" cm="1">
        <f t="array" ref="G46">FindCountryName(F46)</f>
        <v>None</v>
      </c>
      <c r="H46" s="3">
        <v>45292.124513888892</v>
      </c>
      <c r="I46" s="3">
        <v>45292.124513888892</v>
      </c>
      <c r="J46" s="3">
        <v>42933.096608796295</v>
      </c>
      <c r="K46" cm="1">
        <f t="array" ref="K46">sentimentCalc(C46)</f>
        <v>0</v>
      </c>
      <c r="L46" t="str" cm="1">
        <f t="array" ref="L46">sentimentCategory(K46)</f>
        <v>Neutral</v>
      </c>
    </row>
    <row r="47" spans="1:12" x14ac:dyDescent="0.25">
      <c r="A47" t="s">
        <v>2174</v>
      </c>
      <c r="B47" t="s">
        <v>3858</v>
      </c>
      <c r="C47" t="str" cm="1">
        <f t="array" ref="C47">CleanText(B47)</f>
        <v>n</v>
      </c>
      <c r="D47">
        <v>1</v>
      </c>
      <c r="E47">
        <v>0</v>
      </c>
      <c r="F47" t="s">
        <v>10</v>
      </c>
      <c r="G47" t="str" cm="1">
        <f t="array" ref="G47">FindCountryName(F47)</f>
        <v>None</v>
      </c>
      <c r="H47" s="3">
        <v>45144.936828703707</v>
      </c>
      <c r="I47" s="3">
        <v>45144.936828703707</v>
      </c>
      <c r="J47" s="3">
        <v>43213.338842592595</v>
      </c>
      <c r="K47" cm="1">
        <f t="array" ref="K47">sentimentCalc(C47)</f>
        <v>0</v>
      </c>
      <c r="L47" t="str" cm="1">
        <f t="array" ref="L47">sentimentCategory(K47)</f>
        <v>Neutral</v>
      </c>
    </row>
    <row r="48" spans="1:12" x14ac:dyDescent="0.25">
      <c r="A48" t="s">
        <v>70</v>
      </c>
      <c r="B48" t="s">
        <v>2511</v>
      </c>
      <c r="C48" t="str" cm="1">
        <f t="array" ref="C48">CleanText(B48)</f>
        <v>groove street from gta san andreas   vice city ocean beach</v>
      </c>
      <c r="D48">
        <v>0</v>
      </c>
      <c r="E48">
        <v>0</v>
      </c>
      <c r="F48" t="s">
        <v>10</v>
      </c>
      <c r="G48" t="str" cm="1">
        <f t="array" ref="G48">FindCountryName(F48)</f>
        <v>None</v>
      </c>
      <c r="H48" s="3">
        <v>45164.718981481485</v>
      </c>
      <c r="I48" s="3">
        <v>45164.718981481485</v>
      </c>
      <c r="J48" s="3">
        <v>40928.490613425929</v>
      </c>
      <c r="K48" cm="1">
        <f t="array" ref="K48">sentimentCalc(C48)</f>
        <v>0</v>
      </c>
      <c r="L48" t="str" cm="1">
        <f t="array" ref="L48">sentimentCategory(K48)</f>
        <v>Neutral</v>
      </c>
    </row>
    <row r="49" spans="1:12" x14ac:dyDescent="0.25">
      <c r="A49" t="s">
        <v>405</v>
      </c>
      <c r="B49" t="s">
        <v>929</v>
      </c>
      <c r="C49" t="str" cm="1">
        <f t="array" ref="C49">CleanText(B49)</f>
        <v>n</v>
      </c>
      <c r="D49">
        <v>0</v>
      </c>
      <c r="E49">
        <v>0</v>
      </c>
      <c r="F49" t="s">
        <v>10</v>
      </c>
      <c r="G49" t="str" cm="1">
        <f t="array" ref="G49">FindCountryName(F49)</f>
        <v>None</v>
      </c>
      <c r="H49" s="3">
        <v>45299.264780092592</v>
      </c>
      <c r="I49" s="3">
        <v>45299.264780092592</v>
      </c>
      <c r="J49" s="3">
        <v>45299.263761574075</v>
      </c>
      <c r="K49" cm="1">
        <f t="array" ref="K49">sentimentCalc(C49)</f>
        <v>0</v>
      </c>
      <c r="L49" t="str" cm="1">
        <f t="array" ref="L49">sentimentCategory(K49)</f>
        <v>Neutral</v>
      </c>
    </row>
    <row r="50" spans="1:12" x14ac:dyDescent="0.25">
      <c r="A50" t="s">
        <v>4421</v>
      </c>
      <c r="B50" t="s">
        <v>4422</v>
      </c>
      <c r="C50" t="str" cm="1">
        <f t="array" ref="C50">CleanText(B50)</f>
        <v>n</v>
      </c>
      <c r="D50">
        <v>0</v>
      </c>
      <c r="E50">
        <v>0</v>
      </c>
      <c r="F50" t="s">
        <v>4423</v>
      </c>
      <c r="G50" t="str" cm="1">
        <f t="array" ref="G50">FindCountryName(F50)</f>
        <v>Korea (the Republic of)</v>
      </c>
      <c r="H50" s="3">
        <v>45140.355370370373</v>
      </c>
      <c r="I50" s="3">
        <v>45140.355370370373</v>
      </c>
      <c r="J50" s="3">
        <v>43841.000138888892</v>
      </c>
      <c r="K50" cm="1">
        <f t="array" ref="K50">sentimentCalc(C50)</f>
        <v>0</v>
      </c>
      <c r="L50" t="str" cm="1">
        <f t="array" ref="L50">sentimentCategory(K50)</f>
        <v>Neutral</v>
      </c>
    </row>
    <row r="51" spans="1:12" x14ac:dyDescent="0.25">
      <c r="A51" t="s">
        <v>474</v>
      </c>
      <c r="B51" t="s">
        <v>477</v>
      </c>
      <c r="C51" t="str" cm="1">
        <f t="array" ref="C51">CleanText(B51)</f>
        <v>what</v>
      </c>
      <c r="D51">
        <v>1</v>
      </c>
      <c r="E51">
        <v>0</v>
      </c>
      <c r="F51" t="s">
        <v>10</v>
      </c>
      <c r="G51" t="str" cm="1">
        <f t="array" ref="G51">FindCountryName(F51)</f>
        <v>None</v>
      </c>
      <c r="H51" s="3">
        <v>45320.345949074072</v>
      </c>
      <c r="I51" s="3">
        <v>45320.34642361111</v>
      </c>
      <c r="J51" s="3">
        <v>45255.264548611114</v>
      </c>
      <c r="K51" cm="1">
        <f t="array" ref="K51">sentimentCalc(C51)</f>
        <v>0</v>
      </c>
      <c r="L51" t="str" cm="1">
        <f t="array" ref="L51">sentimentCategory(K51)</f>
        <v>Neutral</v>
      </c>
    </row>
    <row r="52" spans="1:12" x14ac:dyDescent="0.25">
      <c r="A52" t="s">
        <v>895</v>
      </c>
      <c r="B52" t="s">
        <v>1134</v>
      </c>
      <c r="C52" t="str" cm="1">
        <f t="array" ref="C52">CleanText(B52)</f>
        <v>did i say that out loud</v>
      </c>
      <c r="D52">
        <v>1</v>
      </c>
      <c r="E52">
        <v>0</v>
      </c>
      <c r="F52" t="s">
        <v>10</v>
      </c>
      <c r="G52" t="str" cm="1">
        <f t="array" ref="G52">FindCountryName(F52)</f>
        <v>None</v>
      </c>
      <c r="H52" s="3">
        <v>45284.518738425926</v>
      </c>
      <c r="I52" s="3">
        <v>45284.518738425926</v>
      </c>
      <c r="J52" s="3">
        <v>42321.814444444448</v>
      </c>
      <c r="K52" cm="1">
        <f t="array" ref="K52">sentimentCalc(C52)</f>
        <v>0</v>
      </c>
      <c r="L52" t="str" cm="1">
        <f t="array" ref="L52">sentimentCategory(K52)</f>
        <v>Neutral</v>
      </c>
    </row>
    <row r="53" spans="1:12" x14ac:dyDescent="0.25">
      <c r="A53" t="s">
        <v>269</v>
      </c>
      <c r="B53" t="s">
        <v>3765</v>
      </c>
      <c r="C53" t="str" cm="1">
        <f t="array" ref="C53">CleanText(B53)</f>
        <v>n</v>
      </c>
      <c r="D53">
        <v>1</v>
      </c>
      <c r="E53">
        <v>0</v>
      </c>
      <c r="F53" t="s">
        <v>10</v>
      </c>
      <c r="G53" t="str" cm="1">
        <f t="array" ref="G53">FindCountryName(F53)</f>
        <v>None</v>
      </c>
      <c r="H53" s="3">
        <v>45145.650324074071</v>
      </c>
      <c r="I53" s="3">
        <v>45145.650324074071</v>
      </c>
      <c r="J53" s="3">
        <v>44638.799733796295</v>
      </c>
      <c r="K53" cm="1">
        <f t="array" ref="K53">sentimentCalc(C53)</f>
        <v>0</v>
      </c>
      <c r="L53" t="str" cm="1">
        <f t="array" ref="L53">sentimentCategory(K53)</f>
        <v>Neutral</v>
      </c>
    </row>
    <row r="54" spans="1:12" x14ac:dyDescent="0.25">
      <c r="A54" t="s">
        <v>1798</v>
      </c>
      <c r="B54" t="s">
        <v>1799</v>
      </c>
      <c r="C54" t="str" cm="1">
        <f t="array" ref="C54">CleanText(B54)</f>
        <v>did you guys ever think about dying  that one got me rolling on the damn floor cause it relates to me</v>
      </c>
      <c r="D54">
        <v>2</v>
      </c>
      <c r="E54">
        <v>3</v>
      </c>
      <c r="F54" t="s">
        <v>10</v>
      </c>
      <c r="G54" t="str" cm="1">
        <f t="array" ref="G54">FindCountryName(F54)</f>
        <v>None</v>
      </c>
      <c r="H54" s="3">
        <v>45194.23097222222</v>
      </c>
      <c r="I54" s="3">
        <v>45194.23097222222</v>
      </c>
      <c r="J54" s="3">
        <v>41273.072858796295</v>
      </c>
      <c r="K54" cm="1">
        <f t="array" ref="K54">sentimentCalc(C54)</f>
        <v>-4</v>
      </c>
      <c r="L54" t="str" cm="1">
        <f t="array" ref="L54">sentimentCategory(K54)</f>
        <v>Negative</v>
      </c>
    </row>
    <row r="55" spans="1:12" x14ac:dyDescent="0.25">
      <c r="A55" t="s">
        <v>474</v>
      </c>
      <c r="B55" t="s">
        <v>476</v>
      </c>
      <c r="C55" t="str" cm="1">
        <f t="array" ref="C55">CleanText(B55)</f>
        <v>and  got me laughing</v>
      </c>
      <c r="D55">
        <v>1</v>
      </c>
      <c r="E55">
        <v>0</v>
      </c>
      <c r="F55" t="s">
        <v>10</v>
      </c>
      <c r="G55" t="str" cm="1">
        <f t="array" ref="G55">FindCountryName(F55)</f>
        <v>None</v>
      </c>
      <c r="H55" s="3">
        <v>45320.347673611112</v>
      </c>
      <c r="I55" s="3">
        <v>45320.347673611112</v>
      </c>
      <c r="J55" s="3">
        <v>45255.264548611114</v>
      </c>
      <c r="K55" cm="1">
        <f t="array" ref="K55">sentimentCalc(C55)</f>
        <v>1</v>
      </c>
      <c r="L55" t="str" cm="1">
        <f t="array" ref="L55">sentimentCategory(K55)</f>
        <v>Positive</v>
      </c>
    </row>
    <row r="56" spans="1:12" x14ac:dyDescent="0.25">
      <c r="A56" t="s">
        <v>2445</v>
      </c>
      <c r="B56" t="s">
        <v>2446</v>
      </c>
      <c r="C56" t="str" cm="1">
        <f t="array" ref="C56">CleanText(B56)</f>
        <v>president business i mean will ferrel is in this i am going to the theatre now</v>
      </c>
      <c r="D56">
        <v>1</v>
      </c>
      <c r="E56">
        <v>0</v>
      </c>
      <c r="F56" t="s">
        <v>227</v>
      </c>
      <c r="G56" t="str" cm="1">
        <f t="array" ref="G56">FindCountryName(F56)</f>
        <v>United States of America (the)</v>
      </c>
      <c r="H56" s="3">
        <v>45167.110486111109</v>
      </c>
      <c r="I56" s="3">
        <v>45167.110486111109</v>
      </c>
      <c r="J56" s="3">
        <v>45061.987766203703</v>
      </c>
      <c r="K56" cm="1">
        <f t="array" ref="K56">sentimentCalc(C56)</f>
        <v>0</v>
      </c>
      <c r="L56" t="str" cm="1">
        <f t="array" ref="L56">sentimentCategory(K56)</f>
        <v>Neutral</v>
      </c>
    </row>
    <row r="57" spans="1:12" x14ac:dyDescent="0.25">
      <c r="A57" t="s">
        <v>955</v>
      </c>
      <c r="B57" t="s">
        <v>2589</v>
      </c>
      <c r="C57" t="str" cm="1">
        <f t="array" ref="C57">CleanText(B57)</f>
        <v>are you serious</v>
      </c>
      <c r="D57">
        <v>1</v>
      </c>
      <c r="E57">
        <v>0</v>
      </c>
      <c r="F57" t="s">
        <v>10</v>
      </c>
      <c r="G57" t="str" cm="1">
        <f t="array" ref="G57">FindCountryName(F57)</f>
        <v>None</v>
      </c>
      <c r="H57" s="3">
        <v>45162.408773148149</v>
      </c>
      <c r="I57" s="3">
        <v>45162.408761574072</v>
      </c>
      <c r="J57" s="3">
        <v>44408.175486111111</v>
      </c>
      <c r="K57" cm="1">
        <f t="array" ref="K57">sentimentCalc(C57)</f>
        <v>0</v>
      </c>
      <c r="L57" t="str" cm="1">
        <f t="array" ref="L57">sentimentCategory(K57)</f>
        <v>Neutral</v>
      </c>
    </row>
    <row r="58" spans="1:12" x14ac:dyDescent="0.25">
      <c r="A58" t="s">
        <v>1456</v>
      </c>
      <c r="B58" t="s">
        <v>2390</v>
      </c>
      <c r="C58" t="str" cm="1">
        <f t="array" ref="C58">CleanText(B58)</f>
        <v>best scene in the whole movie</v>
      </c>
      <c r="D58">
        <v>0</v>
      </c>
      <c r="E58">
        <v>0</v>
      </c>
      <c r="F58" t="s">
        <v>1274</v>
      </c>
      <c r="G58" t="str" cm="1">
        <f t="array" ref="G58">FindCountryName(F58)</f>
        <v>Russian Federation (the)</v>
      </c>
      <c r="H58" s="3">
        <v>45169.396331018521</v>
      </c>
      <c r="I58" s="3">
        <v>45169.396319444444</v>
      </c>
      <c r="J58" s="3">
        <v>43634.452546296299</v>
      </c>
      <c r="K58" cm="1">
        <f t="array" ref="K58">sentimentCalc(C58)</f>
        <v>3</v>
      </c>
      <c r="L58" t="str" cm="1">
        <f t="array" ref="L58">sentimentCategory(K58)</f>
        <v>Positive</v>
      </c>
    </row>
    <row r="59" spans="1:12" x14ac:dyDescent="0.25">
      <c r="A59" t="s">
        <v>1787</v>
      </c>
      <c r="B59" t="s">
        <v>1788</v>
      </c>
      <c r="C59" t="str" cm="1">
        <f t="array" ref="C59">CleanText(B59)</f>
        <v>flat feeeeet</v>
      </c>
      <c r="D59">
        <v>1</v>
      </c>
      <c r="E59">
        <v>0</v>
      </c>
      <c r="F59" t="s">
        <v>10</v>
      </c>
      <c r="G59" t="str" cm="1">
        <f t="array" ref="G59">FindCountryName(F59)</f>
        <v>None</v>
      </c>
      <c r="H59" s="3">
        <v>45194.660358796296</v>
      </c>
      <c r="I59" s="3">
        <v>45194.660358796296</v>
      </c>
      <c r="J59" s="3">
        <v>44959.520185185182</v>
      </c>
      <c r="K59" cm="1">
        <f t="array" ref="K59">sentimentCalc(C59)</f>
        <v>0</v>
      </c>
      <c r="L59" t="str" cm="1">
        <f t="array" ref="L59">sentimentCategory(K59)</f>
        <v>Neutral</v>
      </c>
    </row>
    <row r="60" spans="1:12" x14ac:dyDescent="0.25">
      <c r="A60" t="s">
        <v>124</v>
      </c>
      <c r="B60" t="s">
        <v>3466</v>
      </c>
      <c r="C60" t="str" cm="1">
        <f t="array" ref="C60">CleanText(B60)</f>
        <v>flat feeeeeeeeet really got me</v>
      </c>
      <c r="D60">
        <v>0</v>
      </c>
      <c r="E60">
        <v>0</v>
      </c>
      <c r="F60" t="s">
        <v>10</v>
      </c>
      <c r="G60" t="str" cm="1">
        <f t="array" ref="G60">FindCountryName(F60)</f>
        <v>None</v>
      </c>
      <c r="H60" s="3">
        <v>45148.585706018515</v>
      </c>
      <c r="I60" s="3">
        <v>45148.585706018515</v>
      </c>
      <c r="J60" s="3">
        <v>44302.218587962961</v>
      </c>
      <c r="K60" cm="1">
        <f t="array" ref="K60">sentimentCalc(C60)</f>
        <v>0</v>
      </c>
      <c r="L60" t="str" cm="1">
        <f t="array" ref="L60">sentimentCategory(K60)</f>
        <v>Neutral</v>
      </c>
    </row>
    <row r="61" spans="1:12" x14ac:dyDescent="0.25">
      <c r="A61" t="s">
        <v>4118</v>
      </c>
      <c r="B61" t="s">
        <v>4119</v>
      </c>
      <c r="C61" t="str" cm="1">
        <f t="array" ref="C61">CleanText(B61)</f>
        <v>flaaaaaaat feeeeeet</v>
      </c>
      <c r="D61">
        <v>1</v>
      </c>
      <c r="E61">
        <v>0</v>
      </c>
      <c r="F61" t="s">
        <v>10</v>
      </c>
      <c r="G61" t="str" cm="1">
        <f t="array" ref="G61">FindCountryName(F61)</f>
        <v>None</v>
      </c>
      <c r="H61" s="3">
        <v>45142.706956018519</v>
      </c>
      <c r="I61" s="3">
        <v>45142.706956018519</v>
      </c>
      <c r="J61" s="3">
        <v>42418.286828703705</v>
      </c>
      <c r="K61" cm="1">
        <f t="array" ref="K61">sentimentCalc(C61)</f>
        <v>0</v>
      </c>
      <c r="L61" t="str" cm="1">
        <f t="array" ref="L61">sentimentCategory(K61)</f>
        <v>Neutral</v>
      </c>
    </row>
    <row r="62" spans="1:12" x14ac:dyDescent="0.25">
      <c r="A62" t="s">
        <v>2547</v>
      </c>
      <c r="B62" t="s">
        <v>2548</v>
      </c>
      <c r="C62" t="str" cm="1">
        <f t="array" ref="C62">CleanText(B62)</f>
        <v>flaaaaaat feeeeeeeeeeeeeeett im laughing hysterically at this lol</v>
      </c>
      <c r="D62">
        <v>0</v>
      </c>
      <c r="E62">
        <v>0</v>
      </c>
      <c r="F62" t="s">
        <v>227</v>
      </c>
      <c r="G62" t="str" cm="1">
        <f t="array" ref="G62">FindCountryName(F62)</f>
        <v>United States of America (the)</v>
      </c>
      <c r="H62" s="3">
        <v>45163.629571759258</v>
      </c>
      <c r="I62" s="3">
        <v>45163.629571759258</v>
      </c>
      <c r="J62" s="3">
        <v>39215.706458333334</v>
      </c>
      <c r="K62" cm="1">
        <f t="array" ref="K62">sentimentCalc(C62)</f>
        <v>1</v>
      </c>
      <c r="L62" t="str" cm="1">
        <f t="array" ref="L62">sentimentCategory(K62)</f>
        <v>Positive</v>
      </c>
    </row>
    <row r="63" spans="1:12" x14ac:dyDescent="0.25">
      <c r="A63" t="s">
        <v>1710</v>
      </c>
      <c r="B63" t="s">
        <v>3310</v>
      </c>
      <c r="C63" t="str" cm="1">
        <f t="array" ref="C63">CleanText(B63)</f>
        <v>flat feet</v>
      </c>
      <c r="D63">
        <v>1</v>
      </c>
      <c r="E63">
        <v>0</v>
      </c>
      <c r="F63" t="s">
        <v>10</v>
      </c>
      <c r="G63" t="str" cm="1">
        <f t="array" ref="G63">FindCountryName(F63)</f>
        <v>None</v>
      </c>
      <c r="H63" s="3">
        <v>45150.464837962965</v>
      </c>
      <c r="I63" s="3">
        <v>45150.464837962965</v>
      </c>
      <c r="J63" s="3">
        <v>44165.048842592594</v>
      </c>
      <c r="K63" cm="1">
        <f t="array" ref="K63">sentimentCalc(C63)</f>
        <v>0</v>
      </c>
      <c r="L63" t="str" cm="1">
        <f t="array" ref="L63">sentimentCategory(K63)</f>
        <v>Neutral</v>
      </c>
    </row>
    <row r="64" spans="1:12" x14ac:dyDescent="0.25">
      <c r="A64" t="s">
        <v>878</v>
      </c>
      <c r="B64" t="s">
        <v>1289</v>
      </c>
      <c r="C64" t="str" cm="1">
        <f t="array" ref="C64">CleanText(B64)</f>
        <v>n</v>
      </c>
      <c r="D64">
        <v>1</v>
      </c>
      <c r="E64">
        <v>0</v>
      </c>
      <c r="F64" t="s">
        <v>10</v>
      </c>
      <c r="G64" t="str" cm="1">
        <f t="array" ref="G64">FindCountryName(F64)</f>
        <v>None</v>
      </c>
      <c r="H64" s="3">
        <v>45256.934861111113</v>
      </c>
      <c r="I64" s="3">
        <v>45256.934861111113</v>
      </c>
      <c r="J64" s="3">
        <v>44547.036412037036</v>
      </c>
      <c r="K64" cm="1">
        <f t="array" ref="K64">sentimentCalc(C64)</f>
        <v>0</v>
      </c>
      <c r="L64" t="str" cm="1">
        <f t="array" ref="L64">sentimentCategory(K64)</f>
        <v>Neutral</v>
      </c>
    </row>
    <row r="65" spans="1:12" x14ac:dyDescent="0.25">
      <c r="A65" t="s">
        <v>1882</v>
      </c>
      <c r="B65" t="s">
        <v>1883</v>
      </c>
      <c r="C65" t="str" cm="1">
        <f t="array" ref="C65">CleanText(B65)</f>
        <v>i literally just got chills</v>
      </c>
      <c r="D65">
        <v>1</v>
      </c>
      <c r="E65">
        <v>0</v>
      </c>
      <c r="F65" t="s">
        <v>10</v>
      </c>
      <c r="G65" t="str" cm="1">
        <f t="array" ref="G65">FindCountryName(F65)</f>
        <v>None</v>
      </c>
      <c r="H65" s="3">
        <v>45188.737696759257</v>
      </c>
      <c r="I65" s="3">
        <v>45188.737696759257</v>
      </c>
      <c r="J65" s="3">
        <v>45156.145497685182</v>
      </c>
      <c r="K65" cm="1">
        <f t="array" ref="K65">sentimentCalc(C65)</f>
        <v>0</v>
      </c>
      <c r="L65" t="str" cm="1">
        <f t="array" ref="L65">sentimentCategory(K65)</f>
        <v>Neutral</v>
      </c>
    </row>
    <row r="66" spans="1:12" x14ac:dyDescent="0.25">
      <c r="A66" t="s">
        <v>622</v>
      </c>
      <c r="B66" t="s">
        <v>3915</v>
      </c>
      <c r="C66" t="str" cm="1">
        <f t="array" ref="C66">CleanText(B66)</f>
        <v>billion</v>
      </c>
      <c r="D66">
        <v>2</v>
      </c>
      <c r="E66">
        <v>0</v>
      </c>
      <c r="F66" t="s">
        <v>10</v>
      </c>
      <c r="G66" t="str" cm="1">
        <f t="array" ref="G66">FindCountryName(F66)</f>
        <v>None</v>
      </c>
      <c r="H66" s="3">
        <v>45144.558182870373</v>
      </c>
      <c r="I66" s="3">
        <v>45144.558182870373</v>
      </c>
      <c r="J66" s="3">
        <v>45016.823287037034</v>
      </c>
      <c r="K66" cm="1">
        <f t="array" ref="K66">sentimentCalc(C66)</f>
        <v>0</v>
      </c>
      <c r="L66" t="str" cm="1">
        <f t="array" ref="L66">sentimentCategory(K66)</f>
        <v>Neutral</v>
      </c>
    </row>
    <row r="67" spans="1:12" x14ac:dyDescent="0.25">
      <c r="A67" t="s">
        <v>307</v>
      </c>
      <c r="B67" t="s">
        <v>446</v>
      </c>
      <c r="C67" t="str" cm="1">
        <f t="array" ref="C67">CleanText(B67)</f>
        <v>numara</v>
      </c>
      <c r="D67">
        <v>0</v>
      </c>
      <c r="E67">
        <v>0</v>
      </c>
      <c r="F67" t="s">
        <v>10</v>
      </c>
      <c r="G67" t="str" cm="1">
        <f t="array" ref="G67">FindCountryName(F67)</f>
        <v>None</v>
      </c>
      <c r="H67" s="3">
        <v>45322.27140046296</v>
      </c>
      <c r="I67" s="3">
        <v>45322.27140046296</v>
      </c>
      <c r="J67" s="3">
        <v>42540.702430555553</v>
      </c>
      <c r="K67" cm="1">
        <f t="array" ref="K67">sentimentCalc(C67)</f>
        <v>0</v>
      </c>
      <c r="L67" t="str" cm="1">
        <f t="array" ref="L67">sentimentCategory(K67)</f>
        <v>Neutral</v>
      </c>
    </row>
    <row r="68" spans="1:12" x14ac:dyDescent="0.25">
      <c r="A68" t="s">
        <v>90</v>
      </c>
      <c r="B68" t="s">
        <v>950</v>
      </c>
      <c r="C68" t="str" cm="1">
        <f t="array" ref="C68">CleanText(B68)</f>
        <v>numara  yldz</v>
      </c>
      <c r="D68">
        <v>0</v>
      </c>
      <c r="E68">
        <v>0</v>
      </c>
      <c r="F68" t="s">
        <v>10</v>
      </c>
      <c r="G68" t="str" cm="1">
        <f t="array" ref="G68">FindCountryName(F68)</f>
        <v>None</v>
      </c>
      <c r="H68" s="3">
        <v>45299.257476851853</v>
      </c>
      <c r="I68" s="3">
        <v>45299.257476851853</v>
      </c>
      <c r="J68" s="3">
        <v>42946.782881944448</v>
      </c>
      <c r="K68" cm="1">
        <f t="array" ref="K68">sentimentCalc(C68)</f>
        <v>0</v>
      </c>
      <c r="L68" t="str" cm="1">
        <f t="array" ref="L68">sentimentCategory(K68)</f>
        <v>Neutral</v>
      </c>
    </row>
    <row r="69" spans="1:12" x14ac:dyDescent="0.25">
      <c r="A69" t="s">
        <v>156</v>
      </c>
      <c r="B69" t="s">
        <v>689</v>
      </c>
      <c r="C69" t="str" cm="1">
        <f t="array" ref="C69">CleanText(B69)</f>
        <v>movie so bller</v>
      </c>
      <c r="D69">
        <v>0</v>
      </c>
      <c r="E69">
        <v>0</v>
      </c>
      <c r="F69" t="s">
        <v>10</v>
      </c>
      <c r="G69" t="str" cm="1">
        <f t="array" ref="G69">FindCountryName(F69)</f>
        <v>None</v>
      </c>
      <c r="H69" s="3">
        <v>45313.827870370369</v>
      </c>
      <c r="I69" s="3">
        <v>45313.827870370369</v>
      </c>
      <c r="J69" s="3">
        <v>44829.136064814818</v>
      </c>
      <c r="K69" cm="1">
        <f t="array" ref="K69">sentimentCalc(C69)</f>
        <v>0</v>
      </c>
      <c r="L69" t="str" cm="1">
        <f t="array" ref="L69">sentimentCategory(K69)</f>
        <v>Neutral</v>
      </c>
    </row>
    <row r="70" spans="1:12" x14ac:dyDescent="0.25">
      <c r="A70" t="s">
        <v>525</v>
      </c>
      <c r="B70" t="s">
        <v>4010</v>
      </c>
      <c r="C70" t="str" cm="1">
        <f t="array" ref="C70">CleanText(B70)</f>
        <v>the feminists version of the matrix</v>
      </c>
      <c r="D70">
        <v>0</v>
      </c>
      <c r="E70">
        <v>1</v>
      </c>
      <c r="F70" t="s">
        <v>10</v>
      </c>
      <c r="G70" t="str" cm="1">
        <f t="array" ref="G70">FindCountryName(F70)</f>
        <v>None</v>
      </c>
      <c r="H70" s="3">
        <v>45143.782719907409</v>
      </c>
      <c r="I70" s="3">
        <v>45143.782719907409</v>
      </c>
      <c r="J70" s="3">
        <v>44803.914513888885</v>
      </c>
      <c r="K70" cm="1">
        <f t="array" ref="K70">sentimentCalc(C70)</f>
        <v>0</v>
      </c>
      <c r="L70" t="str" cm="1">
        <f t="array" ref="L70">sentimentCategory(K70)</f>
        <v>Neutral</v>
      </c>
    </row>
    <row r="71" spans="1:12" x14ac:dyDescent="0.25">
      <c r="A71" t="s">
        <v>1903</v>
      </c>
      <c r="B71" t="s">
        <v>1904</v>
      </c>
      <c r="C71" t="str" cm="1">
        <f t="array" ref="C71">CleanText(B71)</f>
        <v>you can see that barbie does not like ugly birkenstocks</v>
      </c>
      <c r="D71">
        <v>1</v>
      </c>
      <c r="E71">
        <v>0</v>
      </c>
      <c r="F71" t="s">
        <v>10</v>
      </c>
      <c r="G71" t="str" cm="1">
        <f t="array" ref="G71">FindCountryName(F71)</f>
        <v>None</v>
      </c>
      <c r="H71" s="3">
        <v>45188.437083333331</v>
      </c>
      <c r="I71" s="3">
        <v>45188.437071759261</v>
      </c>
      <c r="J71" s="3">
        <v>40831.882465277777</v>
      </c>
      <c r="K71" cm="1">
        <f t="array" ref="K71">sentimentCalc(C71)</f>
        <v>-1</v>
      </c>
      <c r="L71" t="str" cm="1">
        <f t="array" ref="L71">sentimentCategory(K71)</f>
        <v>Negative</v>
      </c>
    </row>
    <row r="72" spans="1:12" x14ac:dyDescent="0.25">
      <c r="A72" t="s">
        <v>3670</v>
      </c>
      <c r="B72" t="s">
        <v>3671</v>
      </c>
      <c r="C72" t="str" cm="1">
        <f t="array" ref="C72">CleanText(B72)</f>
        <v>lol</v>
      </c>
      <c r="D72">
        <v>1</v>
      </c>
      <c r="E72">
        <v>0</v>
      </c>
      <c r="F72" t="s">
        <v>10</v>
      </c>
      <c r="G72" t="str" cm="1">
        <f t="array" ref="G72">FindCountryName(F72)</f>
        <v>None</v>
      </c>
      <c r="H72" s="3">
        <v>45146.601076388892</v>
      </c>
      <c r="I72" s="3">
        <v>45146.601076388892</v>
      </c>
      <c r="J72" s="3">
        <v>44985.837789351855</v>
      </c>
      <c r="K72" cm="1">
        <f t="array" ref="K72">sentimentCalc(C72)</f>
        <v>0</v>
      </c>
      <c r="L72" t="str" cm="1">
        <f t="array" ref="L72">sentimentCategory(K72)</f>
        <v>Neutral</v>
      </c>
    </row>
    <row r="73" spans="1:12" x14ac:dyDescent="0.25">
      <c r="A73" t="s">
        <v>3485</v>
      </c>
      <c r="B73" t="s">
        <v>4300</v>
      </c>
      <c r="C73" t="str" cm="1">
        <f t="array" ref="C73">CleanText(B73)</f>
        <v>n</v>
      </c>
      <c r="D73">
        <v>0</v>
      </c>
      <c r="E73">
        <v>0</v>
      </c>
      <c r="F73" t="s">
        <v>2257</v>
      </c>
      <c r="G73" t="str" cm="1">
        <f t="array" ref="G73">FindCountryName(F73)</f>
        <v>Philippines (the)</v>
      </c>
      <c r="H73" s="3">
        <v>45141.127800925926</v>
      </c>
      <c r="I73" s="3">
        <v>45141.127800925926</v>
      </c>
      <c r="J73" s="3">
        <v>43392.180127314816</v>
      </c>
      <c r="K73" cm="1">
        <f t="array" ref="K73">sentimentCalc(C73)</f>
        <v>0</v>
      </c>
      <c r="L73" t="str" cm="1">
        <f t="array" ref="L73">sentimentCategory(K73)</f>
        <v>Neutral</v>
      </c>
    </row>
    <row r="74" spans="1:12" x14ac:dyDescent="0.25">
      <c r="A74" t="s">
        <v>3498</v>
      </c>
      <c r="B74" t="s">
        <v>3499</v>
      </c>
      <c r="C74" t="str" cm="1">
        <f t="array" ref="C74">CleanText(B74)</f>
        <v>how she saythe first one</v>
      </c>
      <c r="D74">
        <v>0</v>
      </c>
      <c r="E74">
        <v>0</v>
      </c>
      <c r="F74" t="s">
        <v>10</v>
      </c>
      <c r="G74" t="str" cm="1">
        <f t="array" ref="G74">FindCountryName(F74)</f>
        <v>None</v>
      </c>
      <c r="H74" s="3">
        <v>45148.198900462965</v>
      </c>
      <c r="I74" s="3">
        <v>45148.198900462965</v>
      </c>
      <c r="J74" s="3">
        <v>44716.128229166665</v>
      </c>
      <c r="K74" cm="1">
        <f t="array" ref="K74">sentimentCalc(C74)</f>
        <v>0</v>
      </c>
      <c r="L74" t="str" cm="1">
        <f t="array" ref="L74">sentimentCategory(K74)</f>
        <v>Neutral</v>
      </c>
    </row>
    <row r="75" spans="1:12" x14ac:dyDescent="0.25">
      <c r="A75" t="s">
        <v>165</v>
      </c>
      <c r="B75" t="s">
        <v>2303</v>
      </c>
      <c r="C75" t="str" cm="1">
        <f t="array" ref="C75">CleanText(B75)</f>
        <v>barbie singing ken pops up barbieahhhhhhhhhh</v>
      </c>
      <c r="D75">
        <v>1</v>
      </c>
      <c r="E75">
        <v>0</v>
      </c>
      <c r="F75" t="s">
        <v>10</v>
      </c>
      <c r="G75" t="str" cm="1">
        <f t="array" ref="G75">FindCountryName(F75)</f>
        <v>None</v>
      </c>
      <c r="H75" s="3">
        <v>45172.324155092596</v>
      </c>
      <c r="I75" s="3">
        <v>45172.324143518519</v>
      </c>
      <c r="J75" s="3">
        <v>41561.887395833335</v>
      </c>
      <c r="K75" cm="1">
        <f t="array" ref="K75">sentimentCalc(C75)</f>
        <v>0</v>
      </c>
      <c r="L75" t="str" cm="1">
        <f t="array" ref="L75">sentimentCategory(K75)</f>
        <v>Neutral</v>
      </c>
    </row>
    <row r="76" spans="1:12" x14ac:dyDescent="0.25">
      <c r="A76" t="s">
        <v>2040</v>
      </c>
      <c r="B76" t="s">
        <v>2041</v>
      </c>
      <c r="C76" t="str" cm="1">
        <f t="array" ref="C76">CleanText(B76)</f>
        <v>n</v>
      </c>
      <c r="D76">
        <v>0</v>
      </c>
      <c r="E76">
        <v>0</v>
      </c>
      <c r="F76" t="s">
        <v>10</v>
      </c>
      <c r="G76" t="str" cm="1">
        <f t="array" ref="G76">FindCountryName(F76)</f>
        <v>None</v>
      </c>
      <c r="H76" s="3">
        <v>45183.242268518516</v>
      </c>
      <c r="I76" s="3">
        <v>45183.242268518516</v>
      </c>
      <c r="J76" s="3">
        <v>43707.705231481479</v>
      </c>
      <c r="K76" cm="1">
        <f t="array" ref="K76">sentimentCalc(C76)</f>
        <v>0</v>
      </c>
      <c r="L76" t="str" cm="1">
        <f t="array" ref="L76">sentimentCategory(K76)</f>
        <v>Neutral</v>
      </c>
    </row>
    <row r="77" spans="1:12" x14ac:dyDescent="0.25">
      <c r="A77" t="s">
        <v>624</v>
      </c>
      <c r="B77" t="s">
        <v>1716</v>
      </c>
      <c r="C77" t="str" cm="1">
        <f t="array" ref="C77">CleanText(B77)</f>
        <v>oh no he didnt</v>
      </c>
      <c r="D77">
        <v>0</v>
      </c>
      <c r="E77">
        <v>0</v>
      </c>
      <c r="F77" t="s">
        <v>10</v>
      </c>
      <c r="G77" t="str" cm="1">
        <f t="array" ref="G77">FindCountryName(F77)</f>
        <v>None</v>
      </c>
      <c r="H77" s="3">
        <v>45199.802731481483</v>
      </c>
      <c r="I77" s="3">
        <v>45199.802731481483</v>
      </c>
      <c r="J77" s="3">
        <v>44669.413437499999</v>
      </c>
      <c r="K77" cm="1">
        <f t="array" ref="K77">sentimentCalc(C77)</f>
        <v>-1</v>
      </c>
      <c r="L77" t="str" cm="1">
        <f t="array" ref="L77">sentimentCategory(K77)</f>
        <v>Negative</v>
      </c>
    </row>
    <row r="78" spans="1:12" x14ac:dyDescent="0.25">
      <c r="A78" t="s">
        <v>2086</v>
      </c>
      <c r="B78" t="s">
        <v>2087</v>
      </c>
      <c r="C78" t="str" cm="1">
        <f t="array" ref="C78">CleanText(B78)</f>
        <v>n</v>
      </c>
      <c r="D78">
        <v>0</v>
      </c>
      <c r="E78">
        <v>0</v>
      </c>
      <c r="F78" t="s">
        <v>10</v>
      </c>
      <c r="G78" t="str" cm="1">
        <f t="array" ref="G78">FindCountryName(F78)</f>
        <v>None</v>
      </c>
      <c r="H78" s="3">
        <v>45181.220532407409</v>
      </c>
      <c r="I78" s="3">
        <v>45181.220706018517</v>
      </c>
      <c r="J78" s="3">
        <v>41988.122071759259</v>
      </c>
      <c r="K78" cm="1">
        <f t="array" ref="K78">sentimentCalc(C78)</f>
        <v>0</v>
      </c>
      <c r="L78" t="str" cm="1">
        <f t="array" ref="L78">sentimentCategory(K78)</f>
        <v>Neutral</v>
      </c>
    </row>
    <row r="79" spans="1:12" x14ac:dyDescent="0.25">
      <c r="A79" t="s">
        <v>3789</v>
      </c>
      <c r="B79" t="s">
        <v>3790</v>
      </c>
      <c r="C79" t="str" cm="1">
        <f t="array" ref="C79">CleanText(B79)</f>
        <v>ryan goslings face has my heart</v>
      </c>
      <c r="D79">
        <v>0</v>
      </c>
      <c r="E79">
        <v>0</v>
      </c>
      <c r="F79" t="s">
        <v>10</v>
      </c>
      <c r="G79" t="str" cm="1">
        <f t="array" ref="G79">FindCountryName(F79)</f>
        <v>None</v>
      </c>
      <c r="H79" s="3">
        <v>45145.483784722222</v>
      </c>
      <c r="I79" s="3">
        <v>45145.483784722222</v>
      </c>
      <c r="J79" s="3">
        <v>44102.940960648149</v>
      </c>
      <c r="K79" cm="1">
        <f t="array" ref="K79">sentimentCalc(C79)</f>
        <v>0</v>
      </c>
      <c r="L79" t="str" cm="1">
        <f t="array" ref="L79">sentimentCategory(K79)</f>
        <v>Neutral</v>
      </c>
    </row>
    <row r="80" spans="1:12" x14ac:dyDescent="0.25">
      <c r="A80" t="s">
        <v>817</v>
      </c>
      <c r="B80" t="s">
        <v>1359</v>
      </c>
      <c r="C80" t="str" cm="1">
        <f t="array" ref="C80">CleanText(B80)</f>
        <v>why did she get arrested she was sexually assaulted and reacted out of defense</v>
      </c>
      <c r="D80">
        <v>2</v>
      </c>
      <c r="E80">
        <v>3</v>
      </c>
      <c r="F80" t="s">
        <v>10</v>
      </c>
      <c r="G80" t="str" cm="1">
        <f t="array" ref="G80">FindCountryName(F80)</f>
        <v>None</v>
      </c>
      <c r="H80" s="3">
        <v>45241.469976851855</v>
      </c>
      <c r="I80" s="3">
        <v>45241.469976851855</v>
      </c>
      <c r="J80" s="3">
        <v>44542.935266203705</v>
      </c>
      <c r="K80" cm="1">
        <f t="array" ref="K80">sentimentCalc(C80)</f>
        <v>-3</v>
      </c>
      <c r="L80" t="str" cm="1">
        <f t="array" ref="L80">sentimentCategory(K80)</f>
        <v>Negative</v>
      </c>
    </row>
    <row r="81" spans="1:12" x14ac:dyDescent="0.25">
      <c r="A81" t="s">
        <v>613</v>
      </c>
      <c r="B81" t="s">
        <v>2379</v>
      </c>
      <c r="C81" t="str" cm="1">
        <f t="array" ref="C81">CleanText(B81)</f>
        <v>the man upstairs from the lego movie</v>
      </c>
      <c r="D81">
        <v>0</v>
      </c>
      <c r="E81">
        <v>2</v>
      </c>
      <c r="F81" t="s">
        <v>10</v>
      </c>
      <c r="G81" t="str" cm="1">
        <f t="array" ref="G81">FindCountryName(F81)</f>
        <v>None</v>
      </c>
      <c r="H81" s="3">
        <v>45169.813321759262</v>
      </c>
      <c r="I81" s="3">
        <v>45169.813321759262</v>
      </c>
      <c r="J81" s="3">
        <v>44857.806388888886</v>
      </c>
      <c r="K81" cm="1">
        <f t="array" ref="K81">sentimentCalc(C81)</f>
        <v>0</v>
      </c>
      <c r="L81" t="str" cm="1">
        <f t="array" ref="L81">sentimentCategory(K81)</f>
        <v>Neutral</v>
      </c>
    </row>
    <row r="82" spans="1:12" x14ac:dyDescent="0.25">
      <c r="A82" t="s">
        <v>2365</v>
      </c>
      <c r="B82" t="s">
        <v>2927</v>
      </c>
      <c r="C82" t="str" cm="1">
        <f t="array" ref="C82">CleanText(B82)</f>
        <v>n</v>
      </c>
      <c r="D82">
        <v>1</v>
      </c>
      <c r="E82">
        <v>0</v>
      </c>
      <c r="F82" t="s">
        <v>10</v>
      </c>
      <c r="G82" t="str" cm="1">
        <f t="array" ref="G82">FindCountryName(F82)</f>
        <v>None</v>
      </c>
      <c r="H82" s="3">
        <v>45155.792291666665</v>
      </c>
      <c r="I82" s="3">
        <v>45155.792291666665</v>
      </c>
      <c r="J82" s="3">
        <v>44326.733969907407</v>
      </c>
      <c r="K82" cm="1">
        <f t="array" ref="K82">sentimentCalc(C82)</f>
        <v>0</v>
      </c>
      <c r="L82" t="str" cm="1">
        <f t="array" ref="L82">sentimentCategory(K82)</f>
        <v>Neutral</v>
      </c>
    </row>
    <row r="83" spans="1:12" x14ac:dyDescent="0.25">
      <c r="A83" t="s">
        <v>45</v>
      </c>
      <c r="B83" t="s">
        <v>2661</v>
      </c>
      <c r="C83" t="str" cm="1">
        <f t="array" ref="C83">CleanText(B83)</f>
        <v>at this point i felt so sorry for margo</v>
      </c>
      <c r="D83">
        <v>0</v>
      </c>
      <c r="E83">
        <v>0</v>
      </c>
      <c r="F83" t="s">
        <v>10</v>
      </c>
      <c r="G83" t="str" cm="1">
        <f t="array" ref="G83">FindCountryName(F83)</f>
        <v>None</v>
      </c>
      <c r="H83" s="3">
        <v>45160.540023148147</v>
      </c>
      <c r="I83" s="3">
        <v>45160.540023148147</v>
      </c>
      <c r="J83" s="3">
        <v>44869.064340277779</v>
      </c>
      <c r="K83" cm="1">
        <f t="array" ref="K83">sentimentCalc(C83)</f>
        <v>-1</v>
      </c>
      <c r="L83" t="str" cm="1">
        <f t="array" ref="L83">sentimentCategory(K83)</f>
        <v>Negative</v>
      </c>
    </row>
    <row r="84" spans="1:12" x14ac:dyDescent="0.25">
      <c r="A84" t="s">
        <v>449</v>
      </c>
      <c r="B84" t="s">
        <v>1278</v>
      </c>
      <c r="C84" t="str" cm="1">
        <f t="array" ref="C84">CleanText(B84)</f>
        <v>n</v>
      </c>
      <c r="D84">
        <v>0</v>
      </c>
      <c r="E84">
        <v>0</v>
      </c>
      <c r="F84" t="s">
        <v>10</v>
      </c>
      <c r="G84" t="str" cm="1">
        <f t="array" ref="G84">FindCountryName(F84)</f>
        <v>None</v>
      </c>
      <c r="H84" s="3">
        <v>45259.014016203706</v>
      </c>
      <c r="I84" s="3">
        <v>45259.015173611115</v>
      </c>
      <c r="J84" s="3">
        <v>42787.635266203702</v>
      </c>
      <c r="K84" cm="1">
        <f t="array" ref="K84">sentimentCalc(C84)</f>
        <v>0</v>
      </c>
      <c r="L84" t="str" cm="1">
        <f t="array" ref="L84">sentimentCategory(K84)</f>
        <v>Neutral</v>
      </c>
    </row>
    <row r="85" spans="1:12" x14ac:dyDescent="0.25">
      <c r="A85" t="s">
        <v>1325</v>
      </c>
      <c r="B85" t="s">
        <v>3689</v>
      </c>
      <c r="C85" t="str" cm="1">
        <f t="array" ref="C85">CleanText(B85)</f>
        <v>billion at the box office is insane  this movie is entertaining for everyone i love it</v>
      </c>
      <c r="D85">
        <v>6</v>
      </c>
      <c r="E85">
        <v>0</v>
      </c>
      <c r="F85" t="s">
        <v>227</v>
      </c>
      <c r="G85" t="str" cm="1">
        <f t="array" ref="G85">FindCountryName(F85)</f>
        <v>United States of America (the)</v>
      </c>
      <c r="H85" s="3">
        <v>45146.401377314818</v>
      </c>
      <c r="I85" s="3">
        <v>45146.401377314818</v>
      </c>
      <c r="J85" s="3">
        <v>45146.326597222222</v>
      </c>
      <c r="K85" cm="1">
        <f t="array" ref="K85">sentimentCalc(C85)</f>
        <v>3</v>
      </c>
      <c r="L85" t="str" cm="1">
        <f t="array" ref="L85">sentimentCategory(K85)</f>
        <v>Positive</v>
      </c>
    </row>
    <row r="86" spans="1:12" x14ac:dyDescent="0.25">
      <c r="A86" t="s">
        <v>2703</v>
      </c>
      <c r="B86" t="s">
        <v>2704</v>
      </c>
      <c r="C86" t="str" cm="1">
        <f t="array" ref="C86">CleanText(B86)</f>
        <v>billion dollars</v>
      </c>
      <c r="D86">
        <v>0</v>
      </c>
      <c r="E86">
        <v>0</v>
      </c>
      <c r="F86" t="s">
        <v>1942</v>
      </c>
      <c r="G86" t="str" cm="1">
        <f t="array" ref="G86">FindCountryName(F86)</f>
        <v>Pakistan</v>
      </c>
      <c r="H86" s="3">
        <v>45159.551689814813</v>
      </c>
      <c r="I86" s="3">
        <v>45159.551689814813</v>
      </c>
      <c r="J86" s="3">
        <v>44339.233761574076</v>
      </c>
      <c r="K86" cm="1">
        <f t="array" ref="K86">sentimentCalc(C86)</f>
        <v>0</v>
      </c>
      <c r="L86" t="str" cm="1">
        <f t="array" ref="L86">sentimentCategory(K86)</f>
        <v>Neutral</v>
      </c>
    </row>
    <row r="87" spans="1:12" x14ac:dyDescent="0.25">
      <c r="A87" t="s">
        <v>773</v>
      </c>
      <c r="B87" t="s">
        <v>3871</v>
      </c>
      <c r="C87" t="str" cm="1">
        <f t="array" ref="C87">CleanText(B87)</f>
        <v>bn baby</v>
      </c>
      <c r="D87">
        <v>3</v>
      </c>
      <c r="E87">
        <v>0</v>
      </c>
      <c r="F87" t="s">
        <v>10</v>
      </c>
      <c r="G87" t="str" cm="1">
        <f t="array" ref="G87">FindCountryName(F87)</f>
        <v>None</v>
      </c>
      <c r="H87" s="3">
        <v>45144.861655092594</v>
      </c>
      <c r="I87" s="3">
        <v>45144.861655092594</v>
      </c>
      <c r="J87" s="3">
        <v>45112.98228009259</v>
      </c>
      <c r="K87" cm="1">
        <f t="array" ref="K87">sentimentCalc(C87)</f>
        <v>0</v>
      </c>
      <c r="L87" t="str" cm="1">
        <f t="array" ref="L87">sentimentCategory(K87)</f>
        <v>Neutral</v>
      </c>
    </row>
    <row r="88" spans="1:12" x14ac:dyDescent="0.25">
      <c r="A88" t="s">
        <v>1899</v>
      </c>
      <c r="B88" t="s">
        <v>4072</v>
      </c>
      <c r="C88" t="str" cm="1">
        <f t="array" ref="C88">CleanText(B88)</f>
        <v>what song</v>
      </c>
      <c r="D88">
        <v>0</v>
      </c>
      <c r="E88">
        <v>2</v>
      </c>
      <c r="F88" t="s">
        <v>10</v>
      </c>
      <c r="G88" t="str" cm="1">
        <f t="array" ref="G88">FindCountryName(F88)</f>
        <v>None</v>
      </c>
      <c r="H88" s="3">
        <v>45143.133935185186</v>
      </c>
      <c r="I88" s="3">
        <v>45143.133935185186</v>
      </c>
      <c r="J88" s="3">
        <v>42030.435300925928</v>
      </c>
      <c r="K88" cm="1">
        <f t="array" ref="K88">sentimentCalc(C88)</f>
        <v>0</v>
      </c>
      <c r="L88" t="str" cm="1">
        <f t="array" ref="L88">sentimentCategory(K88)</f>
        <v>Neutral</v>
      </c>
    </row>
    <row r="89" spans="1:12" x14ac:dyDescent="0.25">
      <c r="A89" t="s">
        <v>38</v>
      </c>
      <c r="B89" t="s">
        <v>1608</v>
      </c>
      <c r="C89" t="str" cm="1">
        <f t="array" ref="C89">CleanText(B89)</f>
        <v>n</v>
      </c>
      <c r="D89">
        <v>0</v>
      </c>
      <c r="E89">
        <v>0</v>
      </c>
      <c r="F89" t="s">
        <v>10</v>
      </c>
      <c r="G89" t="str" cm="1">
        <f t="array" ref="G89">FindCountryName(F89)</f>
        <v>None</v>
      </c>
      <c r="H89" s="3">
        <v>45208.647719907407</v>
      </c>
      <c r="I89" s="3">
        <v>45208.647719907407</v>
      </c>
      <c r="J89" s="3">
        <v>44472.597662037035</v>
      </c>
      <c r="K89" cm="1">
        <f t="array" ref="K89">sentimentCalc(C89)</f>
        <v>0</v>
      </c>
      <c r="L89" t="str" cm="1">
        <f t="array" ref="L89">sentimentCategory(K89)</f>
        <v>Neutral</v>
      </c>
    </row>
    <row r="90" spans="1:12" x14ac:dyDescent="0.25">
      <c r="A90" t="s">
        <v>622</v>
      </c>
      <c r="B90" t="s">
        <v>1418</v>
      </c>
      <c r="C90" t="str" cm="1">
        <f t="array" ref="C90">CleanText(B90)</f>
        <v>for some reason thats really hilarious when that guy just goes sailing across the screen trying to catch her</v>
      </c>
      <c r="D90">
        <v>0</v>
      </c>
      <c r="E90">
        <v>0</v>
      </c>
      <c r="F90" t="s">
        <v>10</v>
      </c>
      <c r="G90" t="str" cm="1">
        <f t="array" ref="G90">FindCountryName(F90)</f>
        <v>None</v>
      </c>
      <c r="H90" s="3">
        <v>45232.615069444444</v>
      </c>
      <c r="I90" s="3">
        <v>45232.615069444444</v>
      </c>
      <c r="J90" s="3">
        <v>45225.331030092595</v>
      </c>
      <c r="K90" cm="1">
        <f t="array" ref="K90">sentimentCalc(C90)</f>
        <v>2</v>
      </c>
      <c r="L90" t="str" cm="1">
        <f t="array" ref="L90">sentimentCategory(K90)</f>
        <v>Positive</v>
      </c>
    </row>
    <row r="91" spans="1:12" x14ac:dyDescent="0.25">
      <c r="A91" t="s">
        <v>1650</v>
      </c>
      <c r="B91" t="s">
        <v>1651</v>
      </c>
      <c r="C91" t="str" cm="1">
        <f t="array" ref="C91">CleanText(B91)</f>
        <v>n</v>
      </c>
      <c r="D91">
        <v>0</v>
      </c>
      <c r="E91">
        <v>0</v>
      </c>
      <c r="F91" t="s">
        <v>10</v>
      </c>
      <c r="G91" t="str" cm="1">
        <f t="array" ref="G91">FindCountryName(F91)</f>
        <v>None</v>
      </c>
      <c r="H91" s="3">
        <v>45205.391712962963</v>
      </c>
      <c r="I91" s="3">
        <v>45205.391712962963</v>
      </c>
      <c r="J91" s="3">
        <v>39447.268449074072</v>
      </c>
      <c r="K91" cm="1">
        <f t="array" ref="K91">sentimentCalc(C91)</f>
        <v>0</v>
      </c>
      <c r="L91" t="str" cm="1">
        <f t="array" ref="L91">sentimentCategory(K91)</f>
        <v>Neutral</v>
      </c>
    </row>
    <row r="92" spans="1:12" x14ac:dyDescent="0.25">
      <c r="A92" t="s">
        <v>324</v>
      </c>
      <c r="B92" t="s">
        <v>3847</v>
      </c>
      <c r="C92" t="str" cm="1">
        <f t="array" ref="C92">CleanText(B92)</f>
        <v>yrs ago mattel sued aqua for copyrights issue but now they usng it</v>
      </c>
      <c r="D92">
        <v>3</v>
      </c>
      <c r="E92">
        <v>0</v>
      </c>
      <c r="F92" t="s">
        <v>10</v>
      </c>
      <c r="G92" t="str" cm="1">
        <f t="array" ref="G92">FindCountryName(F92)</f>
        <v>None</v>
      </c>
      <c r="H92" s="3">
        <v>45145.030462962961</v>
      </c>
      <c r="I92" s="3">
        <v>45145.030462962961</v>
      </c>
      <c r="J92" s="3">
        <v>41886.578344907408</v>
      </c>
      <c r="K92" cm="1">
        <f t="array" ref="K92">sentimentCalc(C92)</f>
        <v>0</v>
      </c>
      <c r="L92" t="str" cm="1">
        <f t="array" ref="L92">sentimentCategory(K92)</f>
        <v>Neutral</v>
      </c>
    </row>
    <row r="93" spans="1:12" x14ac:dyDescent="0.25">
      <c r="A93" t="s">
        <v>1202</v>
      </c>
      <c r="B93" t="s">
        <v>4376</v>
      </c>
      <c r="C93" t="str" cm="1">
        <f t="array" ref="C93">CleanText(B93)</f>
        <v>ekimden sonra zirvede tek bir film olcak</v>
      </c>
      <c r="D93">
        <v>0</v>
      </c>
      <c r="E93">
        <v>0</v>
      </c>
      <c r="F93" t="s">
        <v>10</v>
      </c>
      <c r="G93" t="str" cm="1">
        <f t="array" ref="G93">FindCountryName(F93)</f>
        <v>None</v>
      </c>
      <c r="H93" s="3">
        <v>45140.552916666667</v>
      </c>
      <c r="I93" s="3">
        <v>45140.552916666667</v>
      </c>
      <c r="J93" s="3">
        <v>44350.869618055556</v>
      </c>
      <c r="K93" cm="1">
        <f t="array" ref="K93">sentimentCalc(C93)</f>
        <v>0</v>
      </c>
      <c r="L93" t="str" cm="1">
        <f t="array" ref="L93">sentimentCategory(K93)</f>
        <v>Neutral</v>
      </c>
    </row>
    <row r="94" spans="1:12" x14ac:dyDescent="0.25">
      <c r="A94" t="s">
        <v>313</v>
      </c>
      <c r="B94" t="s">
        <v>2887</v>
      </c>
      <c r="C94" t="str" cm="1">
        <f t="array" ref="C94">CleanText(B94)</f>
        <v>n</v>
      </c>
      <c r="D94">
        <v>0</v>
      </c>
      <c r="E94">
        <v>0</v>
      </c>
      <c r="F94" t="s">
        <v>10</v>
      </c>
      <c r="G94" t="str" cm="1">
        <f t="array" ref="G94">FindCountryName(F94)</f>
        <v>None</v>
      </c>
      <c r="H94" s="3">
        <v>45156.389652777776</v>
      </c>
      <c r="I94" s="3">
        <v>45156.389652777776</v>
      </c>
      <c r="J94" s="3">
        <v>44915.034803240742</v>
      </c>
      <c r="K94" cm="1">
        <f t="array" ref="K94">sentimentCalc(C94)</f>
        <v>0</v>
      </c>
      <c r="L94" t="str" cm="1">
        <f t="array" ref="L94">sentimentCategory(K94)</f>
        <v>Neutral</v>
      </c>
    </row>
    <row r="95" spans="1:12" x14ac:dyDescent="0.25">
      <c r="A95" t="s">
        <v>358</v>
      </c>
      <c r="B95" t="s">
        <v>3281</v>
      </c>
      <c r="C95" t="str" cm="1">
        <f t="array" ref="C95">CleanText(B95)</f>
        <v>kind of boring</v>
      </c>
      <c r="D95">
        <v>2</v>
      </c>
      <c r="E95">
        <v>0</v>
      </c>
      <c r="F95" t="s">
        <v>10</v>
      </c>
      <c r="G95" t="str" cm="1">
        <f t="array" ref="G95">FindCountryName(F95)</f>
        <v>None</v>
      </c>
      <c r="H95" s="3">
        <v>45150.823333333334</v>
      </c>
      <c r="I95" s="3">
        <v>45150.823333333334</v>
      </c>
      <c r="J95" s="3">
        <v>41978.736215277779</v>
      </c>
      <c r="K95" cm="1">
        <f t="array" ref="K95">sentimentCalc(C95)</f>
        <v>-1</v>
      </c>
      <c r="L95" t="str" cm="1">
        <f t="array" ref="L95">sentimentCategory(K95)</f>
        <v>Negative</v>
      </c>
    </row>
    <row r="96" spans="1:12" x14ac:dyDescent="0.25">
      <c r="A96" t="s">
        <v>472</v>
      </c>
      <c r="B96" t="s">
        <v>2676</v>
      </c>
      <c r="C96" t="str" cm="1">
        <f t="array" ref="C96">CleanText(B96)</f>
        <v>underwhelming had high expectations but oh well</v>
      </c>
      <c r="D96">
        <v>1</v>
      </c>
      <c r="E96">
        <v>0</v>
      </c>
      <c r="F96" t="s">
        <v>10</v>
      </c>
      <c r="G96" t="str" cm="1">
        <f t="array" ref="G96">FindCountryName(F96)</f>
        <v>None</v>
      </c>
      <c r="H96" s="3">
        <v>45160.278229166666</v>
      </c>
      <c r="I96" s="3">
        <v>45160.278229166666</v>
      </c>
      <c r="J96" s="3">
        <v>41102.601678240739</v>
      </c>
      <c r="K96" cm="1">
        <f t="array" ref="K96">sentimentCalc(C96)</f>
        <v>0</v>
      </c>
      <c r="L96" t="str" cm="1">
        <f t="array" ref="L96">sentimentCategory(K96)</f>
        <v>Neutral</v>
      </c>
    </row>
    <row r="97" spans="1:12" x14ac:dyDescent="0.25">
      <c r="A97" t="s">
        <v>1998</v>
      </c>
      <c r="B97" t="s">
        <v>4398</v>
      </c>
      <c r="C97" t="str" cm="1">
        <f t="array" ref="C97">CleanText(B97)</f>
        <v>million view</v>
      </c>
      <c r="D97">
        <v>2</v>
      </c>
      <c r="E97">
        <v>2</v>
      </c>
      <c r="F97" t="s">
        <v>10</v>
      </c>
      <c r="G97" t="str" cm="1">
        <f t="array" ref="G97">FindCountryName(F97)</f>
        <v>None</v>
      </c>
      <c r="H97" s="3">
        <v>45140.451469907406</v>
      </c>
      <c r="I97" s="3">
        <v>45140.451469907406</v>
      </c>
      <c r="J97" s="3">
        <v>41827.245092592595</v>
      </c>
      <c r="K97" cm="1">
        <f t="array" ref="K97">sentimentCalc(C97)</f>
        <v>0</v>
      </c>
      <c r="L97" t="str" cm="1">
        <f t="array" ref="L97">sentimentCategory(K97)</f>
        <v>Neutral</v>
      </c>
    </row>
    <row r="98" spans="1:12" x14ac:dyDescent="0.25">
      <c r="A98" t="s">
        <v>282</v>
      </c>
      <c r="B98" t="s">
        <v>2803</v>
      </c>
      <c r="C98" t="str" cm="1">
        <f t="array" ref="C98">CleanText(B98)</f>
        <v>million views for a girls movie</v>
      </c>
      <c r="D98">
        <v>0</v>
      </c>
      <c r="E98">
        <v>3</v>
      </c>
      <c r="F98" t="s">
        <v>10</v>
      </c>
      <c r="G98" t="str" cm="1">
        <f t="array" ref="G98">FindCountryName(F98)</f>
        <v>None</v>
      </c>
      <c r="H98" s="3">
        <v>45157.656898148147</v>
      </c>
      <c r="I98" s="3">
        <v>45157.656898148147</v>
      </c>
      <c r="J98" s="3">
        <v>42352.719027777777</v>
      </c>
      <c r="K98" cm="1">
        <f t="array" ref="K98">sentimentCalc(C98)</f>
        <v>0</v>
      </c>
      <c r="L98" t="str" cm="1">
        <f t="array" ref="L98">sentimentCategory(K98)</f>
        <v>Neutral</v>
      </c>
    </row>
    <row r="99" spans="1:12" x14ac:dyDescent="0.25">
      <c r="A99" t="s">
        <v>54</v>
      </c>
      <c r="B99" t="s">
        <v>2874</v>
      </c>
      <c r="C99" t="str" cm="1">
        <f t="array" ref="C99">CleanText(B99)</f>
        <v>m views</v>
      </c>
      <c r="D99">
        <v>0</v>
      </c>
      <c r="E99">
        <v>0</v>
      </c>
      <c r="F99" t="s">
        <v>10</v>
      </c>
      <c r="G99" t="str" cm="1">
        <f t="array" ref="G99">FindCountryName(F99)</f>
        <v>None</v>
      </c>
      <c r="H99" s="3">
        <v>45156.594930555555</v>
      </c>
      <c r="I99" s="3">
        <v>45156.594918981478</v>
      </c>
      <c r="J99" s="3">
        <v>43880.65625</v>
      </c>
      <c r="K99" cm="1">
        <f t="array" ref="K99">sentimentCalc(C99)</f>
        <v>0</v>
      </c>
      <c r="L99" t="str" cm="1">
        <f t="array" ref="L99">sentimentCategory(K99)</f>
        <v>Neutral</v>
      </c>
    </row>
    <row r="100" spans="1:12" x14ac:dyDescent="0.25">
      <c r="A100" t="s">
        <v>54</v>
      </c>
      <c r="B100" t="s">
        <v>2928</v>
      </c>
      <c r="C100" t="str" cm="1">
        <f t="array" ref="C100">CleanText(B100)</f>
        <v>million views ooo la laaa</v>
      </c>
      <c r="D100">
        <v>0</v>
      </c>
      <c r="E100">
        <v>0</v>
      </c>
      <c r="F100" t="s">
        <v>10</v>
      </c>
      <c r="G100" t="str" cm="1">
        <f t="array" ref="G100">FindCountryName(F100)</f>
        <v>None</v>
      </c>
      <c r="H100" s="3">
        <v>45155.778194444443</v>
      </c>
      <c r="I100" s="3">
        <v>45155.778194444443</v>
      </c>
      <c r="J100" s="3">
        <v>44681.907916666663</v>
      </c>
      <c r="K100" cm="1">
        <f t="array" ref="K100">sentimentCalc(C100)</f>
        <v>0</v>
      </c>
      <c r="L100" t="str" cm="1">
        <f t="array" ref="L100">sentimentCategory(K100)</f>
        <v>Neutral</v>
      </c>
    </row>
    <row r="101" spans="1:12" x14ac:dyDescent="0.25">
      <c r="A101" t="s">
        <v>2685</v>
      </c>
      <c r="B101" t="s">
        <v>3839</v>
      </c>
      <c r="C101" t="str" cm="1">
        <f t="array" ref="C101">CleanText(B101)</f>
        <v>yhdvn</v>
      </c>
      <c r="D101">
        <v>0</v>
      </c>
      <c r="E101">
        <v>0</v>
      </c>
      <c r="F101" t="s">
        <v>10</v>
      </c>
      <c r="G101" t="str" cm="1">
        <f t="array" ref="G101">FindCountryName(F101)</f>
        <v>None</v>
      </c>
      <c r="H101" s="3">
        <v>45145.103958333333</v>
      </c>
      <c r="I101" s="3">
        <v>45145.103958333333</v>
      </c>
      <c r="J101" s="3">
        <v>45105.175497685188</v>
      </c>
      <c r="K101" cm="1">
        <f t="array" ref="K101">sentimentCalc(C101)</f>
        <v>0</v>
      </c>
      <c r="L101" t="str" cm="1">
        <f t="array" ref="L101">sentimentCategory(K101)</f>
        <v>Neutral</v>
      </c>
    </row>
    <row r="102" spans="1:12" x14ac:dyDescent="0.25">
      <c r="A102" t="s">
        <v>1290</v>
      </c>
      <c r="B102" t="s">
        <v>1291</v>
      </c>
      <c r="C102" t="str" cm="1">
        <f t="array" ref="C102">CleanText(B102)</f>
        <v>mil views and only  k likes lol</v>
      </c>
      <c r="D102">
        <v>4</v>
      </c>
      <c r="E102">
        <v>1</v>
      </c>
      <c r="F102" t="s">
        <v>10</v>
      </c>
      <c r="G102" t="str" cm="1">
        <f t="array" ref="G102">FindCountryName(F102)</f>
        <v>None</v>
      </c>
      <c r="H102" s="3">
        <v>45256.802939814814</v>
      </c>
      <c r="I102" s="3">
        <v>45256.802939814814</v>
      </c>
      <c r="J102" s="3">
        <v>40830.086122685185</v>
      </c>
      <c r="K102" cm="1">
        <f t="array" ref="K102">sentimentCalc(C102)</f>
        <v>2</v>
      </c>
      <c r="L102" t="str" cm="1">
        <f t="array" ref="L102">sentimentCategory(K102)</f>
        <v>Positive</v>
      </c>
    </row>
    <row r="103" spans="1:12" x14ac:dyDescent="0.25">
      <c r="A103" t="s">
        <v>75</v>
      </c>
      <c r="B103" t="s">
        <v>76</v>
      </c>
      <c r="C103" t="str" cm="1">
        <f t="array" ref="C103">CleanText(B103)</f>
        <v>million views wow</v>
      </c>
      <c r="D103">
        <v>0</v>
      </c>
      <c r="E103">
        <v>0</v>
      </c>
      <c r="F103" t="s">
        <v>10</v>
      </c>
      <c r="G103" t="str" cm="1">
        <f t="array" ref="G103">FindCountryName(F103)</f>
        <v>None</v>
      </c>
      <c r="H103" s="3">
        <v>45341.489560185182</v>
      </c>
      <c r="I103" s="3">
        <v>45341.489560185182</v>
      </c>
      <c r="J103" s="3">
        <v>45226.146192129629</v>
      </c>
      <c r="K103" cm="1">
        <f t="array" ref="K103">sentimentCalc(C103)</f>
        <v>4</v>
      </c>
      <c r="L103" t="str" cm="1">
        <f t="array" ref="L103">sentimentCategory(K103)</f>
        <v>Positive</v>
      </c>
    </row>
    <row r="104" spans="1:12" x14ac:dyDescent="0.25">
      <c r="A104" t="s">
        <v>122</v>
      </c>
      <c r="B104" t="s">
        <v>3969</v>
      </c>
      <c r="C104" t="str" cm="1">
        <f t="array" ref="C104">CleanText(B104)</f>
        <v>n</v>
      </c>
      <c r="D104">
        <v>7</v>
      </c>
      <c r="E104">
        <v>3</v>
      </c>
      <c r="F104" t="s">
        <v>10</v>
      </c>
      <c r="G104" t="str" cm="1">
        <f t="array" ref="G104">FindCountryName(F104)</f>
        <v>None</v>
      </c>
      <c r="H104" s="3">
        <v>45144.133611111109</v>
      </c>
      <c r="I104" s="3">
        <v>45144.133611111109</v>
      </c>
      <c r="J104" s="3">
        <v>44148.829861111109</v>
      </c>
      <c r="K104" cm="1">
        <f t="array" ref="K104">sentimentCalc(C104)</f>
        <v>0</v>
      </c>
      <c r="L104" t="str" cm="1">
        <f t="array" ref="L104">sentimentCategory(K104)</f>
        <v>Neutral</v>
      </c>
    </row>
    <row r="105" spans="1:12" x14ac:dyDescent="0.25">
      <c r="A105" t="s">
        <v>629</v>
      </c>
      <c r="B105" t="s">
        <v>4380</v>
      </c>
      <c r="C105" t="str" cm="1">
        <f t="array" ref="C105">CleanText(B105)</f>
        <v>n</v>
      </c>
      <c r="D105">
        <v>8</v>
      </c>
      <c r="E105">
        <v>2</v>
      </c>
      <c r="F105" t="s">
        <v>10</v>
      </c>
      <c r="G105" t="str" cm="1">
        <f t="array" ref="G105">FindCountryName(F105)</f>
        <v>None</v>
      </c>
      <c r="H105" s="3">
        <v>45140.533148148148</v>
      </c>
      <c r="I105" s="3">
        <v>45140.533148148148</v>
      </c>
      <c r="J105" s="3">
        <v>44626.450949074075</v>
      </c>
      <c r="K105" cm="1">
        <f t="array" ref="K105">sentimentCalc(C105)</f>
        <v>0</v>
      </c>
      <c r="L105" t="str" cm="1">
        <f t="array" ref="L105">sentimentCategory(K105)</f>
        <v>Neutral</v>
      </c>
    </row>
    <row r="106" spans="1:12" x14ac:dyDescent="0.25">
      <c r="A106" t="s">
        <v>382</v>
      </c>
      <c r="B106" t="s">
        <v>4322</v>
      </c>
      <c r="C106" t="str" cm="1">
        <f t="array" ref="C106">CleanText(B106)</f>
        <v>flight is also going to be a summer to remember</v>
      </c>
      <c r="D106">
        <v>9</v>
      </c>
      <c r="E106">
        <v>2</v>
      </c>
      <c r="F106" t="s">
        <v>10</v>
      </c>
      <c r="G106" t="str" cm="1">
        <f t="array" ref="G106">FindCountryName(F106)</f>
        <v>None</v>
      </c>
      <c r="H106" s="3">
        <v>45140.957291666666</v>
      </c>
      <c r="I106" s="3">
        <v>45140.957291666666</v>
      </c>
      <c r="J106" s="3">
        <v>45033.507395833331</v>
      </c>
      <c r="K106" cm="1">
        <f t="array" ref="K106">sentimentCalc(C106)</f>
        <v>0</v>
      </c>
      <c r="L106" t="str" cm="1">
        <f t="array" ref="L106">sentimentCategory(K106)</f>
        <v>Neutral</v>
      </c>
    </row>
    <row r="107" spans="1:12" x14ac:dyDescent="0.25">
      <c r="A107" t="s">
        <v>523</v>
      </c>
      <c r="B107" t="s">
        <v>524</v>
      </c>
      <c r="C107" t="str" cm="1">
        <f t="array" ref="C107">CleanText(B107)</f>
        <v>a barbie couldnt be this beautiful its really beautiful i recommend everyone to watch it</v>
      </c>
      <c r="D107">
        <v>1</v>
      </c>
      <c r="E107">
        <v>2</v>
      </c>
      <c r="F107" t="s">
        <v>10</v>
      </c>
      <c r="G107" t="str" cm="1">
        <f t="array" ref="G107">FindCountryName(F107)</f>
        <v>None</v>
      </c>
      <c r="H107" s="3">
        <v>45317.304236111115</v>
      </c>
      <c r="I107" s="3">
        <v>45317.304236111115</v>
      </c>
      <c r="J107" s="3">
        <v>45190.261423611111</v>
      </c>
      <c r="K107" cm="1">
        <f t="array" ref="K107">sentimentCalc(C107)</f>
        <v>8</v>
      </c>
      <c r="L107" t="str" cm="1">
        <f t="array" ref="L107">sentimentCategory(K107)</f>
        <v>Positive</v>
      </c>
    </row>
    <row r="108" spans="1:12" x14ac:dyDescent="0.25">
      <c r="A108" t="s">
        <v>333</v>
      </c>
      <c r="B108" t="s">
        <v>1389</v>
      </c>
      <c r="C108" t="str" cm="1">
        <f t="array" ref="C108">CleanText(B108)</f>
        <v>a barbie e linda e maravilhosa esse filme e pras crianas pras meninas pras mulheres pra quem quiser e muito bom t cheio de brincadeiras legais</v>
      </c>
      <c r="D108">
        <v>0</v>
      </c>
      <c r="E108">
        <v>0</v>
      </c>
      <c r="F108" t="s">
        <v>10</v>
      </c>
      <c r="G108" t="str" cm="1">
        <f t="array" ref="G108">FindCountryName(F108)</f>
        <v>None</v>
      </c>
      <c r="H108" s="3">
        <v>45233.759675925925</v>
      </c>
      <c r="I108" s="3">
        <v>45233.759675925925</v>
      </c>
      <c r="J108" s="3">
        <v>44826.500555555554</v>
      </c>
      <c r="K108" cm="1">
        <f t="array" ref="K108">sentimentCalc(C108)</f>
        <v>0</v>
      </c>
      <c r="L108" t="str" cm="1">
        <f t="array" ref="L108">sentimentCategory(K108)</f>
        <v>Neutral</v>
      </c>
    </row>
    <row r="109" spans="1:12" x14ac:dyDescent="0.25">
      <c r="A109" t="s">
        <v>1503</v>
      </c>
      <c r="B109" t="s">
        <v>2517</v>
      </c>
      <c r="C109" t="str" cm="1">
        <f t="array" ref="C109">CleanText(B109)</f>
        <v>a boar wouldnt want to watch your movie too woke for boars soul</v>
      </c>
      <c r="D109">
        <v>1</v>
      </c>
      <c r="E109">
        <v>2</v>
      </c>
      <c r="F109" t="s">
        <v>227</v>
      </c>
      <c r="G109" t="str" cm="1">
        <f t="array" ref="G109">FindCountryName(F109)</f>
        <v>United States of America (the)</v>
      </c>
      <c r="H109" s="3">
        <v>45164.489722222221</v>
      </c>
      <c r="I109" s="3">
        <v>45164.489722222221</v>
      </c>
      <c r="J109" s="3">
        <v>41668.558981481481</v>
      </c>
      <c r="K109" cm="1">
        <f t="array" ref="K109">sentimentCalc(C109)</f>
        <v>1</v>
      </c>
      <c r="L109" t="str" cm="1">
        <f t="array" ref="L109">sentimentCategory(K109)</f>
        <v>Positive</v>
      </c>
    </row>
    <row r="110" spans="1:12" x14ac:dyDescent="0.25">
      <c r="A110" t="s">
        <v>397</v>
      </c>
      <c r="B110" t="s">
        <v>1898</v>
      </c>
      <c r="C110" t="str" cm="1">
        <f t="array" ref="C110">CleanText(B110)</f>
        <v>a boneca mas amada no mundo barbie</v>
      </c>
      <c r="D110">
        <v>0</v>
      </c>
      <c r="E110">
        <v>0</v>
      </c>
      <c r="F110" t="s">
        <v>10</v>
      </c>
      <c r="G110" t="str" cm="1">
        <f t="array" ref="G110">FindCountryName(F110)</f>
        <v>None</v>
      </c>
      <c r="H110" s="3">
        <v>45188.551400462966</v>
      </c>
      <c r="I110" s="3">
        <v>45188.551400462966</v>
      </c>
      <c r="J110" s="3">
        <v>44018.56417824074</v>
      </c>
      <c r="K110" cm="1">
        <f t="array" ref="K110">sentimentCalc(C110)</f>
        <v>-1</v>
      </c>
      <c r="L110" t="str" cm="1">
        <f t="array" ref="L110">sentimentCategory(K110)</f>
        <v>Negative</v>
      </c>
    </row>
    <row r="111" spans="1:12" x14ac:dyDescent="0.25">
      <c r="A111" t="s">
        <v>832</v>
      </c>
      <c r="B111" t="s">
        <v>834</v>
      </c>
      <c r="C111" t="str" cm="1">
        <f t="array" ref="C111">CleanText(B111)</f>
        <v>a brilliant demonstration of the bubble gum mentality our society has sunk into for  read the comments of all these airheads below for proof</v>
      </c>
      <c r="D111">
        <v>0</v>
      </c>
      <c r="E111">
        <v>0</v>
      </c>
      <c r="F111" t="s">
        <v>10</v>
      </c>
      <c r="G111" t="str" cm="1">
        <f t="array" ref="G111">FindCountryName(F111)</f>
        <v>None</v>
      </c>
      <c r="H111" s="3">
        <v>45303.178148148145</v>
      </c>
      <c r="I111" s="3">
        <v>45303.178148148145</v>
      </c>
      <c r="J111" s="3">
        <v>41622.432893518519</v>
      </c>
      <c r="K111" cm="1">
        <f t="array" ref="K111">sentimentCalc(C111)</f>
        <v>3</v>
      </c>
      <c r="L111" t="str" cm="1">
        <f t="array" ref="L111">sentimentCategory(K111)</f>
        <v>Positive</v>
      </c>
    </row>
    <row r="112" spans="1:12" x14ac:dyDescent="0.25">
      <c r="A112" t="s">
        <v>307</v>
      </c>
      <c r="B112" t="s">
        <v>699</v>
      </c>
      <c r="C112" t="str" cm="1">
        <f t="array" ref="C112">CleanText(B112)</f>
        <v>a dorei</v>
      </c>
      <c r="D112">
        <v>1</v>
      </c>
      <c r="E112">
        <v>0</v>
      </c>
      <c r="F112" t="s">
        <v>10</v>
      </c>
      <c r="G112" t="str" cm="1">
        <f t="array" ref="G112">FindCountryName(F112)</f>
        <v>None</v>
      </c>
      <c r="H112" s="3">
        <v>45313.453402777777</v>
      </c>
      <c r="I112" s="3">
        <v>45313.453402777777</v>
      </c>
      <c r="J112" s="3">
        <v>44366.70071759259</v>
      </c>
      <c r="K112" cm="1">
        <f t="array" ref="K112">sentimentCalc(C112)</f>
        <v>0</v>
      </c>
      <c r="L112" t="str" cm="1">
        <f t="array" ref="L112">sentimentCategory(K112)</f>
        <v>Neutral</v>
      </c>
    </row>
    <row r="113" spans="1:12" x14ac:dyDescent="0.25">
      <c r="A113" t="s">
        <v>171</v>
      </c>
      <c r="B113" t="s">
        <v>1628</v>
      </c>
      <c r="C113" t="str" cm="1">
        <f t="array" ref="C113">CleanText(B113)</f>
        <v>a espera desse filme</v>
      </c>
      <c r="D113">
        <v>0</v>
      </c>
      <c r="E113">
        <v>0</v>
      </c>
      <c r="F113" t="s">
        <v>10</v>
      </c>
      <c r="G113" t="str" cm="1">
        <f t="array" ref="G113">FindCountryName(F113)</f>
        <v>None</v>
      </c>
      <c r="H113" s="3">
        <v>45207.399699074071</v>
      </c>
      <c r="I113" s="3">
        <v>45207.399699074071</v>
      </c>
      <c r="J113" s="3">
        <v>45206.611689814818</v>
      </c>
      <c r="K113" cm="1">
        <f t="array" ref="K113">sentimentCalc(C113)</f>
        <v>0</v>
      </c>
      <c r="L113" t="str" cm="1">
        <f t="array" ref="L113">sentimentCategory(K113)</f>
        <v>Neutral</v>
      </c>
    </row>
    <row r="114" spans="1:12" x14ac:dyDescent="0.25">
      <c r="A114" t="s">
        <v>173</v>
      </c>
      <c r="B114" t="s">
        <v>2582</v>
      </c>
      <c r="C114" t="str" cm="1">
        <f t="array" ref="C114">CleanText(B114)</f>
        <v>a fable about how too much matriarchy or too much patriarchy are bad things</v>
      </c>
      <c r="D114">
        <v>1</v>
      </c>
      <c r="E114">
        <v>1</v>
      </c>
      <c r="F114" t="s">
        <v>10</v>
      </c>
      <c r="G114" t="str" cm="1">
        <f t="array" ref="G114">FindCountryName(F114)</f>
        <v>None</v>
      </c>
      <c r="H114" s="3">
        <v>45162.736018518517</v>
      </c>
      <c r="I114" s="3">
        <v>45162.736018518517</v>
      </c>
      <c r="J114" s="3">
        <v>41816.61209490741</v>
      </c>
      <c r="K114" cm="1">
        <f t="array" ref="K114">sentimentCalc(C114)</f>
        <v>-3</v>
      </c>
      <c r="L114" t="str" cm="1">
        <f t="array" ref="L114">sentimentCategory(K114)</f>
        <v>Negative</v>
      </c>
    </row>
    <row r="115" spans="1:12" x14ac:dyDescent="0.25">
      <c r="A115" t="s">
        <v>17</v>
      </c>
      <c r="B115" t="s">
        <v>4209</v>
      </c>
      <c r="C115" t="str" cm="1">
        <f t="array" ref="C115">CleanText(B115)</f>
        <v>a friend of mine took their kids and got up and left he said that it was like watching i dont understand why people take a childs role model and turn it in the trash im glad to know so i dont take my grandkids to see this</v>
      </c>
      <c r="D115">
        <v>2</v>
      </c>
      <c r="E115">
        <v>4</v>
      </c>
      <c r="F115" t="s">
        <v>10</v>
      </c>
      <c r="G115" t="str" cm="1">
        <f t="array" ref="G115">FindCountryName(F115)</f>
        <v>None</v>
      </c>
      <c r="H115" s="3">
        <v>45141.929039351853</v>
      </c>
      <c r="I115" s="3">
        <v>45141.929039351853</v>
      </c>
      <c r="J115" s="3">
        <v>42848.311793981484</v>
      </c>
      <c r="K115" cm="1">
        <f t="array" ref="K115">sentimentCalc(C115)</f>
        <v>5</v>
      </c>
      <c r="L115" t="str" cm="1">
        <f t="array" ref="L115">sentimentCategory(K115)</f>
        <v>Positive</v>
      </c>
    </row>
    <row r="116" spans="1:12" x14ac:dyDescent="0.25">
      <c r="A116" t="s">
        <v>861</v>
      </c>
      <c r="B116" t="s">
        <v>2638</v>
      </c>
      <c r="C116" t="str" cm="1">
        <f t="array" ref="C116">CleanText(B116)</f>
        <v>a friend told me no to watch it because is not worth it but i didnt listen her i should because it was no good at all disappointed</v>
      </c>
      <c r="D116">
        <v>2</v>
      </c>
      <c r="E116">
        <v>1</v>
      </c>
      <c r="F116" t="s">
        <v>10</v>
      </c>
      <c r="G116" t="str" cm="1">
        <f t="array" ref="G116">FindCountryName(F116)</f>
        <v>None</v>
      </c>
      <c r="H116" s="3">
        <v>45161.006516203706</v>
      </c>
      <c r="I116" s="3">
        <v>45161.006516203706</v>
      </c>
      <c r="J116" s="3">
        <v>41285.834745370368</v>
      </c>
      <c r="K116" cm="1">
        <f t="array" ref="K116">sentimentCalc(C116)</f>
        <v>1</v>
      </c>
      <c r="L116" t="str" cm="1">
        <f t="array" ref="L116">sentimentCategory(K116)</f>
        <v>Positive</v>
      </c>
    </row>
    <row r="117" spans="1:12" x14ac:dyDescent="0.25">
      <c r="A117" t="s">
        <v>66</v>
      </c>
      <c r="B117" t="s">
        <v>3978</v>
      </c>
      <c r="C117" t="str" cm="1">
        <f t="array" ref="C117">CleanText(B117)</f>
        <v>a good message but one of the worst movies ever</v>
      </c>
      <c r="D117">
        <v>1</v>
      </c>
      <c r="E117">
        <v>0</v>
      </c>
      <c r="F117" t="s">
        <v>10</v>
      </c>
      <c r="G117" t="str" cm="1">
        <f t="array" ref="G117">FindCountryName(F117)</f>
        <v>None</v>
      </c>
      <c r="H117" s="3">
        <v>45144.095694444448</v>
      </c>
      <c r="I117" s="3">
        <v>45144.095694444448</v>
      </c>
      <c r="J117" s="3">
        <v>44302.366666666669</v>
      </c>
      <c r="K117" cm="1">
        <f t="array" ref="K117">sentimentCalc(C117)</f>
        <v>0</v>
      </c>
      <c r="L117" t="str" cm="1">
        <f t="array" ref="L117">sentimentCategory(K117)</f>
        <v>Neutral</v>
      </c>
    </row>
    <row r="118" spans="1:12" x14ac:dyDescent="0.25">
      <c r="A118" t="s">
        <v>201</v>
      </c>
      <c r="B118" t="s">
        <v>1005</v>
      </c>
      <c r="C118" t="str" cm="1">
        <f t="array" ref="C118">CleanText(B118)</f>
        <v>a great movie</v>
      </c>
      <c r="D118">
        <v>0</v>
      </c>
      <c r="E118">
        <v>0</v>
      </c>
      <c r="F118" t="s">
        <v>10</v>
      </c>
      <c r="G118" t="str" cm="1">
        <f t="array" ref="G118">FindCountryName(F118)</f>
        <v>None</v>
      </c>
      <c r="H118" s="3">
        <v>45299.252118055556</v>
      </c>
      <c r="I118" s="3">
        <v>45299.252118055556</v>
      </c>
      <c r="J118" s="3">
        <v>45299.252071759256</v>
      </c>
      <c r="K118" cm="1">
        <f t="array" ref="K118">sentimentCalc(C118)</f>
        <v>3</v>
      </c>
      <c r="L118" t="str" cm="1">
        <f t="array" ref="L118">sentimentCategory(K118)</f>
        <v>Positive</v>
      </c>
    </row>
    <row r="119" spans="1:12" x14ac:dyDescent="0.25">
      <c r="A119" t="s">
        <v>128</v>
      </c>
      <c r="B119" t="s">
        <v>2360</v>
      </c>
      <c r="C119" t="str" cm="1">
        <f t="array" ref="C119">CleanText(B119)</f>
        <v>a great movie i enjoyed it so much nice</v>
      </c>
      <c r="D119">
        <v>2</v>
      </c>
      <c r="E119">
        <v>0</v>
      </c>
      <c r="F119" t="s">
        <v>10</v>
      </c>
      <c r="G119" t="str" cm="1">
        <f t="array" ref="G119">FindCountryName(F119)</f>
        <v>None</v>
      </c>
      <c r="H119" s="3">
        <v>45170.849675925929</v>
      </c>
      <c r="I119" s="3">
        <v>45170.849664351852</v>
      </c>
      <c r="J119" s="3">
        <v>39654.360312500001</v>
      </c>
      <c r="K119" cm="1">
        <f t="array" ref="K119">sentimentCalc(C119)</f>
        <v>6</v>
      </c>
      <c r="L119" t="str" cm="1">
        <f t="array" ref="L119">sentimentCategory(K119)</f>
        <v>Positive</v>
      </c>
    </row>
    <row r="120" spans="1:12" x14ac:dyDescent="0.25">
      <c r="A120" t="s">
        <v>201</v>
      </c>
      <c r="B120" t="s">
        <v>976</v>
      </c>
      <c r="C120" t="str" cm="1">
        <f t="array" ref="C120">CleanText(B120)</f>
        <v>a great movie</v>
      </c>
      <c r="D120">
        <v>0</v>
      </c>
      <c r="E120">
        <v>0</v>
      </c>
      <c r="F120" t="s">
        <v>10</v>
      </c>
      <c r="G120" t="str" cm="1">
        <f t="array" ref="G120">FindCountryName(F120)</f>
        <v>None</v>
      </c>
      <c r="H120" s="3">
        <v>45299.253738425927</v>
      </c>
      <c r="I120" s="3">
        <v>45299.253738425927</v>
      </c>
      <c r="J120" s="3">
        <v>45299.252071759256</v>
      </c>
      <c r="K120" cm="1">
        <f t="array" ref="K120">sentimentCalc(C120)</f>
        <v>3</v>
      </c>
      <c r="L120" t="str" cm="1">
        <f t="array" ref="L120">sentimentCategory(K120)</f>
        <v>Positive</v>
      </c>
    </row>
    <row r="121" spans="1:12" x14ac:dyDescent="0.25">
      <c r="A121" t="s">
        <v>457</v>
      </c>
      <c r="B121" t="s">
        <v>1027</v>
      </c>
      <c r="C121" t="str" cm="1">
        <f t="array" ref="C121">CleanText(B121)</f>
        <v>a great project</v>
      </c>
      <c r="D121">
        <v>1</v>
      </c>
      <c r="E121">
        <v>0</v>
      </c>
      <c r="F121" t="s">
        <v>10</v>
      </c>
      <c r="G121" t="str" cm="1">
        <f t="array" ref="G121">FindCountryName(F121)</f>
        <v>None</v>
      </c>
      <c r="H121" s="3">
        <v>45299.250532407408</v>
      </c>
      <c r="I121" s="3">
        <v>45299.250532407408</v>
      </c>
      <c r="J121" s="3">
        <v>43184.584328703706</v>
      </c>
      <c r="K121" cm="1">
        <f t="array" ref="K121">sentimentCalc(C121)</f>
        <v>3</v>
      </c>
      <c r="L121" t="str" cm="1">
        <f t="array" ref="L121">sentimentCategory(K121)</f>
        <v>Positive</v>
      </c>
    </row>
    <row r="122" spans="1:12" x14ac:dyDescent="0.25">
      <c r="A122" t="s">
        <v>60</v>
      </c>
      <c r="B122" t="s">
        <v>1502</v>
      </c>
      <c r="C122" t="str" cm="1">
        <f t="array" ref="C122">CleanText(B122)</f>
        <v>a margot ficou tima de barbie</v>
      </c>
      <c r="D122">
        <v>0</v>
      </c>
      <c r="E122">
        <v>0</v>
      </c>
      <c r="F122" t="s">
        <v>10</v>
      </c>
      <c r="G122" t="str" cm="1">
        <f t="array" ref="G122">FindCountryName(F122)</f>
        <v>None</v>
      </c>
      <c r="H122" s="3">
        <v>45218.826296296298</v>
      </c>
      <c r="I122" s="3">
        <v>45218.826296296298</v>
      </c>
      <c r="J122" s="3">
        <v>41281.434571759259</v>
      </c>
      <c r="K122" cm="1">
        <f t="array" ref="K122">sentimentCalc(C122)</f>
        <v>0</v>
      </c>
      <c r="L122" t="str" cm="1">
        <f t="array" ref="L122">sentimentCategory(K122)</f>
        <v>Neutral</v>
      </c>
    </row>
    <row r="123" spans="1:12" x14ac:dyDescent="0.25">
      <c r="A123" t="s">
        <v>378</v>
      </c>
      <c r="B123" t="s">
        <v>1140</v>
      </c>
      <c r="C123" t="str" cm="1">
        <f t="array" ref="C123">CleanText(B123)</f>
        <v>a masterpiece</v>
      </c>
      <c r="D123">
        <v>1</v>
      </c>
      <c r="E123">
        <v>0</v>
      </c>
      <c r="F123" t="s">
        <v>10</v>
      </c>
      <c r="G123" t="str" cm="1">
        <f t="array" ref="G123">FindCountryName(F123)</f>
        <v>None</v>
      </c>
      <c r="H123" s="3">
        <v>45284.013379629629</v>
      </c>
      <c r="I123" s="3">
        <v>45284.013379629629</v>
      </c>
      <c r="J123" s="3">
        <v>42789.863171296296</v>
      </c>
      <c r="K123" cm="1">
        <f t="array" ref="K123">sentimentCalc(C123)</f>
        <v>4</v>
      </c>
      <c r="L123" t="str" cm="1">
        <f t="array" ref="L123">sentimentCategory(K123)</f>
        <v>Positive</v>
      </c>
    </row>
    <row r="124" spans="1:12" x14ac:dyDescent="0.25">
      <c r="A124" t="s">
        <v>447</v>
      </c>
      <c r="B124" t="s">
        <v>3062</v>
      </c>
      <c r="C124" t="str" cm="1">
        <f t="array" ref="C124">CleanText(B124)</f>
        <v>a mi me parece que margot y ryan se ven muy maduros para esos personajes ya ellos se ven tones son excelentes actores no se puede negar pero hubieran buscado actores mas jovenes hay chicas rubias adolescentes muy bellas igual que los chicos no le dan la oportunidad a las nuevas generacionessiempre contratan a los mismos actores de la vieja guardia</v>
      </c>
      <c r="D124">
        <v>2</v>
      </c>
      <c r="E124">
        <v>1</v>
      </c>
      <c r="F124" t="s">
        <v>10</v>
      </c>
      <c r="G124" t="str" cm="1">
        <f t="array" ref="G124">FindCountryName(F124)</f>
        <v>None</v>
      </c>
      <c r="H124" s="3">
        <v>45153.792442129627</v>
      </c>
      <c r="I124" s="3">
        <v>45154.480833333335</v>
      </c>
      <c r="J124" s="3">
        <v>42244.086678240739</v>
      </c>
      <c r="K124" cm="1">
        <f t="array" ref="K124">sentimentCalc(C124)</f>
        <v>-2</v>
      </c>
      <c r="L124" t="str" cm="1">
        <f t="array" ref="L124">sentimentCategory(K124)</f>
        <v>Negative</v>
      </c>
    </row>
    <row r="125" spans="1:12" x14ac:dyDescent="0.25">
      <c r="A125" t="s">
        <v>296</v>
      </c>
      <c r="B125" t="s">
        <v>1341</v>
      </c>
      <c r="C125" t="str" cm="1">
        <f t="array" ref="C125">CleanText(B125)</f>
        <v>a minha filha ama a barbi</v>
      </c>
      <c r="D125">
        <v>1</v>
      </c>
      <c r="E125">
        <v>0</v>
      </c>
      <c r="F125" t="s">
        <v>10</v>
      </c>
      <c r="G125" t="str" cm="1">
        <f t="array" ref="G125">FindCountryName(F125)</f>
        <v>None</v>
      </c>
      <c r="H125" s="3">
        <v>45242.658703703702</v>
      </c>
      <c r="I125" s="3">
        <v>45242.658703703702</v>
      </c>
      <c r="J125" s="3">
        <v>45242.424733796295</v>
      </c>
      <c r="K125" cm="1">
        <f t="array" ref="K125">sentimentCalc(C125)</f>
        <v>0</v>
      </c>
      <c r="L125" t="str" cm="1">
        <f t="array" ref="L125">sentimentCategory(K125)</f>
        <v>Neutral</v>
      </c>
    </row>
    <row r="126" spans="1:12" x14ac:dyDescent="0.25">
      <c r="A126" t="s">
        <v>156</v>
      </c>
      <c r="B126" t="s">
        <v>3454</v>
      </c>
      <c r="C126" t="str" cm="1">
        <f t="array" ref="C126">CleanText(B126)</f>
        <v>a movie for idiots</v>
      </c>
      <c r="D126">
        <v>5</v>
      </c>
      <c r="E126">
        <v>0</v>
      </c>
      <c r="F126" t="s">
        <v>10</v>
      </c>
      <c r="G126" t="str" cm="1">
        <f t="array" ref="G126">FindCountryName(F126)</f>
        <v>None</v>
      </c>
      <c r="H126" s="3">
        <v>45148.649756944447</v>
      </c>
      <c r="I126" s="3">
        <v>45148.649756944447</v>
      </c>
      <c r="J126" s="3">
        <v>44250.611574074072</v>
      </c>
      <c r="K126" cm="1">
        <f t="array" ref="K126">sentimentCalc(C126)</f>
        <v>0</v>
      </c>
      <c r="L126" t="str" cm="1">
        <f t="array" ref="L126">sentimentCategory(K126)</f>
        <v>Neutral</v>
      </c>
    </row>
    <row r="127" spans="1:12" x14ac:dyDescent="0.25">
      <c r="A127" t="s">
        <v>2439</v>
      </c>
      <c r="B127" t="s">
        <v>2440</v>
      </c>
      <c r="C127" t="str" cm="1">
        <f t="array" ref="C127">CleanText(B127)</f>
        <v>a movie i couldnt care less about like seriouslywho pitched thisand who decided to finance it who cares about barbie aside from young girls meanwhile nobody makes constantine  or master and commander</v>
      </c>
      <c r="D127">
        <v>1</v>
      </c>
      <c r="E127">
        <v>6</v>
      </c>
      <c r="F127" t="s">
        <v>10</v>
      </c>
      <c r="G127" t="str" cm="1">
        <f t="array" ref="G127">FindCountryName(F127)</f>
        <v>None</v>
      </c>
      <c r="H127" s="3">
        <v>45167.256921296299</v>
      </c>
      <c r="I127" s="3">
        <v>45167.256909722222</v>
      </c>
      <c r="J127" s="3">
        <v>38978.225775462961</v>
      </c>
      <c r="K127" cm="1">
        <f t="array" ref="K127">sentimentCalc(C127)</f>
        <v>6</v>
      </c>
      <c r="L127" t="str" cm="1">
        <f t="array" ref="L127">sentimentCategory(K127)</f>
        <v>Positive</v>
      </c>
    </row>
    <row r="128" spans="1:12" x14ac:dyDescent="0.25">
      <c r="A128" t="s">
        <v>868</v>
      </c>
      <c r="B128" t="s">
        <v>869</v>
      </c>
      <c r="C128" t="str" cm="1">
        <f t="array" ref="C128">CleanText(B128)</f>
        <v>a must film to see barbie in real world</v>
      </c>
      <c r="D128">
        <v>2</v>
      </c>
      <c r="E128">
        <v>0</v>
      </c>
      <c r="F128" t="s">
        <v>10</v>
      </c>
      <c r="G128" t="str" cm="1">
        <f t="array" ref="G128">FindCountryName(F128)</f>
        <v>None</v>
      </c>
      <c r="H128" s="3">
        <v>45299.427858796298</v>
      </c>
      <c r="I128" s="3">
        <v>45299.427858796298</v>
      </c>
      <c r="J128" s="3">
        <v>45299.427303240744</v>
      </c>
      <c r="K128" cm="1">
        <f t="array" ref="K128">sentimentCalc(C128)</f>
        <v>0</v>
      </c>
      <c r="L128" t="str" cm="1">
        <f t="array" ref="L128">sentimentCategory(K128)</f>
        <v>Neutral</v>
      </c>
    </row>
    <row r="129" spans="1:12" x14ac:dyDescent="0.25">
      <c r="A129" t="s">
        <v>322</v>
      </c>
      <c r="B129" t="s">
        <v>3935</v>
      </c>
      <c r="C129" t="str" cm="1">
        <f t="array" ref="C129">CleanText(B129)</f>
        <v>a npcs wet dream</v>
      </c>
      <c r="D129">
        <v>0</v>
      </c>
      <c r="E129">
        <v>0</v>
      </c>
      <c r="F129" t="s">
        <v>10</v>
      </c>
      <c r="G129" t="str" cm="1">
        <f t="array" ref="G129">FindCountryName(F129)</f>
        <v>None</v>
      </c>
      <c r="H129" s="3">
        <v>45144.421435185184</v>
      </c>
      <c r="I129" s="3">
        <v>45144.421435185184</v>
      </c>
      <c r="J129" s="3">
        <v>40718.790995370371</v>
      </c>
      <c r="K129" cm="1">
        <f t="array" ref="K129">sentimentCalc(C129)</f>
        <v>1</v>
      </c>
      <c r="L129" t="str" cm="1">
        <f t="array" ref="L129">sentimentCategory(K129)</f>
        <v>Positive</v>
      </c>
    </row>
    <row r="130" spans="1:12" x14ac:dyDescent="0.25">
      <c r="A130" t="s">
        <v>3725</v>
      </c>
      <c r="B130" t="s">
        <v>3778</v>
      </c>
      <c r="C130" t="str" cm="1">
        <f t="array" ref="C130">CleanText(B130)</f>
        <v>a proper distraction by the deep state and the matrix again to keep your mind controlled and filled with utter bs enjoy the slavveemind</v>
      </c>
      <c r="D130">
        <v>0</v>
      </c>
      <c r="E130">
        <v>1</v>
      </c>
      <c r="F130" t="s">
        <v>10</v>
      </c>
      <c r="G130" t="str" cm="1">
        <f t="array" ref="G130">FindCountryName(F130)</f>
        <v>None</v>
      </c>
      <c r="H130" s="3">
        <v>45145.560173611113</v>
      </c>
      <c r="I130" s="3">
        <v>45145.560173611113</v>
      </c>
      <c r="J130" s="3">
        <v>41591.415590277778</v>
      </c>
      <c r="K130" cm="1">
        <f t="array" ref="K130">sentimentCalc(C130)</f>
        <v>0</v>
      </c>
      <c r="L130" t="str" cm="1">
        <f t="array" ref="L130">sentimentCategory(K130)</f>
        <v>Neutral</v>
      </c>
    </row>
    <row r="131" spans="1:12" x14ac:dyDescent="0.25">
      <c r="A131" t="s">
        <v>3762</v>
      </c>
      <c r="B131" t="s">
        <v>3763</v>
      </c>
      <c r="C131" t="str" cm="1">
        <f t="array" ref="C131">CleanText(B131)</f>
        <v>a question is it alright for guys to watch this movie</v>
      </c>
      <c r="D131">
        <v>0</v>
      </c>
      <c r="E131">
        <v>7</v>
      </c>
      <c r="F131" t="s">
        <v>3764</v>
      </c>
      <c r="G131" t="str" cm="1">
        <f t="array" ref="G131">FindCountryName(F131)</f>
        <v>United Arab Emirates (the)</v>
      </c>
      <c r="H131" s="3">
        <v>45145.665833333333</v>
      </c>
      <c r="I131" s="3">
        <v>45145.665833333333</v>
      </c>
      <c r="J131" s="3">
        <v>42661.618958333333</v>
      </c>
      <c r="K131" cm="1">
        <f t="array" ref="K131">sentimentCalc(C131)</f>
        <v>0</v>
      </c>
      <c r="L131" t="str" cm="1">
        <f t="array" ref="L131">sentimentCategory(K131)</f>
        <v>Neutral</v>
      </c>
    </row>
    <row r="132" spans="1:12" x14ac:dyDescent="0.25">
      <c r="A132" t="s">
        <v>2815</v>
      </c>
      <c r="B132" t="s">
        <v>3607</v>
      </c>
      <c r="C132" t="str" cm="1">
        <f t="array" ref="C132">CleanText(B132)</f>
        <v>a stupid movie</v>
      </c>
      <c r="D132">
        <v>4</v>
      </c>
      <c r="E132">
        <v>0</v>
      </c>
      <c r="F132" t="s">
        <v>10</v>
      </c>
      <c r="G132" t="str" cm="1">
        <f t="array" ref="G132">FindCountryName(F132)</f>
        <v>None</v>
      </c>
      <c r="H132" s="3">
        <v>45147.193807870368</v>
      </c>
      <c r="I132" s="3">
        <v>45147.193807870368</v>
      </c>
      <c r="J132" s="3">
        <v>43369.730046296296</v>
      </c>
      <c r="K132" cm="1">
        <f t="array" ref="K132">sentimentCalc(C132)</f>
        <v>-2</v>
      </c>
      <c r="L132" t="str" cm="1">
        <f t="array" ref="L132">sentimentCategory(K132)</f>
        <v>Negative</v>
      </c>
    </row>
    <row r="133" spans="1:12" x14ac:dyDescent="0.25">
      <c r="A133" t="s">
        <v>315</v>
      </c>
      <c r="B133" t="s">
        <v>3324</v>
      </c>
      <c r="C133" t="str" cm="1">
        <f t="array" ref="C133">CleanText(B133)</f>
        <v>a wise man once said when youre happy you enjoy the movie but when youre sad you understand but when you are stupid you watch movie like barbieabsolut rubbish  if you want to be brain washed by someonr agenda go watch this movie</v>
      </c>
      <c r="D133">
        <v>4</v>
      </c>
      <c r="E133">
        <v>0</v>
      </c>
      <c r="F133" t="s">
        <v>1050</v>
      </c>
      <c r="G133" t="str" cm="1">
        <f t="array" ref="G133">FindCountryName(F133)</f>
        <v>Germany</v>
      </c>
      <c r="H133" s="3">
        <v>45150.315775462965</v>
      </c>
      <c r="I133" s="3">
        <v>45150.315775462965</v>
      </c>
      <c r="J133" s="3">
        <v>44046.528101851851</v>
      </c>
      <c r="K133" cm="1">
        <f t="array" ref="K133">sentimentCalc(C133)</f>
        <v>4</v>
      </c>
      <c r="L133" t="str" cm="1">
        <f t="array" ref="L133">sentimentCategory(K133)</f>
        <v>Positive</v>
      </c>
    </row>
    <row r="134" spans="1:12" x14ac:dyDescent="0.25">
      <c r="A134" t="s">
        <v>256</v>
      </c>
      <c r="B134" t="s">
        <v>4070</v>
      </c>
      <c r="C134" t="str" cm="1">
        <f t="array" ref="C134">CleanText(B134)</f>
        <v>n</v>
      </c>
      <c r="D134">
        <v>0</v>
      </c>
      <c r="E134">
        <v>1</v>
      </c>
      <c r="F134" t="s">
        <v>10</v>
      </c>
      <c r="G134" t="str" cm="1">
        <f t="array" ref="G134">FindCountryName(F134)</f>
        <v>None</v>
      </c>
      <c r="H134" s="3">
        <v>45143.138206018521</v>
      </c>
      <c r="I134" s="3">
        <v>45143.138206018521</v>
      </c>
      <c r="J134" s="3">
        <v>42617.216273148151</v>
      </c>
      <c r="K134" cm="1">
        <f t="array" ref="K134">sentimentCalc(C134)</f>
        <v>0</v>
      </c>
      <c r="L134" t="str" cm="1">
        <f t="array" ref="L134">sentimentCategory(K134)</f>
        <v>Neutral</v>
      </c>
    </row>
    <row r="135" spans="1:12" x14ac:dyDescent="0.25">
      <c r="A135" t="s">
        <v>629</v>
      </c>
      <c r="B135" t="s">
        <v>3926</v>
      </c>
      <c r="C135" t="str" cm="1">
        <f t="array" ref="C135">CleanText(B135)</f>
        <v>n</v>
      </c>
      <c r="D135">
        <v>0</v>
      </c>
      <c r="E135">
        <v>0</v>
      </c>
      <c r="F135" t="s">
        <v>1104</v>
      </c>
      <c r="G135" t="str" cm="1">
        <f t="array" ref="G135">FindCountryName(F135)</f>
        <v>Bangladesh</v>
      </c>
      <c r="H135" s="3">
        <v>45144.458356481482</v>
      </c>
      <c r="I135" s="3">
        <v>45144.458356481482</v>
      </c>
      <c r="J135" s="3">
        <v>41890.206574074073</v>
      </c>
      <c r="K135" cm="1">
        <f t="array" ref="K135">sentimentCalc(C135)</f>
        <v>0</v>
      </c>
      <c r="L135" t="str" cm="1">
        <f t="array" ref="L135">sentimentCategory(K135)</f>
        <v>Neutral</v>
      </c>
    </row>
    <row r="136" spans="1:12" x14ac:dyDescent="0.25">
      <c r="A136" t="s">
        <v>345</v>
      </c>
      <c r="B136" t="s">
        <v>1494</v>
      </c>
      <c r="C136" t="str" cm="1">
        <f t="array" ref="C136">CleanText(B136)</f>
        <v>n</v>
      </c>
      <c r="D136">
        <v>0</v>
      </c>
      <c r="E136">
        <v>0</v>
      </c>
      <c r="F136" t="s">
        <v>10</v>
      </c>
      <c r="G136" t="str" cm="1">
        <f t="array" ref="G136">FindCountryName(F136)</f>
        <v>None</v>
      </c>
      <c r="H136" s="3">
        <v>45220.183483796296</v>
      </c>
      <c r="I136" s="3">
        <v>45220.183483796296</v>
      </c>
      <c r="J136" s="3">
        <v>44334.093194444446</v>
      </c>
      <c r="K136" cm="1">
        <f t="array" ref="K136">sentimentCalc(C136)</f>
        <v>0</v>
      </c>
      <c r="L136" t="str" cm="1">
        <f t="array" ref="L136">sentimentCategory(K136)</f>
        <v>Neutral</v>
      </c>
    </row>
    <row r="137" spans="1:12" x14ac:dyDescent="0.25">
      <c r="A137" t="s">
        <v>120</v>
      </c>
      <c r="B137" t="s">
        <v>4450</v>
      </c>
      <c r="C137" t="str" cm="1">
        <f t="array" ref="C137">CleanText(B137)</f>
        <v>n</v>
      </c>
      <c r="D137">
        <v>17</v>
      </c>
      <c r="E137">
        <v>5</v>
      </c>
      <c r="F137" t="s">
        <v>10</v>
      </c>
      <c r="G137" t="str" cm="1">
        <f t="array" ref="G137">FindCountryName(F137)</f>
        <v>None</v>
      </c>
      <c r="H137" s="3">
        <v>45140.213958333334</v>
      </c>
      <c r="I137" s="3">
        <v>45140.213958333334</v>
      </c>
      <c r="J137" s="3">
        <v>42641.490856481483</v>
      </c>
      <c r="K137" cm="1">
        <f t="array" ref="K137">sentimentCalc(C137)</f>
        <v>0</v>
      </c>
      <c r="L137" t="str" cm="1">
        <f t="array" ref="L137">sentimentCategory(K137)</f>
        <v>Neutral</v>
      </c>
    </row>
    <row r="138" spans="1:12" x14ac:dyDescent="0.25">
      <c r="A138" t="s">
        <v>1835</v>
      </c>
      <c r="B138" t="s">
        <v>4458</v>
      </c>
      <c r="C138" t="str" cm="1">
        <f t="array" ref="C138">CleanText(B138)</f>
        <v>n</v>
      </c>
      <c r="D138">
        <v>21</v>
      </c>
      <c r="E138">
        <v>1</v>
      </c>
      <c r="F138" t="s">
        <v>10</v>
      </c>
      <c r="G138" t="str" cm="1">
        <f t="array" ref="G138">FindCountryName(F138)</f>
        <v>None</v>
      </c>
      <c r="H138" s="3">
        <v>45140.177071759259</v>
      </c>
      <c r="I138" s="3">
        <v>45140.177071759259</v>
      </c>
      <c r="J138" s="3">
        <v>42817.434814814813</v>
      </c>
      <c r="K138" cm="1">
        <f t="array" ref="K138">sentimentCalc(C138)</f>
        <v>0</v>
      </c>
      <c r="L138" t="str" cm="1">
        <f t="array" ref="L138">sentimentCategory(K138)</f>
        <v>Neutral</v>
      </c>
    </row>
    <row r="139" spans="1:12" x14ac:dyDescent="0.25">
      <c r="A139" t="s">
        <v>56</v>
      </c>
      <c r="B139" t="s">
        <v>3872</v>
      </c>
      <c r="C139" t="str" cm="1">
        <f t="array" ref="C139">CleanText(B139)</f>
        <v>n</v>
      </c>
      <c r="D139">
        <v>2</v>
      </c>
      <c r="E139">
        <v>0</v>
      </c>
      <c r="F139" t="s">
        <v>10</v>
      </c>
      <c r="G139" t="str" cm="1">
        <f t="array" ref="G139">FindCountryName(F139)</f>
        <v>None</v>
      </c>
      <c r="H139" s="3">
        <v>45144.858368055553</v>
      </c>
      <c r="I139" s="3">
        <v>45144.858368055553</v>
      </c>
      <c r="J139" s="3">
        <v>41179.411296296297</v>
      </c>
      <c r="K139" cm="1">
        <f t="array" ref="K139">sentimentCalc(C139)</f>
        <v>0</v>
      </c>
      <c r="L139" t="str" cm="1">
        <f t="array" ref="L139">sentimentCategory(K139)</f>
        <v>Neutral</v>
      </c>
    </row>
    <row r="140" spans="1:12" x14ac:dyDescent="0.25">
      <c r="A140" t="s">
        <v>178</v>
      </c>
      <c r="B140" t="s">
        <v>1046</v>
      </c>
      <c r="C140" t="str" cm="1">
        <f t="array" ref="C140">CleanText(B140)</f>
        <v>n</v>
      </c>
      <c r="D140">
        <v>1</v>
      </c>
      <c r="E140">
        <v>1</v>
      </c>
      <c r="F140" t="s">
        <v>10</v>
      </c>
      <c r="G140" t="str" cm="1">
        <f t="array" ref="G140">FindCountryName(F140)</f>
        <v>None</v>
      </c>
      <c r="H140" s="3">
        <v>45297.884189814817</v>
      </c>
      <c r="I140" s="3">
        <v>45297.884189814817</v>
      </c>
      <c r="J140" s="3">
        <v>43276.335659722223</v>
      </c>
      <c r="K140" cm="1">
        <f t="array" ref="K140">sentimentCalc(C140)</f>
        <v>0</v>
      </c>
      <c r="L140" t="str" cm="1">
        <f t="array" ref="L140">sentimentCategory(K140)</f>
        <v>Neutral</v>
      </c>
    </row>
    <row r="141" spans="1:12" x14ac:dyDescent="0.25">
      <c r="A141" t="s">
        <v>4405</v>
      </c>
      <c r="B141" t="s">
        <v>4406</v>
      </c>
      <c r="C141" t="str" cm="1">
        <f t="array" ref="C141">CleanText(B141)</f>
        <v>fc</v>
      </c>
      <c r="D141">
        <v>2</v>
      </c>
      <c r="E141">
        <v>0</v>
      </c>
      <c r="F141" t="s">
        <v>10</v>
      </c>
      <c r="G141" t="str" cm="1">
        <f t="array" ref="G141">FindCountryName(F141)</f>
        <v>None</v>
      </c>
      <c r="H141" s="3">
        <v>45140.437152777777</v>
      </c>
      <c r="I141" s="3">
        <v>45140.437152777777</v>
      </c>
      <c r="J141" s="3">
        <v>44770.229398148149</v>
      </c>
      <c r="K141" cm="1">
        <f t="array" ref="K141">sentimentCalc(C141)</f>
        <v>0</v>
      </c>
      <c r="L141" t="str" cm="1">
        <f t="array" ref="L141">sentimentCategory(K141)</f>
        <v>Neutral</v>
      </c>
    </row>
    <row r="142" spans="1:12" x14ac:dyDescent="0.25">
      <c r="A142" t="s">
        <v>4405</v>
      </c>
      <c r="B142" t="s">
        <v>4407</v>
      </c>
      <c r="C142" t="str" cm="1">
        <f t="array" ref="C142">CleanText(B142)</f>
        <v>fc</v>
      </c>
      <c r="D142">
        <v>4</v>
      </c>
      <c r="E142">
        <v>0</v>
      </c>
      <c r="F142" t="s">
        <v>10</v>
      </c>
      <c r="G142" t="str" cm="1">
        <f t="array" ref="G142">FindCountryName(F142)</f>
        <v>None</v>
      </c>
      <c r="H142" s="3">
        <v>45140.433622685188</v>
      </c>
      <c r="I142" s="3">
        <v>45140.433622685188</v>
      </c>
      <c r="J142" s="3">
        <v>44770.229398148149</v>
      </c>
      <c r="K142" cm="1">
        <f t="array" ref="K142">sentimentCalc(C142)</f>
        <v>0</v>
      </c>
      <c r="L142" t="str" cm="1">
        <f t="array" ref="L142">sentimentCategory(K142)</f>
        <v>Neutral</v>
      </c>
    </row>
    <row r="143" spans="1:12" x14ac:dyDescent="0.25">
      <c r="A143" t="s">
        <v>4188</v>
      </c>
      <c r="B143" t="s">
        <v>4189</v>
      </c>
      <c r="C143" t="str" cm="1">
        <f t="array" ref="C143">CleanText(B143)</f>
        <v>n</v>
      </c>
      <c r="D143">
        <v>1</v>
      </c>
      <c r="E143">
        <v>0</v>
      </c>
      <c r="F143" t="s">
        <v>10</v>
      </c>
      <c r="G143" t="str" cm="1">
        <f t="array" ref="G143">FindCountryName(F143)</f>
        <v>None</v>
      </c>
      <c r="H143" s="3">
        <v>45142.167951388888</v>
      </c>
      <c r="I143" s="3">
        <v>45142.167951388888</v>
      </c>
      <c r="J143" s="3">
        <v>43684.214583333334</v>
      </c>
      <c r="K143" cm="1">
        <f t="array" ref="K143">sentimentCalc(C143)</f>
        <v>0</v>
      </c>
      <c r="L143" t="str" cm="1">
        <f t="array" ref="L143">sentimentCategory(K143)</f>
        <v>Neutral</v>
      </c>
    </row>
    <row r="144" spans="1:12" x14ac:dyDescent="0.25">
      <c r="A144" t="s">
        <v>737</v>
      </c>
      <c r="B144" t="s">
        <v>4384</v>
      </c>
      <c r="C144" t="str" cm="1">
        <f t="array" ref="C144">CleanText(B144)</f>
        <v>n</v>
      </c>
      <c r="D144">
        <v>8</v>
      </c>
      <c r="E144">
        <v>1</v>
      </c>
      <c r="F144" t="s">
        <v>10</v>
      </c>
      <c r="G144" t="str" cm="1">
        <f t="array" ref="G144">FindCountryName(F144)</f>
        <v>None</v>
      </c>
      <c r="H144" s="3">
        <v>45140.527499999997</v>
      </c>
      <c r="I144" s="3">
        <v>45140.527499999997</v>
      </c>
      <c r="J144" s="3">
        <v>41624.136805555558</v>
      </c>
      <c r="K144" cm="1">
        <f t="array" ref="K144">sentimentCalc(C144)</f>
        <v>0</v>
      </c>
      <c r="L144" t="str" cm="1">
        <f t="array" ref="L144">sentimentCategory(K144)</f>
        <v>Neutral</v>
      </c>
    </row>
    <row r="145" spans="1:12" x14ac:dyDescent="0.25">
      <c r="A145" t="s">
        <v>329</v>
      </c>
      <c r="B145" t="s">
        <v>1547</v>
      </c>
      <c r="C145" t="str" cm="1">
        <f t="array" ref="C145">CleanText(B145)</f>
        <v>timo</v>
      </c>
      <c r="D145">
        <v>0</v>
      </c>
      <c r="E145">
        <v>0</v>
      </c>
      <c r="F145" t="s">
        <v>10</v>
      </c>
      <c r="G145" t="str" cm="1">
        <f t="array" ref="G145">FindCountryName(F145)</f>
        <v>None</v>
      </c>
      <c r="H145" s="3">
        <v>45214.617962962962</v>
      </c>
      <c r="I145" s="3">
        <v>45214.617962962962</v>
      </c>
      <c r="J145" s="3">
        <v>41976.763784722221</v>
      </c>
      <c r="K145" cm="1">
        <f t="array" ref="K145">sentimentCalc(C145)</f>
        <v>0</v>
      </c>
      <c r="L145" t="str" cm="1">
        <f t="array" ref="L145">sentimentCategory(K145)</f>
        <v>Neutral</v>
      </c>
    </row>
    <row r="146" spans="1:12" x14ac:dyDescent="0.25">
      <c r="A146" t="s">
        <v>444</v>
      </c>
      <c r="B146" t="s">
        <v>1590</v>
      </c>
      <c r="C146" t="str" cm="1">
        <f t="array" ref="C146">CleanText(B146)</f>
        <v>timo app</v>
      </c>
      <c r="D146">
        <v>0</v>
      </c>
      <c r="E146">
        <v>0</v>
      </c>
      <c r="F146" t="s">
        <v>10</v>
      </c>
      <c r="G146" t="str" cm="1">
        <f t="array" ref="G146">FindCountryName(F146)</f>
        <v>None</v>
      </c>
      <c r="H146" s="3">
        <v>45211.536817129629</v>
      </c>
      <c r="I146" s="3">
        <v>45211.536817129629</v>
      </c>
      <c r="J146" s="3">
        <v>45211.536805555559</v>
      </c>
      <c r="K146" cm="1">
        <f t="array" ref="K146">sentimentCalc(C146)</f>
        <v>0</v>
      </c>
      <c r="L146" t="str" cm="1">
        <f t="array" ref="L146">sentimentCategory(K146)</f>
        <v>Neutral</v>
      </c>
    </row>
    <row r="147" spans="1:12" x14ac:dyDescent="0.25">
      <c r="A147" t="s">
        <v>1503</v>
      </c>
      <c r="B147" t="s">
        <v>1957</v>
      </c>
      <c r="C147" t="str" cm="1">
        <f t="array" ref="C147">CleanText(B147)</f>
        <v>timo filme</v>
      </c>
      <c r="D147">
        <v>1</v>
      </c>
      <c r="E147">
        <v>0</v>
      </c>
      <c r="F147" t="s">
        <v>10</v>
      </c>
      <c r="G147" t="str" cm="1">
        <f t="array" ref="G147">FindCountryName(F147)</f>
        <v>None</v>
      </c>
      <c r="H147" s="3">
        <v>45186.515902777777</v>
      </c>
      <c r="I147" s="3">
        <v>45186.515902777777</v>
      </c>
      <c r="J147" s="3">
        <v>43340.422349537039</v>
      </c>
      <c r="K147" cm="1">
        <f t="array" ref="K147">sentimentCalc(C147)</f>
        <v>0</v>
      </c>
      <c r="L147" t="str" cm="1">
        <f t="array" ref="L147">sentimentCategory(K147)</f>
        <v>Neutral</v>
      </c>
    </row>
    <row r="148" spans="1:12" x14ac:dyDescent="0.25">
      <c r="A148" t="s">
        <v>215</v>
      </c>
      <c r="B148" t="s">
        <v>1928</v>
      </c>
      <c r="C148" t="str" cm="1">
        <f t="array" ref="C148">CleanText(B148)</f>
        <v>timo filme adoro a barbie</v>
      </c>
      <c r="D148">
        <v>2</v>
      </c>
      <c r="E148">
        <v>0</v>
      </c>
      <c r="F148" t="s">
        <v>10</v>
      </c>
      <c r="G148" t="str" cm="1">
        <f t="array" ref="G148">FindCountryName(F148)</f>
        <v>None</v>
      </c>
      <c r="H148" s="3">
        <v>45187.555393518516</v>
      </c>
      <c r="I148" s="3">
        <v>45187.555393518516</v>
      </c>
      <c r="J148" s="3">
        <v>40318.561180555553</v>
      </c>
      <c r="K148" cm="1">
        <f t="array" ref="K148">sentimentCalc(C148)</f>
        <v>0</v>
      </c>
      <c r="L148" t="str" cm="1">
        <f t="array" ref="L148">sentimentCategory(K148)</f>
        <v>Neutral</v>
      </c>
    </row>
    <row r="149" spans="1:12" x14ac:dyDescent="0.25">
      <c r="A149" t="s">
        <v>629</v>
      </c>
      <c r="B149" t="s">
        <v>1859</v>
      </c>
      <c r="C149" t="str" cm="1">
        <f t="array" ref="C149">CleanText(B149)</f>
        <v>timo filme recomendo assistirem ele</v>
      </c>
      <c r="D149">
        <v>0</v>
      </c>
      <c r="E149">
        <v>0</v>
      </c>
      <c r="F149" t="s">
        <v>10</v>
      </c>
      <c r="G149" t="str" cm="1">
        <f t="array" ref="G149">FindCountryName(F149)</f>
        <v>None</v>
      </c>
      <c r="H149" s="3">
        <v>45190.616446759261</v>
      </c>
      <c r="I149" s="3">
        <v>45190.616446759261</v>
      </c>
      <c r="J149" s="3">
        <v>44153.590914351851</v>
      </c>
      <c r="K149" cm="1">
        <f t="array" ref="K149">sentimentCalc(C149)</f>
        <v>0</v>
      </c>
      <c r="L149" t="str" cm="1">
        <f t="array" ref="L149">sentimentCategory(K149)</f>
        <v>Neutral</v>
      </c>
    </row>
    <row r="150" spans="1:12" x14ac:dyDescent="0.25">
      <c r="A150" t="s">
        <v>1869</v>
      </c>
      <c r="B150" t="s">
        <v>1870</v>
      </c>
      <c r="C150" t="str" cm="1">
        <f t="array" ref="C150">CleanText(B150)</f>
        <v>timo filme recomendo</v>
      </c>
      <c r="D150">
        <v>0</v>
      </c>
      <c r="E150">
        <v>0</v>
      </c>
      <c r="F150" t="s">
        <v>10</v>
      </c>
      <c r="G150" t="str" cm="1">
        <f t="array" ref="G150">FindCountryName(F150)</f>
        <v>None</v>
      </c>
      <c r="H150" s="3">
        <v>45189.677094907405</v>
      </c>
      <c r="I150" s="3">
        <v>45189.677094907405</v>
      </c>
      <c r="J150" s="3">
        <v>40219.832013888888</v>
      </c>
      <c r="K150" cm="1">
        <f t="array" ref="K150">sentimentCalc(C150)</f>
        <v>0</v>
      </c>
      <c r="L150" t="str" cm="1">
        <f t="array" ref="L150">sentimentCategory(K150)</f>
        <v>Neutral</v>
      </c>
    </row>
    <row r="151" spans="1:12" x14ac:dyDescent="0.25">
      <c r="A151" t="s">
        <v>38</v>
      </c>
      <c r="B151" t="s">
        <v>1510</v>
      </c>
      <c r="C151" t="str" cm="1">
        <f t="array" ref="C151">CleanText(B151)</f>
        <v>timo filmes</v>
      </c>
      <c r="D151">
        <v>0</v>
      </c>
      <c r="E151">
        <v>0</v>
      </c>
      <c r="F151" t="s">
        <v>10</v>
      </c>
      <c r="G151" t="str" cm="1">
        <f t="array" ref="G151">FindCountryName(F151)</f>
        <v>None</v>
      </c>
      <c r="H151" s="3">
        <v>45218.605405092596</v>
      </c>
      <c r="I151" s="3">
        <v>45218.605405092596</v>
      </c>
      <c r="J151" s="3">
        <v>42391.422581018516</v>
      </c>
      <c r="K151" cm="1">
        <f t="array" ref="K151">sentimentCalc(C151)</f>
        <v>0</v>
      </c>
      <c r="L151" t="str" cm="1">
        <f t="array" ref="L151">sentimentCategory(K151)</f>
        <v>Neutral</v>
      </c>
    </row>
    <row r="152" spans="1:12" x14ac:dyDescent="0.25">
      <c r="A152" t="s">
        <v>3390</v>
      </c>
      <c r="B152" t="s">
        <v>3795</v>
      </c>
      <c r="C152" t="str" cm="1">
        <f t="array" ref="C152">CleanText(B152)</f>
        <v>n</v>
      </c>
      <c r="D152">
        <v>0</v>
      </c>
      <c r="E152">
        <v>0</v>
      </c>
      <c r="F152" t="s">
        <v>10</v>
      </c>
      <c r="G152" t="str" cm="1">
        <f t="array" ref="G152">FindCountryName(F152)</f>
        <v>None</v>
      </c>
      <c r="H152" s="3">
        <v>45145.447650462964</v>
      </c>
      <c r="I152" s="3">
        <v>45145.447650462964</v>
      </c>
      <c r="J152" s="3">
        <v>41607.197233796294</v>
      </c>
      <c r="K152" cm="1">
        <f t="array" ref="K152">sentimentCalc(C152)</f>
        <v>0</v>
      </c>
      <c r="L152" t="str" cm="1">
        <f t="array" ref="L152">sentimentCategory(K152)</f>
        <v>Neutral</v>
      </c>
    </row>
    <row r="153" spans="1:12" x14ac:dyDescent="0.25">
      <c r="A153" t="s">
        <v>737</v>
      </c>
      <c r="B153" t="s">
        <v>2074</v>
      </c>
      <c r="C153" t="str" cm="1">
        <f t="array" ref="C153">CleanText(B153)</f>
        <v>n</v>
      </c>
      <c r="D153">
        <v>0</v>
      </c>
      <c r="E153">
        <v>0</v>
      </c>
      <c r="F153" t="s">
        <v>10</v>
      </c>
      <c r="G153" t="str" cm="1">
        <f t="array" ref="G153">FindCountryName(F153)</f>
        <v>None</v>
      </c>
      <c r="H153" s="3">
        <v>45181.946597222224</v>
      </c>
      <c r="I153" s="3">
        <v>45181.946597222224</v>
      </c>
      <c r="J153" s="3">
        <v>44607.130624999998</v>
      </c>
      <c r="K153" cm="1">
        <f t="array" ref="K153">sentimentCalc(C153)</f>
        <v>0</v>
      </c>
      <c r="L153" t="str" cm="1">
        <f t="array" ref="L153">sentimentCategory(K153)</f>
        <v>Neutral</v>
      </c>
    </row>
    <row r="154" spans="1:12" x14ac:dyDescent="0.25">
      <c r="A154" t="s">
        <v>225</v>
      </c>
      <c r="B154" t="s">
        <v>4350</v>
      </c>
      <c r="C154" t="str" cm="1">
        <f t="array" ref="C154">CleanText(B154)</f>
        <v>authority should be derived from the consent of the governednot by the threat of force</v>
      </c>
      <c r="D154">
        <v>0</v>
      </c>
      <c r="E154">
        <v>0</v>
      </c>
      <c r="F154" t="s">
        <v>10</v>
      </c>
      <c r="G154" t="str" cm="1">
        <f t="array" ref="G154">FindCountryName(F154)</f>
        <v>None</v>
      </c>
      <c r="H154" s="3">
        <v>45140.736678240741</v>
      </c>
      <c r="I154" s="3">
        <v>45140.736678240741</v>
      </c>
      <c r="J154" s="3">
        <v>42607.474108796298</v>
      </c>
      <c r="K154" cm="1">
        <f t="array" ref="K154">sentimentCalc(C154)</f>
        <v>1</v>
      </c>
      <c r="L154" t="str" cm="1">
        <f t="array" ref="L154">sentimentCategory(K154)</f>
        <v>Positive</v>
      </c>
    </row>
    <row r="155" spans="1:12" x14ac:dyDescent="0.25">
      <c r="A155" t="s">
        <v>1567</v>
      </c>
      <c r="B155" t="s">
        <v>1568</v>
      </c>
      <c r="C155" t="str" cm="1">
        <f t="array" ref="C155">CleanText(B155)</f>
        <v>flat feetis a funny scene btw and the ending credits too</v>
      </c>
      <c r="D155">
        <v>0</v>
      </c>
      <c r="E155">
        <v>0</v>
      </c>
      <c r="F155" t="s">
        <v>10</v>
      </c>
      <c r="G155" t="str" cm="1">
        <f t="array" ref="G155">FindCountryName(F155)</f>
        <v>None</v>
      </c>
      <c r="H155" s="3">
        <v>45214.276736111111</v>
      </c>
      <c r="I155" s="3">
        <v>45214.276736111111</v>
      </c>
      <c r="J155" s="3">
        <v>45105.043726851851</v>
      </c>
      <c r="K155" cm="1">
        <f t="array" ref="K155">sentimentCalc(C155)</f>
        <v>4</v>
      </c>
      <c r="L155" t="str" cm="1">
        <f t="array" ref="L155">sentimentCategory(K155)</f>
        <v>Positive</v>
      </c>
    </row>
    <row r="156" spans="1:12" x14ac:dyDescent="0.25">
      <c r="A156" t="s">
        <v>1535</v>
      </c>
      <c r="B156" t="s">
        <v>3751</v>
      </c>
      <c r="C156" t="str" cm="1">
        <f t="array" ref="C156">CleanText(B156)</f>
        <v>flat feetahhhhhtouchs her footahhhhhhhhhhhhhhhhhhh</v>
      </c>
      <c r="D156">
        <v>0</v>
      </c>
      <c r="E156">
        <v>0</v>
      </c>
      <c r="F156" t="s">
        <v>10</v>
      </c>
      <c r="G156" t="str" cm="1">
        <f t="array" ref="G156">FindCountryName(F156)</f>
        <v>None</v>
      </c>
      <c r="H156" s="3">
        <v>45145.72515046296</v>
      </c>
      <c r="I156" s="3">
        <v>45145.725254629629</v>
      </c>
      <c r="J156" s="3">
        <v>45082.541435185187</v>
      </c>
      <c r="K156" cm="1">
        <f t="array" ref="K156">sentimentCalc(C156)</f>
        <v>0</v>
      </c>
      <c r="L156" t="str" cm="1">
        <f t="array" ref="L156">sentimentCategory(K156)</f>
        <v>Neutral</v>
      </c>
    </row>
    <row r="157" spans="1:12" x14ac:dyDescent="0.25">
      <c r="A157" t="s">
        <v>3943</v>
      </c>
      <c r="B157" t="s">
        <v>3944</v>
      </c>
      <c r="C157" t="str" cm="1">
        <f t="array" ref="C157">CleanText(B157)</f>
        <v>humans only have one endingideas live forever classic</v>
      </c>
      <c r="D157">
        <v>5</v>
      </c>
      <c r="E157">
        <v>0</v>
      </c>
      <c r="F157" t="s">
        <v>10</v>
      </c>
      <c r="G157" t="str" cm="1">
        <f t="array" ref="G157">FindCountryName(F157)</f>
        <v>None</v>
      </c>
      <c r="H157" s="3">
        <v>45144.339907407404</v>
      </c>
      <c r="I157" s="3">
        <v>45144.339907407404</v>
      </c>
      <c r="J157" s="3">
        <v>43517.30332175926</v>
      </c>
      <c r="K157" cm="1">
        <f t="array" ref="K157">sentimentCalc(C157)</f>
        <v>0</v>
      </c>
      <c r="L157" t="str" cm="1">
        <f t="array" ref="L157">sentimentCategory(K157)</f>
        <v>Neutral</v>
      </c>
    </row>
    <row r="158" spans="1:12" x14ac:dyDescent="0.25">
      <c r="A158" t="s">
        <v>30</v>
      </c>
      <c r="B158" t="s">
        <v>4156</v>
      </c>
      <c r="C158" t="str" cm="1">
        <f t="array" ref="C158">CleanText(B158)</f>
        <v>if you love barbie or hate barbie this movies for youwhat if your indifferent to barbie though</v>
      </c>
      <c r="D158">
        <v>0</v>
      </c>
      <c r="E158">
        <v>0</v>
      </c>
      <c r="F158" t="s">
        <v>10</v>
      </c>
      <c r="G158" t="str" cm="1">
        <f t="array" ref="G158">FindCountryName(F158)</f>
        <v>None</v>
      </c>
      <c r="H158" s="3">
        <v>45142.479050925926</v>
      </c>
      <c r="I158" s="3">
        <v>45142.479212962964</v>
      </c>
      <c r="J158" s="3">
        <v>43051.195381944446</v>
      </c>
      <c r="K158" cm="1">
        <f t="array" ref="K158">sentimentCalc(C158)</f>
        <v>-2</v>
      </c>
      <c r="L158" t="str" cm="1">
        <f t="array" ref="L158">sentimentCategory(K158)</f>
        <v>Negative</v>
      </c>
    </row>
    <row r="159" spans="1:12" x14ac:dyDescent="0.25">
      <c r="A159" t="s">
        <v>1294</v>
      </c>
      <c r="B159" t="s">
        <v>1295</v>
      </c>
      <c r="C159" t="str" cm="1">
        <f t="array" ref="C159">CleanText(B159)</f>
        <v>you guys ever think about dying barbie gurl are you alright do you need help</v>
      </c>
      <c r="D159">
        <v>3</v>
      </c>
      <c r="E159">
        <v>0</v>
      </c>
      <c r="F159" t="s">
        <v>10</v>
      </c>
      <c r="G159" t="str" cm="1">
        <f t="array" ref="G159">FindCountryName(F159)</f>
        <v>None</v>
      </c>
      <c r="H159" s="3">
        <v>45256.304930555554</v>
      </c>
      <c r="I159" s="3">
        <v>45256.304930555554</v>
      </c>
      <c r="J159" s="3">
        <v>45195.663206018522</v>
      </c>
      <c r="K159" cm="1">
        <f t="array" ref="K159">sentimentCalc(C159)</f>
        <v>2</v>
      </c>
      <c r="L159" t="str" cm="1">
        <f t="array" ref="L159">sentimentCategory(K159)</f>
        <v>Positive</v>
      </c>
    </row>
    <row r="160" spans="1:12" x14ac:dyDescent="0.25">
      <c r="A160" t="s">
        <v>3104</v>
      </c>
      <c r="B160" t="s">
        <v>3332</v>
      </c>
      <c r="C160" t="str" cm="1">
        <f t="array" ref="C160">CleanText(B160)</f>
        <v>you guys ever think about dyingyes</v>
      </c>
      <c r="D160">
        <v>1</v>
      </c>
      <c r="E160">
        <v>0</v>
      </c>
      <c r="F160" t="s">
        <v>10</v>
      </c>
      <c r="G160" t="str" cm="1">
        <f t="array" ref="G160">FindCountryName(F160)</f>
        <v>None</v>
      </c>
      <c r="H160" s="3">
        <v>45150.234317129631</v>
      </c>
      <c r="I160" s="3">
        <v>45150.234317129631</v>
      </c>
      <c r="J160" s="3">
        <v>44921.51835648148</v>
      </c>
      <c r="K160" cm="1">
        <f t="array" ref="K160">sentimentCalc(C160)</f>
        <v>0</v>
      </c>
      <c r="L160" t="str" cm="1">
        <f t="array" ref="L160">sentimentCategory(K160)</f>
        <v>Neutral</v>
      </c>
    </row>
    <row r="161" spans="1:12" x14ac:dyDescent="0.25">
      <c r="A161" t="s">
        <v>3586</v>
      </c>
      <c r="B161" t="s">
        <v>3587</v>
      </c>
      <c r="C161" t="str" cm="1">
        <f t="array" ref="C161">CleanText(B161)</f>
        <v>you guys ever think abt dying  that got me</v>
      </c>
      <c r="D161">
        <v>0</v>
      </c>
      <c r="E161">
        <v>0</v>
      </c>
      <c r="F161" t="s">
        <v>10</v>
      </c>
      <c r="G161" t="str" cm="1">
        <f t="array" ref="G161">FindCountryName(F161)</f>
        <v>None</v>
      </c>
      <c r="H161" s="3">
        <v>45147.375127314815</v>
      </c>
      <c r="I161" s="3">
        <v>45147.375127314815</v>
      </c>
      <c r="J161" s="3">
        <v>44584.638287037036</v>
      </c>
      <c r="K161" cm="1">
        <f t="array" ref="K161">sentimentCalc(C161)</f>
        <v>0</v>
      </c>
      <c r="L161" t="str" cm="1">
        <f t="array" ref="L161">sentimentCategory(K161)</f>
        <v>Neutral</v>
      </c>
    </row>
    <row r="162" spans="1:12" x14ac:dyDescent="0.25">
      <c r="A162" t="s">
        <v>503</v>
      </c>
      <c r="B162" t="s">
        <v>3228</v>
      </c>
      <c r="C162" t="str" cm="1">
        <f t="array" ref="C162">CleanText(B162)</f>
        <v>n</v>
      </c>
      <c r="D162">
        <v>0</v>
      </c>
      <c r="E162">
        <v>1</v>
      </c>
      <c r="F162" t="s">
        <v>10</v>
      </c>
      <c r="G162" t="str" cm="1">
        <f t="array" ref="G162">FindCountryName(F162)</f>
        <v>None</v>
      </c>
      <c r="H162" s="3">
        <v>45151.521064814813</v>
      </c>
      <c r="I162" s="3">
        <v>45151.52175925926</v>
      </c>
      <c r="J162" s="3">
        <v>43196.967037037037</v>
      </c>
      <c r="K162" cm="1">
        <f t="array" ref="K162">sentimentCalc(C162)</f>
        <v>0</v>
      </c>
      <c r="L162" t="str" cm="1">
        <f t="array" ref="L162">sentimentCategory(K162)</f>
        <v>Neutral</v>
      </c>
    </row>
    <row r="163" spans="1:12" x14ac:dyDescent="0.25">
      <c r="A163" t="s">
        <v>143</v>
      </c>
      <c r="B163" t="s">
        <v>977</v>
      </c>
      <c r="C163" t="str" cm="1">
        <f t="array" ref="C163">CleanText(B163)</f>
        <v>ocukluunu hatrlamk isteyenler iin on numara bir folm</v>
      </c>
      <c r="D163">
        <v>0</v>
      </c>
      <c r="E163">
        <v>0</v>
      </c>
      <c r="F163" t="s">
        <v>10</v>
      </c>
      <c r="G163" t="str" cm="1">
        <f t="array" ref="G163">FindCountryName(F163)</f>
        <v>None</v>
      </c>
      <c r="H163" s="3">
        <v>45299.253576388888</v>
      </c>
      <c r="I163" s="3">
        <v>45299.253576388888</v>
      </c>
      <c r="J163" s="3">
        <v>44401.663472222222</v>
      </c>
      <c r="K163" cm="1">
        <f t="array" ref="K163">sentimentCalc(C163)</f>
        <v>0</v>
      </c>
      <c r="L163" t="str" cm="1">
        <f t="array" ref="L163">sentimentCategory(K163)</f>
        <v>Neutral</v>
      </c>
    </row>
    <row r="164" spans="1:12" x14ac:dyDescent="0.25">
      <c r="A164" t="s">
        <v>145</v>
      </c>
      <c r="B164" t="s">
        <v>146</v>
      </c>
      <c r="C164" t="str" cm="1">
        <f t="array" ref="C164">CleanText(B164)</f>
        <v>ok etkileyici bir filmdiiii</v>
      </c>
      <c r="D164">
        <v>0</v>
      </c>
      <c r="E164">
        <v>0</v>
      </c>
      <c r="F164" t="s">
        <v>147</v>
      </c>
      <c r="G164" t="str" cm="1">
        <f t="array" ref="G164">FindCountryName(F164)</f>
        <v>France</v>
      </c>
      <c r="H164" s="3">
        <v>45337.460694444446</v>
      </c>
      <c r="I164" s="3">
        <v>45337.460694444446</v>
      </c>
      <c r="J164" s="3">
        <v>43651.419930555552</v>
      </c>
      <c r="K164" cm="1">
        <f t="array" ref="K164">sentimentCalc(C164)</f>
        <v>0</v>
      </c>
      <c r="L164" t="str" cm="1">
        <f t="array" ref="L164">sentimentCategory(K164)</f>
        <v>Neutral</v>
      </c>
    </row>
    <row r="165" spans="1:12" x14ac:dyDescent="0.25">
      <c r="A165" t="s">
        <v>571</v>
      </c>
      <c r="B165" t="s">
        <v>972</v>
      </c>
      <c r="C165" t="str" cm="1">
        <f t="array" ref="C165">CleanText(B165)</f>
        <v>ok gzel bir film bence</v>
      </c>
      <c r="D165">
        <v>0</v>
      </c>
      <c r="E165">
        <v>0</v>
      </c>
      <c r="F165" t="s">
        <v>10</v>
      </c>
      <c r="G165" t="str" cm="1">
        <f t="array" ref="G165">FindCountryName(F165)</f>
        <v>None</v>
      </c>
      <c r="H165" s="3">
        <v>45299.254363425927</v>
      </c>
      <c r="I165" s="3">
        <v>45299.254363425927</v>
      </c>
      <c r="J165" s="3">
        <v>43638.686018518521</v>
      </c>
      <c r="K165" cm="1">
        <f t="array" ref="K165">sentimentCalc(C165)</f>
        <v>0</v>
      </c>
      <c r="L165" t="str" cm="1">
        <f t="array" ref="L165">sentimentCategory(K165)</f>
        <v>Neutral</v>
      </c>
    </row>
    <row r="166" spans="1:12" x14ac:dyDescent="0.25">
      <c r="A166" t="s">
        <v>455</v>
      </c>
      <c r="B166" t="s">
        <v>456</v>
      </c>
      <c r="C166" t="str" cm="1">
        <f t="array" ref="C166">CleanText(B166)</f>
        <v>ok gzel harika</v>
      </c>
      <c r="D166">
        <v>0</v>
      </c>
      <c r="E166">
        <v>0</v>
      </c>
      <c r="F166" t="s">
        <v>10</v>
      </c>
      <c r="G166" t="str" cm="1">
        <f t="array" ref="G166">FindCountryName(F166)</f>
        <v>None</v>
      </c>
      <c r="H166" s="3">
        <v>45322.271273148152</v>
      </c>
      <c r="I166" s="3">
        <v>45322.271273148152</v>
      </c>
      <c r="J166" s="3">
        <v>44094.501643518517</v>
      </c>
      <c r="K166" cm="1">
        <f t="array" ref="K166">sentimentCalc(C166)</f>
        <v>0</v>
      </c>
      <c r="L166" t="str" cm="1">
        <f t="array" ref="L166">sentimentCategory(K166)</f>
        <v>Neutral</v>
      </c>
    </row>
    <row r="167" spans="1:12" x14ac:dyDescent="0.25">
      <c r="A167" t="s">
        <v>400</v>
      </c>
      <c r="B167" t="s">
        <v>401</v>
      </c>
      <c r="C167" t="str" cm="1">
        <f t="array" ref="C167">CleanText(B167)</f>
        <v>ok gzel olmu</v>
      </c>
      <c r="D167">
        <v>0</v>
      </c>
      <c r="E167">
        <v>0</v>
      </c>
      <c r="F167" t="s">
        <v>10</v>
      </c>
      <c r="G167" t="str" cm="1">
        <f t="array" ref="G167">FindCountryName(F167)</f>
        <v>None</v>
      </c>
      <c r="H167" s="3">
        <v>45322.272546296299</v>
      </c>
      <c r="I167" s="3">
        <v>45322.272546296299</v>
      </c>
      <c r="J167" s="3">
        <v>42545.66684027778</v>
      </c>
      <c r="K167" cm="1">
        <f t="array" ref="K167">sentimentCalc(C167)</f>
        <v>0</v>
      </c>
      <c r="L167" t="str" cm="1">
        <f t="array" ref="L167">sentimentCategory(K167)</f>
        <v>Neutral</v>
      </c>
    </row>
    <row r="168" spans="1:12" x14ac:dyDescent="0.25">
      <c r="A168" t="s">
        <v>259</v>
      </c>
      <c r="B168" t="s">
        <v>260</v>
      </c>
      <c r="C168" t="str" cm="1">
        <f t="array" ref="C168">CleanText(B168)</f>
        <v>ok gzellll</v>
      </c>
      <c r="D168">
        <v>2</v>
      </c>
      <c r="E168">
        <v>0</v>
      </c>
      <c r="F168" t="s">
        <v>10</v>
      </c>
      <c r="G168" t="str" cm="1">
        <f t="array" ref="G168">FindCountryName(F168)</f>
        <v>None</v>
      </c>
      <c r="H168" s="3">
        <v>45324.551932870374</v>
      </c>
      <c r="I168" s="3">
        <v>45324.551932870374</v>
      </c>
      <c r="J168" s="3">
        <v>42558.297754629632</v>
      </c>
      <c r="K168" cm="1">
        <f t="array" ref="K168">sentimentCalc(C168)</f>
        <v>0</v>
      </c>
      <c r="L168" t="str" cm="1">
        <f t="array" ref="L168">sentimentCategory(K168)</f>
        <v>Neutral</v>
      </c>
    </row>
    <row r="169" spans="1:12" x14ac:dyDescent="0.25">
      <c r="A169" t="s">
        <v>130</v>
      </c>
      <c r="B169" t="s">
        <v>289</v>
      </c>
      <c r="C169" t="str" cm="1">
        <f t="array" ref="C169">CleanText(B169)</f>
        <v>ok iyi</v>
      </c>
      <c r="D169">
        <v>0</v>
      </c>
      <c r="E169">
        <v>0</v>
      </c>
      <c r="F169" t="s">
        <v>10</v>
      </c>
      <c r="G169" t="str" cm="1">
        <f t="array" ref="G169">FindCountryName(F169)</f>
        <v>None</v>
      </c>
      <c r="H169" s="3">
        <v>45322.44226851852</v>
      </c>
      <c r="I169" s="3">
        <v>45322.44226851852</v>
      </c>
      <c r="J169" s="3">
        <v>45256.235439814816</v>
      </c>
      <c r="K169" cm="1">
        <f t="array" ref="K169">sentimentCalc(C169)</f>
        <v>0</v>
      </c>
      <c r="L169" t="str" cm="1">
        <f t="array" ref="L169">sentimentCategory(K169)</f>
        <v>Neutral</v>
      </c>
    </row>
    <row r="170" spans="1:12" x14ac:dyDescent="0.25">
      <c r="A170" t="s">
        <v>1792</v>
      </c>
      <c r="B170" t="s">
        <v>3013</v>
      </c>
      <c r="C170" t="str" cm="1">
        <f t="array" ref="C170">CleanText(B170)</f>
        <v>jailer congratulation to shivaji rao jailer  for the success of telugu nayakar sarbage valthuke movie vitri pere</v>
      </c>
      <c r="D170">
        <v>0</v>
      </c>
      <c r="E170">
        <v>0</v>
      </c>
      <c r="F170" t="s">
        <v>10</v>
      </c>
      <c r="G170" t="str" cm="1">
        <f t="array" ref="G170">FindCountryName(F170)</f>
        <v>None</v>
      </c>
      <c r="H170" s="3">
        <v>45154.49596064815</v>
      </c>
      <c r="I170" s="3">
        <v>45154.49596064815</v>
      </c>
      <c r="J170" s="3">
        <v>42050.06349537037</v>
      </c>
      <c r="K170" cm="1">
        <f t="array" ref="K170">sentimentCalc(C170)</f>
        <v>4</v>
      </c>
      <c r="L170" t="str" cm="1">
        <f t="array" ref="L170">sentimentCategory(K170)</f>
        <v>Positive</v>
      </c>
    </row>
    <row r="171" spans="1:12" x14ac:dyDescent="0.25">
      <c r="A171" t="s">
        <v>277</v>
      </c>
      <c r="B171" t="s">
        <v>278</v>
      </c>
      <c r="C171" t="str" cm="1">
        <f t="array" ref="C171">CleanText(B171)</f>
        <v>te bu izleyebileceiniz en iyi film</v>
      </c>
      <c r="D171">
        <v>0</v>
      </c>
      <c r="E171">
        <v>0</v>
      </c>
      <c r="F171" t="s">
        <v>10</v>
      </c>
      <c r="G171" t="str" cm="1">
        <f t="array" ref="G171">FindCountryName(F171)</f>
        <v>None</v>
      </c>
      <c r="H171" s="3">
        <v>45322.524548611109</v>
      </c>
      <c r="I171" s="3">
        <v>45322.524548611109</v>
      </c>
      <c r="J171" s="3">
        <v>43280.285810185182</v>
      </c>
      <c r="K171" cm="1">
        <f t="array" ref="K171">sentimentCalc(C171)</f>
        <v>0</v>
      </c>
      <c r="L171" t="str" cm="1">
        <f t="array" ref="L171">sentimentCategory(K171)</f>
        <v>Neutral</v>
      </c>
    </row>
    <row r="172" spans="1:12" x14ac:dyDescent="0.25">
      <c r="A172" t="s">
        <v>788</v>
      </c>
      <c r="B172" t="s">
        <v>789</v>
      </c>
      <c r="C172" t="str" cm="1">
        <f t="array" ref="C172">CleanText(B172)</f>
        <v>lgin ve gzel bir film izlenir</v>
      </c>
      <c r="D172">
        <v>0</v>
      </c>
      <c r="E172">
        <v>0</v>
      </c>
      <c r="F172" t="s">
        <v>10</v>
      </c>
      <c r="G172" t="str" cm="1">
        <f t="array" ref="G172">FindCountryName(F172)</f>
        <v>None</v>
      </c>
      <c r="H172" s="3">
        <v>45308.256643518522</v>
      </c>
      <c r="I172" s="3">
        <v>45308.256643518522</v>
      </c>
      <c r="J172" s="3">
        <v>44903.441168981481</v>
      </c>
      <c r="K172" cm="1">
        <f t="array" ref="K172">sentimentCalc(C172)</f>
        <v>0</v>
      </c>
      <c r="L172" t="str" cm="1">
        <f t="array" ref="L172">sentimentCategory(K172)</f>
        <v>Neutral</v>
      </c>
    </row>
    <row r="173" spans="1:12" x14ac:dyDescent="0.25">
      <c r="A173" t="s">
        <v>453</v>
      </c>
      <c r="B173" t="s">
        <v>454</v>
      </c>
      <c r="C173" t="str" cm="1">
        <f t="array" ref="C173">CleanText(B173)</f>
        <v>nanlmaz bir filim izlerken hi sklmadm herkese tavsiye ederim</v>
      </c>
      <c r="D173">
        <v>0</v>
      </c>
      <c r="E173">
        <v>0</v>
      </c>
      <c r="F173" t="s">
        <v>10</v>
      </c>
      <c r="G173" t="str" cm="1">
        <f t="array" ref="G173">FindCountryName(F173)</f>
        <v>None</v>
      </c>
      <c r="H173" s="3">
        <v>45322.271284722221</v>
      </c>
      <c r="I173" s="3">
        <v>45322.271284722221</v>
      </c>
      <c r="J173" s="3">
        <v>42400.548854166664</v>
      </c>
      <c r="K173" cm="1">
        <f t="array" ref="K173">sentimentCalc(C173)</f>
        <v>0</v>
      </c>
      <c r="L173" t="str" cm="1">
        <f t="array" ref="L173">sentimentCategory(K173)</f>
        <v>Neutral</v>
      </c>
    </row>
    <row r="174" spans="1:12" x14ac:dyDescent="0.25">
      <c r="A174" t="s">
        <v>294</v>
      </c>
      <c r="B174" t="s">
        <v>295</v>
      </c>
      <c r="C174" t="str" cm="1">
        <f t="array" ref="C174">CleanText(B174)</f>
        <v>nanlmaz bir film</v>
      </c>
      <c r="D174">
        <v>0</v>
      </c>
      <c r="E174">
        <v>0</v>
      </c>
      <c r="F174" t="s">
        <v>10</v>
      </c>
      <c r="G174" t="str" cm="1">
        <f t="array" ref="G174">FindCountryName(F174)</f>
        <v>None</v>
      </c>
      <c r="H174" s="3">
        <v>45322.406307870369</v>
      </c>
      <c r="I174" s="3">
        <v>45322.406307870369</v>
      </c>
      <c r="J174" s="3">
        <v>43164.604571759257</v>
      </c>
      <c r="K174" cm="1">
        <f t="array" ref="K174">sentimentCalc(C174)</f>
        <v>0</v>
      </c>
      <c r="L174" t="str" cm="1">
        <f t="array" ref="L174">sentimentCategory(K174)</f>
        <v>Neutral</v>
      </c>
    </row>
    <row r="175" spans="1:12" x14ac:dyDescent="0.25">
      <c r="A175" t="s">
        <v>66</v>
      </c>
      <c r="B175" t="s">
        <v>941</v>
      </c>
      <c r="C175" t="str" cm="1">
        <f t="array" ref="C175">CleanText(B175)</f>
        <v>nanlmaz bir film izlemek iin sabrszlan</v>
      </c>
      <c r="D175">
        <v>0</v>
      </c>
      <c r="E175">
        <v>0</v>
      </c>
      <c r="F175" t="s">
        <v>10</v>
      </c>
      <c r="G175" t="str" cm="1">
        <f t="array" ref="G175">FindCountryName(F175)</f>
        <v>None</v>
      </c>
      <c r="H175" s="3">
        <v>45299.260763888888</v>
      </c>
      <c r="I175" s="3">
        <v>45299.260763888888</v>
      </c>
      <c r="J175" s="3">
        <v>43268.445011574076</v>
      </c>
      <c r="K175" cm="1">
        <f t="array" ref="K175">sentimentCalc(C175)</f>
        <v>0</v>
      </c>
      <c r="L175" t="str" cm="1">
        <f t="array" ref="L175">sentimentCategory(K175)</f>
        <v>Neutral</v>
      </c>
    </row>
    <row r="176" spans="1:12" x14ac:dyDescent="0.25">
      <c r="A176" t="s">
        <v>116</v>
      </c>
      <c r="B176" t="s">
        <v>1019</v>
      </c>
      <c r="C176" t="str" cm="1">
        <f t="array" ref="C176">CleanText(B176)</f>
        <v>nanlmaz bir flim ocukluumuzu hatrlatyor</v>
      </c>
      <c r="D176">
        <v>0</v>
      </c>
      <c r="E176">
        <v>0</v>
      </c>
      <c r="F176" t="s">
        <v>10</v>
      </c>
      <c r="G176" t="str" cm="1">
        <f t="array" ref="G176">FindCountryName(F176)</f>
        <v>None</v>
      </c>
      <c r="H176" s="3">
        <v>45299.251157407409</v>
      </c>
      <c r="I176" s="3">
        <v>45299.251157407409</v>
      </c>
      <c r="J176" s="3">
        <v>43859.059583333335</v>
      </c>
      <c r="K176" cm="1">
        <f t="array" ref="K176">sentimentCalc(C176)</f>
        <v>0</v>
      </c>
      <c r="L176" t="str" cm="1">
        <f t="array" ref="L176">sentimentCategory(K176)</f>
        <v>Neutral</v>
      </c>
    </row>
    <row r="177" spans="1:12" x14ac:dyDescent="0.25">
      <c r="A177" t="s">
        <v>38</v>
      </c>
      <c r="B177" t="s">
        <v>733</v>
      </c>
      <c r="C177" t="str" cm="1">
        <f t="array" ref="C177">CleanText(B177)</f>
        <v>nanlmaz iyi sper bu ne fim byle be</v>
      </c>
      <c r="D177">
        <v>0</v>
      </c>
      <c r="E177">
        <v>0</v>
      </c>
      <c r="F177" t="s">
        <v>10</v>
      </c>
      <c r="G177" t="str" cm="1">
        <f t="array" ref="G177">FindCountryName(F177)</f>
        <v>None</v>
      </c>
      <c r="H177" s="3">
        <v>45310.259791666664</v>
      </c>
      <c r="I177" s="3">
        <v>45310.259791666664</v>
      </c>
      <c r="J177" s="3">
        <v>42310.199594907404</v>
      </c>
      <c r="K177" cm="1">
        <f t="array" ref="K177">sentimentCalc(C177)</f>
        <v>0</v>
      </c>
      <c r="L177" t="str" cm="1">
        <f t="array" ref="L177">sentimentCategory(K177)</f>
        <v>Neutral</v>
      </c>
    </row>
    <row r="178" spans="1:12" x14ac:dyDescent="0.25">
      <c r="A178" t="s">
        <v>213</v>
      </c>
      <c r="B178" t="s">
        <v>214</v>
      </c>
      <c r="C178" t="str" cm="1">
        <f t="array" ref="C178">CleanText(B178)</f>
        <v>oooooooookkkklllmm mmmmmmmmmmmmmmmm</v>
      </c>
      <c r="D178">
        <v>0</v>
      </c>
      <c r="E178">
        <v>1</v>
      </c>
      <c r="F178" t="s">
        <v>10</v>
      </c>
      <c r="G178" t="str" cm="1">
        <f t="array" ref="G178">FindCountryName(F178)</f>
        <v>None</v>
      </c>
      <c r="H178" s="3">
        <v>45332.475891203707</v>
      </c>
      <c r="I178" s="3">
        <v>45332.475891203707</v>
      </c>
      <c r="J178" s="3">
        <v>44634.24454861111</v>
      </c>
      <c r="K178" cm="1">
        <f t="array" ref="K178">sentimentCalc(C178)</f>
        <v>0</v>
      </c>
      <c r="L178" t="str" cm="1">
        <f t="array" ref="L178">sentimentCategory(K178)</f>
        <v>Neutral</v>
      </c>
    </row>
    <row r="179" spans="1:12" x14ac:dyDescent="0.25">
      <c r="A179" t="s">
        <v>122</v>
      </c>
      <c r="B179" t="s">
        <v>1000</v>
      </c>
      <c r="C179" t="str" cm="1">
        <f t="array" ref="C179">CleanText(B179)</f>
        <v>ts movie really fantastic for baby</v>
      </c>
      <c r="D179">
        <v>0</v>
      </c>
      <c r="E179">
        <v>0</v>
      </c>
      <c r="F179" t="s">
        <v>10</v>
      </c>
      <c r="G179" t="str" cm="1">
        <f t="array" ref="G179">FindCountryName(F179)</f>
        <v>None</v>
      </c>
      <c r="H179" s="3">
        <v>45299.252418981479</v>
      </c>
      <c r="I179" s="3">
        <v>45299.252418981479</v>
      </c>
      <c r="J179" s="3">
        <v>42246.45045138889</v>
      </c>
      <c r="K179" cm="1">
        <f t="array" ref="K179">sentimentCalc(C179)</f>
        <v>4</v>
      </c>
      <c r="L179" t="str" cm="1">
        <f t="array" ref="L179">sentimentCategory(K179)</f>
        <v>Positive</v>
      </c>
    </row>
    <row r="180" spans="1:12" x14ac:dyDescent="0.25">
      <c r="A180" t="s">
        <v>103</v>
      </c>
      <c r="B180" t="s">
        <v>779</v>
      </c>
      <c r="C180" t="str" cm="1">
        <f t="array" ref="C180">CleanText(B180)</f>
        <v>ts very good and very very very nice</v>
      </c>
      <c r="D180">
        <v>0</v>
      </c>
      <c r="E180">
        <v>0</v>
      </c>
      <c r="F180" t="s">
        <v>10</v>
      </c>
      <c r="G180" t="str" cm="1">
        <f t="array" ref="G180">FindCountryName(F180)</f>
        <v>None</v>
      </c>
      <c r="H180" s="3">
        <v>45308.323194444441</v>
      </c>
      <c r="I180" s="3">
        <v>45308.323194444441</v>
      </c>
      <c r="J180" s="3">
        <v>44412.087106481478</v>
      </c>
      <c r="K180" cm="1">
        <f t="array" ref="K180">sentimentCalc(C180)</f>
        <v>6</v>
      </c>
      <c r="L180" t="str" cm="1">
        <f t="array" ref="L180">sentimentCategory(K180)</f>
        <v>Positive</v>
      </c>
    </row>
    <row r="181" spans="1:12" x14ac:dyDescent="0.25">
      <c r="A181" t="s">
        <v>895</v>
      </c>
      <c r="B181" t="s">
        <v>896</v>
      </c>
      <c r="C181" t="str" cm="1">
        <f t="array" ref="C181">CleanText(B181)</f>
        <v>yi</v>
      </c>
      <c r="D181">
        <v>0</v>
      </c>
      <c r="E181">
        <v>0</v>
      </c>
      <c r="F181" t="s">
        <v>10</v>
      </c>
      <c r="G181" t="str" cm="1">
        <f t="array" ref="G181">FindCountryName(F181)</f>
        <v>None</v>
      </c>
      <c r="H181" s="3">
        <v>45299.311481481483</v>
      </c>
      <c r="I181" s="3">
        <v>45299.311481481483</v>
      </c>
      <c r="J181" s="3">
        <v>41216.379537037035</v>
      </c>
      <c r="K181" cm="1">
        <f t="array" ref="K181">sentimentCalc(C181)</f>
        <v>0</v>
      </c>
      <c r="L181" t="str" cm="1">
        <f t="array" ref="L181">sentimentCategory(K181)</f>
        <v>Neutral</v>
      </c>
    </row>
    <row r="182" spans="1:12" x14ac:dyDescent="0.25">
      <c r="A182" t="s">
        <v>60</v>
      </c>
      <c r="B182" t="s">
        <v>877</v>
      </c>
      <c r="C182" t="str" cm="1">
        <f t="array" ref="C182">CleanText(B182)</f>
        <v>yi bir ey yapyorlar tam kz ocuklar iin</v>
      </c>
      <c r="D182">
        <v>1</v>
      </c>
      <c r="E182">
        <v>0</v>
      </c>
      <c r="F182" t="s">
        <v>10</v>
      </c>
      <c r="G182" t="str" cm="1">
        <f t="array" ref="G182">FindCountryName(F182)</f>
        <v>None</v>
      </c>
      <c r="H182" s="3">
        <v>45299.358090277776</v>
      </c>
      <c r="I182" s="3">
        <v>45299.358090277776</v>
      </c>
      <c r="J182" s="3">
        <v>43485.668530092589</v>
      </c>
      <c r="K182" cm="1">
        <f t="array" ref="K182">sentimentCalc(C182)</f>
        <v>0</v>
      </c>
      <c r="L182" t="str" cm="1">
        <f t="array" ref="L182">sentimentCategory(K182)</f>
        <v>Neutral</v>
      </c>
    </row>
    <row r="183" spans="1:12" x14ac:dyDescent="0.25">
      <c r="A183" t="s">
        <v>122</v>
      </c>
      <c r="B183" t="s">
        <v>328</v>
      </c>
      <c r="C183" t="str" cm="1">
        <f t="array" ref="C183">CleanText(B183)</f>
        <v>zleme ye deer bi filim</v>
      </c>
      <c r="D183">
        <v>0</v>
      </c>
      <c r="E183">
        <v>0</v>
      </c>
      <c r="F183" t="s">
        <v>10</v>
      </c>
      <c r="G183" t="str" cm="1">
        <f t="array" ref="G183">FindCountryName(F183)</f>
        <v>None</v>
      </c>
      <c r="H183" s="3">
        <v>45322.293020833335</v>
      </c>
      <c r="I183" s="3">
        <v>45322.293020833335</v>
      </c>
      <c r="J183" s="3">
        <v>44303.844606481478</v>
      </c>
      <c r="K183" cm="1">
        <f t="array" ref="K183">sentimentCalc(C183)</f>
        <v>0</v>
      </c>
      <c r="L183" t="str" cm="1">
        <f t="array" ref="L183">sentimentCategory(K183)</f>
        <v>Neutral</v>
      </c>
    </row>
    <row r="184" spans="1:12" x14ac:dyDescent="0.25">
      <c r="A184" t="s">
        <v>254</v>
      </c>
      <c r="B184" t="s">
        <v>318</v>
      </c>
      <c r="C184" t="str" cm="1">
        <f t="array" ref="C184">CleanText(B184)</f>
        <v>zlemenizi tavsiye ederim gzel bir film</v>
      </c>
      <c r="D184">
        <v>0</v>
      </c>
      <c r="E184">
        <v>0</v>
      </c>
      <c r="F184" t="s">
        <v>10</v>
      </c>
      <c r="G184" t="str" cm="1">
        <f t="array" ref="G184">FindCountryName(F184)</f>
        <v>None</v>
      </c>
      <c r="H184" s="3">
        <v>45322.315844907411</v>
      </c>
      <c r="I184" s="3">
        <v>45322.315844907411</v>
      </c>
      <c r="J184" s="3">
        <v>42803.566006944442</v>
      </c>
      <c r="K184" cm="1">
        <f t="array" ref="K184">sentimentCalc(C184)</f>
        <v>0</v>
      </c>
      <c r="L184" t="str" cm="1">
        <f t="array" ref="L184">sentimentCategory(K184)</f>
        <v>Neutral</v>
      </c>
    </row>
    <row r="185" spans="1:12" x14ac:dyDescent="0.25">
      <c r="A185" t="s">
        <v>79</v>
      </c>
      <c r="B185" t="s">
        <v>326</v>
      </c>
      <c r="C185" t="str" cm="1">
        <f t="array" ref="C185">CleanText(B185)</f>
        <v>zlenir her nekadar pembe de olsa</v>
      </c>
      <c r="D185">
        <v>0</v>
      </c>
      <c r="E185">
        <v>0</v>
      </c>
      <c r="F185" t="s">
        <v>10</v>
      </c>
      <c r="G185" t="str" cm="1">
        <f t="array" ref="G185">FindCountryName(F185)</f>
        <v>None</v>
      </c>
      <c r="H185" s="3">
        <v>45322.293124999997</v>
      </c>
      <c r="I185" s="3">
        <v>45322.293124999997</v>
      </c>
      <c r="J185" s="3">
        <v>42629.899409722224</v>
      </c>
      <c r="K185" cm="1">
        <f t="array" ref="K185">sentimentCalc(C185)</f>
        <v>0</v>
      </c>
      <c r="L185" t="str" cm="1">
        <f t="array" ref="L185">sentimentCategory(K185)</f>
        <v>Neutral</v>
      </c>
    </row>
    <row r="186" spans="1:12" x14ac:dyDescent="0.25">
      <c r="A186" t="s">
        <v>946</v>
      </c>
      <c r="B186" t="s">
        <v>947</v>
      </c>
      <c r="C186" t="str" cm="1">
        <f t="array" ref="C186">CleanText(B186)</f>
        <v>zlenmeye deer bir film</v>
      </c>
      <c r="D186">
        <v>0</v>
      </c>
      <c r="E186">
        <v>0</v>
      </c>
      <c r="F186" t="s">
        <v>10</v>
      </c>
      <c r="G186" t="str" cm="1">
        <f t="array" ref="G186">FindCountryName(F186)</f>
        <v>None</v>
      </c>
      <c r="H186" s="3">
        <v>45299.259143518517</v>
      </c>
      <c r="I186" s="3">
        <v>45299.259143518517</v>
      </c>
      <c r="J186" s="3">
        <v>45133.485833333332</v>
      </c>
      <c r="K186" cm="1">
        <f t="array" ref="K186">sentimentCalc(C186)</f>
        <v>0</v>
      </c>
      <c r="L186" t="str" cm="1">
        <f t="array" ref="L186">sentimentCategory(K186)</f>
        <v>Neutral</v>
      </c>
    </row>
    <row r="187" spans="1:12" x14ac:dyDescent="0.25">
      <c r="A187" t="s">
        <v>367</v>
      </c>
      <c r="B187" t="s">
        <v>368</v>
      </c>
      <c r="C187" t="str" cm="1">
        <f t="array" ref="C187">CleanText(B187)</f>
        <v>zlenmeye deer gzel bir film</v>
      </c>
      <c r="D187">
        <v>0</v>
      </c>
      <c r="E187">
        <v>0</v>
      </c>
      <c r="F187" t="s">
        <v>10</v>
      </c>
      <c r="G187" t="str" cm="1">
        <f t="array" ref="G187">FindCountryName(F187)</f>
        <v>None</v>
      </c>
      <c r="H187" s="3">
        <v>45322.274606481478</v>
      </c>
      <c r="I187" s="3">
        <v>45322.274606481478</v>
      </c>
      <c r="J187" s="3">
        <v>41143.285428240742</v>
      </c>
      <c r="K187" cm="1">
        <f t="array" ref="K187">sentimentCalc(C187)</f>
        <v>0</v>
      </c>
      <c r="L187" t="str" cm="1">
        <f t="array" ref="L187">sentimentCategory(K187)</f>
        <v>Neutral</v>
      </c>
    </row>
    <row r="188" spans="1:12" x14ac:dyDescent="0.25">
      <c r="A188" t="s">
        <v>1210</v>
      </c>
      <c r="B188" t="s">
        <v>4214</v>
      </c>
      <c r="C188" t="str" cm="1">
        <f t="array" ref="C188">CleanText(B188)</f>
        <v>n</v>
      </c>
      <c r="D188">
        <v>2</v>
      </c>
      <c r="E188">
        <v>0</v>
      </c>
      <c r="F188" t="s">
        <v>10</v>
      </c>
      <c r="G188" t="str" cm="1">
        <f t="array" ref="G188">FindCountryName(F188)</f>
        <v>None</v>
      </c>
      <c r="H188" s="3">
        <v>45141.865046296298</v>
      </c>
      <c r="I188" s="3">
        <v>45141.865046296298</v>
      </c>
      <c r="J188" s="3">
        <v>42894.098761574074</v>
      </c>
      <c r="K188" cm="1">
        <f t="array" ref="K188">sentimentCalc(C188)</f>
        <v>0</v>
      </c>
      <c r="L188" t="str" cm="1">
        <f t="array" ref="L188">sentimentCategory(K188)</f>
        <v>Neutral</v>
      </c>
    </row>
    <row r="189" spans="1:12" x14ac:dyDescent="0.25">
      <c r="A189" t="s">
        <v>883</v>
      </c>
      <c r="B189" t="s">
        <v>4476</v>
      </c>
      <c r="C189" t="str" cm="1">
        <f t="array" ref="C189">CleanText(B189)</f>
        <v>n</v>
      </c>
      <c r="D189">
        <v>24</v>
      </c>
      <c r="E189">
        <v>1</v>
      </c>
      <c r="F189" t="s">
        <v>10</v>
      </c>
      <c r="G189" t="str" cm="1">
        <f t="array" ref="G189">FindCountryName(F189)</f>
        <v>None</v>
      </c>
      <c r="H189" s="3">
        <v>45140.03229166667</v>
      </c>
      <c r="I189" s="3">
        <v>45140.03229166667</v>
      </c>
      <c r="J189" s="3">
        <v>41793.289560185185</v>
      </c>
      <c r="K189" cm="1">
        <f t="array" ref="K189">sentimentCalc(C189)</f>
        <v>0</v>
      </c>
      <c r="L189" t="str" cm="1">
        <f t="array" ref="L189">sentimentCategory(K189)</f>
        <v>Neutral</v>
      </c>
    </row>
    <row r="190" spans="1:12" x14ac:dyDescent="0.25">
      <c r="A190" t="s">
        <v>90</v>
      </c>
      <c r="B190" t="s">
        <v>791</v>
      </c>
      <c r="C190" t="str" cm="1">
        <f t="array" ref="C190">CleanText(B190)</f>
        <v>izgi dizilerin gerek hayatla birleimi gibi</v>
      </c>
      <c r="D190">
        <v>0</v>
      </c>
      <c r="E190">
        <v>0</v>
      </c>
      <c r="F190" t="s">
        <v>10</v>
      </c>
      <c r="G190" t="str" cm="1">
        <f t="array" ref="G190">FindCountryName(F190)</f>
        <v>None</v>
      </c>
      <c r="H190" s="3">
        <v>45308.252743055556</v>
      </c>
      <c r="I190" s="3">
        <v>45308.252743055556</v>
      </c>
      <c r="J190" s="3">
        <v>43824.634050925924</v>
      </c>
      <c r="K190" cm="1">
        <f t="array" ref="K190">sentimentCalc(C190)</f>
        <v>0</v>
      </c>
      <c r="L190" t="str" cm="1">
        <f t="array" ref="L190">sentimentCategory(K190)</f>
        <v>Neutral</v>
      </c>
    </row>
    <row r="191" spans="1:12" x14ac:dyDescent="0.25">
      <c r="A191" t="s">
        <v>228</v>
      </c>
      <c r="B191" t="s">
        <v>747</v>
      </c>
      <c r="C191" t="str" cm="1">
        <f t="array" ref="C191">CleanText(B191)</f>
        <v>ocuumla beenerek izledik tekrarda izlicez gibi grnyor</v>
      </c>
      <c r="D191">
        <v>0</v>
      </c>
      <c r="E191">
        <v>0</v>
      </c>
      <c r="F191" t="s">
        <v>10</v>
      </c>
      <c r="G191" t="str" cm="1">
        <f t="array" ref="G191">FindCountryName(F191)</f>
        <v>None</v>
      </c>
      <c r="H191" s="3">
        <v>45310.252372685187</v>
      </c>
      <c r="I191" s="3">
        <v>45310.252372685187</v>
      </c>
      <c r="J191" s="3">
        <v>45310.252349537041</v>
      </c>
      <c r="K191" cm="1">
        <f t="array" ref="K191">sentimentCalc(C191)</f>
        <v>0</v>
      </c>
      <c r="L191" t="str" cm="1">
        <f t="array" ref="L191">sentimentCategory(K191)</f>
        <v>Neutral</v>
      </c>
    </row>
    <row r="192" spans="1:12" x14ac:dyDescent="0.25">
      <c r="A192" t="s">
        <v>103</v>
      </c>
      <c r="B192" t="s">
        <v>104</v>
      </c>
      <c r="C192" t="str" cm="1">
        <f t="array" ref="C192">CleanText(B192)</f>
        <v>ocuklarm severek izliyor</v>
      </c>
      <c r="D192">
        <v>0</v>
      </c>
      <c r="E192">
        <v>0</v>
      </c>
      <c r="F192" t="s">
        <v>10</v>
      </c>
      <c r="G192" t="str" cm="1">
        <f t="array" ref="G192">FindCountryName(F192)</f>
        <v>None</v>
      </c>
      <c r="H192" s="3">
        <v>45337.533020833333</v>
      </c>
      <c r="I192" s="3">
        <v>45337.533020833333</v>
      </c>
      <c r="J192" s="3">
        <v>42846.67292824074</v>
      </c>
      <c r="K192" cm="1">
        <f t="array" ref="K192">sentimentCalc(C192)</f>
        <v>0</v>
      </c>
      <c r="L192" t="str" cm="1">
        <f t="array" ref="L192">sentimentCategory(K192)</f>
        <v>Neutral</v>
      </c>
    </row>
    <row r="193" spans="1:12" x14ac:dyDescent="0.25">
      <c r="A193" t="s">
        <v>114</v>
      </c>
      <c r="B193" t="s">
        <v>168</v>
      </c>
      <c r="C193" t="str" cm="1">
        <f t="array" ref="C193">CleanText(B193)</f>
        <v>ocuklarmz icn efsane bir film</v>
      </c>
      <c r="D193">
        <v>0</v>
      </c>
      <c r="E193">
        <v>0</v>
      </c>
      <c r="F193" t="s">
        <v>10</v>
      </c>
      <c r="G193" t="str" cm="1">
        <f t="array" ref="G193">FindCountryName(F193)</f>
        <v>None</v>
      </c>
      <c r="H193" s="3">
        <v>45337.458599537036</v>
      </c>
      <c r="I193" s="3">
        <v>45337.458599537036</v>
      </c>
      <c r="J193" s="3">
        <v>44421.519421296296</v>
      </c>
      <c r="K193" cm="1">
        <f t="array" ref="K193">sentimentCalc(C193)</f>
        <v>0</v>
      </c>
      <c r="L193" t="str" cm="1">
        <f t="array" ref="L193">sentimentCategory(K193)</f>
        <v>Neutral</v>
      </c>
    </row>
    <row r="194" spans="1:12" x14ac:dyDescent="0.25">
      <c r="A194" t="s">
        <v>566</v>
      </c>
      <c r="B194" t="s">
        <v>567</v>
      </c>
      <c r="C194" t="str" cm="1">
        <f t="array" ref="C194">CleanText(B194)</f>
        <v>ocukluumun hayaliydi bu filim severek izledim ok iyiy</v>
      </c>
      <c r="D194">
        <v>0</v>
      </c>
      <c r="E194">
        <v>0</v>
      </c>
      <c r="F194" t="s">
        <v>10</v>
      </c>
      <c r="G194" t="str" cm="1">
        <f t="array" ref="G194">FindCountryName(F194)</f>
        <v>None</v>
      </c>
      <c r="H194" s="3">
        <v>45317.273206018515</v>
      </c>
      <c r="I194" s="3">
        <v>45317.273206018515</v>
      </c>
      <c r="J194" s="3">
        <v>43349.472951388889</v>
      </c>
      <c r="K194" cm="1">
        <f t="array" ref="K194">sentimentCalc(C194)</f>
        <v>0</v>
      </c>
      <c r="L194" t="str" cm="1">
        <f t="array" ref="L194">sentimentCategory(K194)</f>
        <v>Neutral</v>
      </c>
    </row>
    <row r="195" spans="1:12" x14ac:dyDescent="0.25">
      <c r="A195" t="s">
        <v>118</v>
      </c>
      <c r="B195" t="s">
        <v>393</v>
      </c>
      <c r="C195" t="str" cm="1">
        <f t="array" ref="C195">CleanText(B195)</f>
        <v>ok anlaml elenceli film</v>
      </c>
      <c r="D195">
        <v>0</v>
      </c>
      <c r="E195">
        <v>0</v>
      </c>
      <c r="F195" t="s">
        <v>10</v>
      </c>
      <c r="G195" t="str" cm="1">
        <f t="array" ref="G195">FindCountryName(F195)</f>
        <v>None</v>
      </c>
      <c r="H195" s="3">
        <v>45322.272789351853</v>
      </c>
      <c r="I195" s="3">
        <v>45322.272789351853</v>
      </c>
      <c r="J195" s="3">
        <v>43672.416342592594</v>
      </c>
      <c r="K195" cm="1">
        <f t="array" ref="K195">sentimentCalc(C195)</f>
        <v>0</v>
      </c>
      <c r="L195" t="str" cm="1">
        <f t="array" ref="L195">sentimentCategory(K195)</f>
        <v>Neutral</v>
      </c>
    </row>
    <row r="196" spans="1:12" x14ac:dyDescent="0.25">
      <c r="A196" t="s">
        <v>412</v>
      </c>
      <c r="B196" t="s">
        <v>413</v>
      </c>
      <c r="C196" t="str" cm="1">
        <f t="array" ref="C196">CleanText(B196)</f>
        <v>ok baarili bir yapim</v>
      </c>
      <c r="D196">
        <v>0</v>
      </c>
      <c r="E196">
        <v>0</v>
      </c>
      <c r="F196" t="s">
        <v>10</v>
      </c>
      <c r="G196" t="str" cm="1">
        <f t="array" ref="G196">FindCountryName(F196)</f>
        <v>None</v>
      </c>
      <c r="H196" s="3">
        <v>45322.27238425926</v>
      </c>
      <c r="I196" s="3">
        <v>45322.27238425926</v>
      </c>
      <c r="J196" s="3">
        <v>44353.250150462962</v>
      </c>
      <c r="K196" cm="1">
        <f t="array" ref="K196">sentimentCalc(C196)</f>
        <v>0</v>
      </c>
      <c r="L196" t="str" cm="1">
        <f t="array" ref="L196">sentimentCategory(K196)</f>
        <v>Neutral</v>
      </c>
    </row>
    <row r="197" spans="1:12" x14ac:dyDescent="0.25">
      <c r="A197" t="s">
        <v>942</v>
      </c>
      <c r="B197" t="s">
        <v>943</v>
      </c>
      <c r="C197" t="str" cm="1">
        <f t="array" ref="C197">CleanText(B197)</f>
        <v>ok beendim gayet gzel film</v>
      </c>
      <c r="D197">
        <v>0</v>
      </c>
      <c r="E197">
        <v>0</v>
      </c>
      <c r="F197" t="s">
        <v>139</v>
      </c>
      <c r="G197" t="str" cm="1">
        <f t="array" ref="G197">FindCountryName(F197)</f>
        <v>Turkey</v>
      </c>
      <c r="H197" s="3">
        <v>45299.259768518517</v>
      </c>
      <c r="I197" s="3">
        <v>45299.259768518517</v>
      </c>
      <c r="J197" s="3">
        <v>42131.198518518519</v>
      </c>
      <c r="K197" cm="1">
        <f t="array" ref="K197">sentimentCalc(C197)</f>
        <v>0</v>
      </c>
      <c r="L197" t="str" cm="1">
        <f t="array" ref="L197">sentimentCategory(K197)</f>
        <v>Neutral</v>
      </c>
    </row>
    <row r="198" spans="1:12" x14ac:dyDescent="0.25">
      <c r="A198" t="s">
        <v>205</v>
      </c>
      <c r="B198" t="s">
        <v>744</v>
      </c>
      <c r="C198" t="str" cm="1">
        <f t="array" ref="C198">CleanText(B198)</f>
        <v>ok beendim harika olmu merakla bekliyorum</v>
      </c>
      <c r="D198">
        <v>0</v>
      </c>
      <c r="E198">
        <v>0</v>
      </c>
      <c r="F198" t="s">
        <v>10</v>
      </c>
      <c r="G198" t="str" cm="1">
        <f t="array" ref="G198">FindCountryName(F198)</f>
        <v>None</v>
      </c>
      <c r="H198" s="3">
        <v>45310.253483796296</v>
      </c>
      <c r="I198" s="3">
        <v>45310.253483796296</v>
      </c>
      <c r="J198" s="3">
        <v>42637.641458333332</v>
      </c>
      <c r="K198" cm="1">
        <f t="array" ref="K198">sentimentCalc(C198)</f>
        <v>0</v>
      </c>
      <c r="L198" t="str" cm="1">
        <f t="array" ref="L198">sentimentCategory(K198)</f>
        <v>Neutral</v>
      </c>
    </row>
    <row r="199" spans="1:12" x14ac:dyDescent="0.25">
      <c r="A199" t="s">
        <v>635</v>
      </c>
      <c r="B199" t="s">
        <v>636</v>
      </c>
      <c r="C199" t="str" cm="1">
        <f t="array" ref="C199">CleanText(B199)</f>
        <v>ok beendim herkese tavsiye ederim</v>
      </c>
      <c r="D199">
        <v>0</v>
      </c>
      <c r="E199">
        <v>0</v>
      </c>
      <c r="F199" t="s">
        <v>10</v>
      </c>
      <c r="G199" t="str" cm="1">
        <f t="array" ref="G199">FindCountryName(F199)</f>
        <v>None</v>
      </c>
      <c r="H199" s="3">
        <v>45314.487592592595</v>
      </c>
      <c r="I199" s="3">
        <v>45314.487592592595</v>
      </c>
      <c r="J199" s="3">
        <v>42410.383148148147</v>
      </c>
      <c r="K199" cm="1">
        <f t="array" ref="K199">sentimentCalc(C199)</f>
        <v>0</v>
      </c>
      <c r="L199" t="str" cm="1">
        <f t="array" ref="L199">sentimentCategory(K199)</f>
        <v>Neutral</v>
      </c>
    </row>
    <row r="200" spans="1:12" x14ac:dyDescent="0.25">
      <c r="A200" t="s">
        <v>1016</v>
      </c>
      <c r="B200" t="s">
        <v>1017</v>
      </c>
      <c r="C200" t="str" cm="1">
        <f t="array" ref="C200">CleanText(B200)</f>
        <v>ok deiik ve gzel bir film</v>
      </c>
      <c r="D200">
        <v>0</v>
      </c>
      <c r="E200">
        <v>0</v>
      </c>
      <c r="F200" t="s">
        <v>10</v>
      </c>
      <c r="G200" t="str" cm="1">
        <f t="array" ref="G200">FindCountryName(F200)</f>
        <v>None</v>
      </c>
      <c r="H200" s="3">
        <v>45299.251608796294</v>
      </c>
      <c r="I200" s="3">
        <v>45299.251608796294</v>
      </c>
      <c r="J200" s="3">
        <v>45031.634953703702</v>
      </c>
      <c r="K200" cm="1">
        <f t="array" ref="K200">sentimentCalc(C200)</f>
        <v>0</v>
      </c>
      <c r="L200" t="str" cm="1">
        <f t="array" ref="L200">sentimentCategory(K200)</f>
        <v>Neutral</v>
      </c>
    </row>
    <row r="201" spans="1:12" x14ac:dyDescent="0.25">
      <c r="A201" t="s">
        <v>405</v>
      </c>
      <c r="B201" t="s">
        <v>927</v>
      </c>
      <c r="C201" t="str" cm="1">
        <f t="array" ref="C201">CleanText(B201)</f>
        <v>ok elenceli</v>
      </c>
      <c r="D201">
        <v>0</v>
      </c>
      <c r="E201">
        <v>0</v>
      </c>
      <c r="F201" t="s">
        <v>10</v>
      </c>
      <c r="G201" t="str" cm="1">
        <f t="array" ref="G201">FindCountryName(F201)</f>
        <v>None</v>
      </c>
      <c r="H201" s="3">
        <v>45299.265081018515</v>
      </c>
      <c r="I201" s="3">
        <v>45299.265081018515</v>
      </c>
      <c r="J201" s="3">
        <v>45299.263761574075</v>
      </c>
      <c r="K201" cm="1">
        <f t="array" ref="K201">sentimentCalc(C201)</f>
        <v>0</v>
      </c>
      <c r="L201" t="str" cm="1">
        <f t="array" ref="L201">sentimentCategory(K201)</f>
        <v>Neutral</v>
      </c>
    </row>
    <row r="202" spans="1:12" x14ac:dyDescent="0.25">
      <c r="A202" t="s">
        <v>197</v>
      </c>
      <c r="B202" t="s">
        <v>969</v>
      </c>
      <c r="C202" t="str" cm="1">
        <f t="array" ref="C202">CleanText(B202)</f>
        <v>ok elenceli</v>
      </c>
      <c r="D202">
        <v>0</v>
      </c>
      <c r="E202">
        <v>0</v>
      </c>
      <c r="F202" t="s">
        <v>10</v>
      </c>
      <c r="G202" t="str" cm="1">
        <f t="array" ref="G202">FindCountryName(F202)</f>
        <v>None</v>
      </c>
      <c r="H202" s="3">
        <v>45299.254594907405</v>
      </c>
      <c r="I202" s="3">
        <v>45299.254594907405</v>
      </c>
      <c r="J202" s="3">
        <v>44172.420046296298</v>
      </c>
      <c r="K202" cm="1">
        <f t="array" ref="K202">sentimentCalc(C202)</f>
        <v>0</v>
      </c>
      <c r="L202" t="str" cm="1">
        <f t="array" ref="L202">sentimentCategory(K202)</f>
        <v>Neutral</v>
      </c>
    </row>
    <row r="203" spans="1:12" x14ac:dyDescent="0.25">
      <c r="A203" t="s">
        <v>110</v>
      </c>
      <c r="B203" t="s">
        <v>111</v>
      </c>
      <c r="C203" t="str" cm="1">
        <f t="array" ref="C203">CleanText(B203)</f>
        <v>ok elenceli pozitif bir yayn olmukomik renkli oyuncular daha iyi severek ve elenerek izleyeceksiniz</v>
      </c>
      <c r="D203">
        <v>0</v>
      </c>
      <c r="E203">
        <v>0</v>
      </c>
      <c r="F203" t="s">
        <v>10</v>
      </c>
      <c r="G203" t="str" cm="1">
        <f t="array" ref="G203">FindCountryName(F203)</f>
        <v>None</v>
      </c>
      <c r="H203" s="3">
        <v>45337.484768518516</v>
      </c>
      <c r="I203" s="3">
        <v>45337.484768518516</v>
      </c>
      <c r="J203" s="3">
        <v>44908.322118055556</v>
      </c>
      <c r="K203" cm="1">
        <f t="array" ref="K203">sentimentCalc(C203)</f>
        <v>0</v>
      </c>
      <c r="L203" t="str" cm="1">
        <f t="array" ref="L203">sentimentCategory(K203)</f>
        <v>Neutral</v>
      </c>
    </row>
    <row r="204" spans="1:12" x14ac:dyDescent="0.25">
      <c r="A204" t="s">
        <v>720</v>
      </c>
      <c r="B204" t="s">
        <v>978</v>
      </c>
      <c r="C204" t="str" cm="1">
        <f t="array" ref="C204">CleanText(B204)</f>
        <v>ok elenceli ve gzel izlemenizi neririm</v>
      </c>
      <c r="D204">
        <v>0</v>
      </c>
      <c r="E204">
        <v>0</v>
      </c>
      <c r="F204" t="s">
        <v>10</v>
      </c>
      <c r="G204" t="str" cm="1">
        <f t="array" ref="G204">FindCountryName(F204)</f>
        <v>None</v>
      </c>
      <c r="H204" s="3">
        <v>45299.253564814811</v>
      </c>
      <c r="I204" s="3">
        <v>45299.253564814811</v>
      </c>
      <c r="J204" s="3">
        <v>43943.007384259261</v>
      </c>
      <c r="K204" cm="1">
        <f t="array" ref="K204">sentimentCalc(C204)</f>
        <v>0</v>
      </c>
      <c r="L204" t="str" cm="1">
        <f t="array" ref="L204">sentimentCategory(K204)</f>
        <v>Neutral</v>
      </c>
    </row>
    <row r="205" spans="1:12" x14ac:dyDescent="0.25">
      <c r="A205" t="s">
        <v>400</v>
      </c>
      <c r="B205" t="s">
        <v>982</v>
      </c>
      <c r="C205" t="str" cm="1">
        <f t="array" ref="C205">CleanText(B205)</f>
        <v>ok gzel</v>
      </c>
      <c r="D205">
        <v>0</v>
      </c>
      <c r="E205">
        <v>0</v>
      </c>
      <c r="F205" t="s">
        <v>10</v>
      </c>
      <c r="G205" t="str" cm="1">
        <f t="array" ref="G205">FindCountryName(F205)</f>
        <v>None</v>
      </c>
      <c r="H205" s="3">
        <v>45299.253483796296</v>
      </c>
      <c r="I205" s="3">
        <v>45299.253483796296</v>
      </c>
      <c r="J205" s="3">
        <v>44219.384293981479</v>
      </c>
      <c r="K205" cm="1">
        <f t="array" ref="K205">sentimentCalc(C205)</f>
        <v>0</v>
      </c>
      <c r="L205" t="str" cm="1">
        <f t="array" ref="L205">sentimentCategory(K205)</f>
        <v>Neutral</v>
      </c>
    </row>
    <row r="206" spans="1:12" x14ac:dyDescent="0.25">
      <c r="A206" t="s">
        <v>85</v>
      </c>
      <c r="B206" t="s">
        <v>86</v>
      </c>
      <c r="C206" t="str" cm="1">
        <f t="array" ref="C206">CleanText(B206)</f>
        <v>ok gzel</v>
      </c>
      <c r="D206">
        <v>0</v>
      </c>
      <c r="E206">
        <v>0</v>
      </c>
      <c r="F206" t="s">
        <v>10</v>
      </c>
      <c r="G206" t="str" cm="1">
        <f t="array" ref="G206">FindCountryName(F206)</f>
        <v>None</v>
      </c>
      <c r="H206" s="3">
        <v>45338.26054398148</v>
      </c>
      <c r="I206" s="3">
        <v>45338.26054398148</v>
      </c>
      <c r="J206" s="3">
        <v>40817.467152777775</v>
      </c>
      <c r="K206" cm="1">
        <f t="array" ref="K206">sentimentCalc(C206)</f>
        <v>0</v>
      </c>
      <c r="L206" t="str" cm="1">
        <f t="array" ref="L206">sentimentCategory(K206)</f>
        <v>Neutral</v>
      </c>
    </row>
    <row r="207" spans="1:12" x14ac:dyDescent="0.25">
      <c r="A207" t="s">
        <v>382</v>
      </c>
      <c r="B207" t="s">
        <v>649</v>
      </c>
      <c r="C207" t="str" cm="1">
        <f t="array" ref="C207">CleanText(B207)</f>
        <v>ok gzel ar beendim muhteem bir film bayldm</v>
      </c>
      <c r="D207">
        <v>0</v>
      </c>
      <c r="E207">
        <v>0</v>
      </c>
      <c r="F207" t="s">
        <v>10</v>
      </c>
      <c r="G207" t="str" cm="1">
        <f t="array" ref="G207">FindCountryName(F207)</f>
        <v>None</v>
      </c>
      <c r="H207" s="3">
        <v>45314.282511574071</v>
      </c>
      <c r="I207" s="3">
        <v>45314.282511574071</v>
      </c>
      <c r="J207" s="3">
        <v>45314.254594907405</v>
      </c>
      <c r="K207" cm="1">
        <f t="array" ref="K207">sentimentCalc(C207)</f>
        <v>0</v>
      </c>
      <c r="L207" t="str" cm="1">
        <f t="array" ref="L207">sentimentCategory(K207)</f>
        <v>Neutral</v>
      </c>
    </row>
    <row r="208" spans="1:12" x14ac:dyDescent="0.25">
      <c r="A208" t="s">
        <v>465</v>
      </c>
      <c r="B208" t="s">
        <v>540</v>
      </c>
      <c r="C208" t="str" cm="1">
        <f t="array" ref="C208">CleanText(B208)</f>
        <v>ok gzel barbiiiie</v>
      </c>
      <c r="D208">
        <v>0</v>
      </c>
      <c r="E208">
        <v>0</v>
      </c>
      <c r="F208" t="s">
        <v>10</v>
      </c>
      <c r="G208" t="str" cm="1">
        <f t="array" ref="G208">FindCountryName(F208)</f>
        <v>None</v>
      </c>
      <c r="H208" s="3">
        <v>45317.277777777781</v>
      </c>
      <c r="I208" s="3">
        <v>45317.277777777781</v>
      </c>
      <c r="J208" s="3">
        <v>44226.53297453704</v>
      </c>
      <c r="K208" cm="1">
        <f t="array" ref="K208">sentimentCalc(C208)</f>
        <v>0</v>
      </c>
      <c r="L208" t="str" cm="1">
        <f t="array" ref="L208">sentimentCategory(K208)</f>
        <v>Neutral</v>
      </c>
    </row>
    <row r="209" spans="1:12" x14ac:dyDescent="0.25">
      <c r="A209" t="s">
        <v>988</v>
      </c>
      <c r="B209" t="s">
        <v>989</v>
      </c>
      <c r="C209" t="str" cm="1">
        <f t="array" ref="C209">CleanText(B209)</f>
        <v>ok gzel bi video baarl ben vok begendim hadi hayrls</v>
      </c>
      <c r="D209">
        <v>0</v>
      </c>
      <c r="E209">
        <v>0</v>
      </c>
      <c r="F209" t="s">
        <v>10</v>
      </c>
      <c r="G209" t="str" cm="1">
        <f t="array" ref="G209">FindCountryName(F209)</f>
        <v>None</v>
      </c>
      <c r="H209" s="3">
        <v>45299.252962962964</v>
      </c>
      <c r="I209" s="3">
        <v>45299.252962962964</v>
      </c>
      <c r="J209" s="3">
        <v>45010.72859953704</v>
      </c>
      <c r="K209" cm="1">
        <f t="array" ref="K209">sentimentCalc(C209)</f>
        <v>0</v>
      </c>
      <c r="L209" t="str" cm="1">
        <f t="array" ref="L209">sentimentCategory(K209)</f>
        <v>Neutral</v>
      </c>
    </row>
    <row r="210" spans="1:12" x14ac:dyDescent="0.25">
      <c r="A210" t="s">
        <v>412</v>
      </c>
      <c r="B210" t="s">
        <v>726</v>
      </c>
      <c r="C210" t="str" cm="1">
        <f t="array" ref="C210">CleanText(B210)</f>
        <v>ok gzel bi video teekkr ederim</v>
      </c>
      <c r="D210">
        <v>0</v>
      </c>
      <c r="E210">
        <v>0</v>
      </c>
      <c r="F210" t="s">
        <v>10</v>
      </c>
      <c r="G210" t="str" cm="1">
        <f t="array" ref="G210">FindCountryName(F210)</f>
        <v>None</v>
      </c>
      <c r="H210" s="3">
        <v>45310.295451388891</v>
      </c>
      <c r="I210" s="3">
        <v>45310.295451388891</v>
      </c>
      <c r="J210" s="3">
        <v>44153.657673611109</v>
      </c>
      <c r="K210" cm="1">
        <f t="array" ref="K210">sentimentCalc(C210)</f>
        <v>0</v>
      </c>
      <c r="L210" t="str" cm="1">
        <f t="array" ref="L210">sentimentCategory(K210)</f>
        <v>Neutral</v>
      </c>
    </row>
    <row r="211" spans="1:12" x14ac:dyDescent="0.25">
      <c r="A211" t="s">
        <v>66</v>
      </c>
      <c r="B211" t="s">
        <v>374</v>
      </c>
      <c r="C211" t="str" cm="1">
        <f t="array" ref="C211">CleanText(B211)</f>
        <v>ok gzel bir film</v>
      </c>
      <c r="D211">
        <v>0</v>
      </c>
      <c r="E211">
        <v>0</v>
      </c>
      <c r="F211" t="s">
        <v>10</v>
      </c>
      <c r="G211" t="str" cm="1">
        <f t="array" ref="G211">FindCountryName(F211)</f>
        <v>None</v>
      </c>
      <c r="H211" s="3">
        <v>45322.274189814816</v>
      </c>
      <c r="I211" s="3">
        <v>45322.274189814816</v>
      </c>
      <c r="J211" s="3">
        <v>41674.401342592595</v>
      </c>
      <c r="K211" cm="1">
        <f t="array" ref="K211">sentimentCalc(C211)</f>
        <v>0</v>
      </c>
      <c r="L211" t="str" cm="1">
        <f t="array" ref="L211">sentimentCategory(K211)</f>
        <v>Neutral</v>
      </c>
    </row>
    <row r="212" spans="1:12" x14ac:dyDescent="0.25">
      <c r="A212" t="s">
        <v>360</v>
      </c>
      <c r="B212" t="s">
        <v>911</v>
      </c>
      <c r="C212" t="str" cm="1">
        <f t="array" ref="C212">CleanText(B212)</f>
        <v>ok gzel bir film herkese kesinlikle tavsiye ederim</v>
      </c>
      <c r="D212">
        <v>0</v>
      </c>
      <c r="E212">
        <v>0</v>
      </c>
      <c r="F212" t="s">
        <v>10</v>
      </c>
      <c r="G212" t="str" cm="1">
        <f t="array" ref="G212">FindCountryName(F212)</f>
        <v>None</v>
      </c>
      <c r="H212" s="3">
        <v>45299.280532407407</v>
      </c>
      <c r="I212" s="3">
        <v>45299.280532407407</v>
      </c>
      <c r="J212" s="3">
        <v>44270.601550925923</v>
      </c>
      <c r="K212" cm="1">
        <f t="array" ref="K212">sentimentCalc(C212)</f>
        <v>0</v>
      </c>
      <c r="L212" t="str" cm="1">
        <f t="array" ref="L212">sentimentCategory(K212)</f>
        <v>Neutral</v>
      </c>
    </row>
    <row r="213" spans="1:12" x14ac:dyDescent="0.25">
      <c r="A213" t="s">
        <v>930</v>
      </c>
      <c r="B213" t="s">
        <v>931</v>
      </c>
      <c r="C213" t="str" cm="1">
        <f t="array" ref="C213">CleanText(B213)</f>
        <v>ok gzel bir film izlemenizi tavsiye ederim</v>
      </c>
      <c r="D213">
        <v>0</v>
      </c>
      <c r="E213">
        <v>0</v>
      </c>
      <c r="F213" t="s">
        <v>10</v>
      </c>
      <c r="G213" t="str" cm="1">
        <f t="array" ref="G213">FindCountryName(F213)</f>
        <v>None</v>
      </c>
      <c r="H213" s="3">
        <v>45299.264664351853</v>
      </c>
      <c r="I213" s="3">
        <v>45299.264664351853</v>
      </c>
      <c r="J213" s="3">
        <v>43135.415381944447</v>
      </c>
      <c r="K213" cm="1">
        <f t="array" ref="K213">sentimentCalc(C213)</f>
        <v>0</v>
      </c>
      <c r="L213" t="str" cm="1">
        <f t="array" ref="L213">sentimentCategory(K213)</f>
        <v>Neutral</v>
      </c>
    </row>
    <row r="214" spans="1:12" x14ac:dyDescent="0.25">
      <c r="A214" t="s">
        <v>912</v>
      </c>
      <c r="B214" t="s">
        <v>1023</v>
      </c>
      <c r="C214" t="str" cm="1">
        <f t="array" ref="C214">CleanText(B214)</f>
        <v>ok gzel bir film mutlaka izlemenizi tavsiye ederim</v>
      </c>
      <c r="D214">
        <v>0</v>
      </c>
      <c r="E214">
        <v>0</v>
      </c>
      <c r="F214" t="s">
        <v>10</v>
      </c>
      <c r="G214" t="str" cm="1">
        <f t="array" ref="G214">FindCountryName(F214)</f>
        <v>None</v>
      </c>
      <c r="H214" s="3">
        <v>45299.250740740739</v>
      </c>
      <c r="I214" s="3">
        <v>45299.250740740739</v>
      </c>
      <c r="J214" s="3">
        <v>43782.017650462964</v>
      </c>
      <c r="K214" cm="1">
        <f t="array" ref="K214">sentimentCalc(C214)</f>
        <v>0</v>
      </c>
      <c r="L214" t="str" cm="1">
        <f t="array" ref="L214">sentimentCategory(K214)</f>
        <v>Neutral</v>
      </c>
    </row>
    <row r="215" spans="1:12" x14ac:dyDescent="0.25">
      <c r="A215" t="s">
        <v>358</v>
      </c>
      <c r="B215" t="s">
        <v>990</v>
      </c>
      <c r="C215" t="str" cm="1">
        <f t="array" ref="C215">CleanText(B215)</f>
        <v>ok gzel bir film tavsiye ediyorum</v>
      </c>
      <c r="D215">
        <v>0</v>
      </c>
      <c r="E215">
        <v>0</v>
      </c>
      <c r="F215" t="s">
        <v>10</v>
      </c>
      <c r="G215" t="str" cm="1">
        <f t="array" ref="G215">FindCountryName(F215)</f>
        <v>None</v>
      </c>
      <c r="H215" s="3">
        <v>45299.252951388888</v>
      </c>
      <c r="I215" s="3">
        <v>45299.252951388888</v>
      </c>
      <c r="J215" s="3">
        <v>43999.764537037037</v>
      </c>
      <c r="K215" cm="1">
        <f t="array" ref="K215">sentimentCalc(C215)</f>
        <v>0</v>
      </c>
      <c r="L215" t="str" cm="1">
        <f t="array" ref="L215">sentimentCategory(K215)</f>
        <v>Neutral</v>
      </c>
    </row>
    <row r="216" spans="1:12" x14ac:dyDescent="0.25">
      <c r="A216" t="s">
        <v>137</v>
      </c>
      <c r="B216" t="s">
        <v>935</v>
      </c>
      <c r="C216" t="str" cm="1">
        <f t="array" ref="C216">CleanText(B216)</f>
        <v>ok gzel bir film ve fragman olduka zetliyor filmi</v>
      </c>
      <c r="D216">
        <v>0</v>
      </c>
      <c r="E216">
        <v>0</v>
      </c>
      <c r="F216" t="s">
        <v>10</v>
      </c>
      <c r="G216" t="str" cm="1">
        <f t="array" ref="G216">FindCountryName(F216)</f>
        <v>None</v>
      </c>
      <c r="H216" s="3">
        <v>45299.262523148151</v>
      </c>
      <c r="I216" s="3">
        <v>45299.262523148151</v>
      </c>
      <c r="J216" s="3">
        <v>44676.369293981479</v>
      </c>
      <c r="K216" cm="1">
        <f t="array" ref="K216">sentimentCalc(C216)</f>
        <v>0</v>
      </c>
      <c r="L216" t="str" cm="1">
        <f t="array" ref="L216">sentimentCategory(K216)</f>
        <v>Neutral</v>
      </c>
    </row>
    <row r="217" spans="1:12" x14ac:dyDescent="0.25">
      <c r="A217" t="s">
        <v>378</v>
      </c>
      <c r="B217" t="s">
        <v>379</v>
      </c>
      <c r="C217" t="str" cm="1">
        <f t="array" ref="C217">CleanText(B217)</f>
        <v>ok gzel bir filmdi bana ocukluumu hatrlatyor</v>
      </c>
      <c r="D217">
        <v>0</v>
      </c>
      <c r="E217">
        <v>0</v>
      </c>
      <c r="F217" t="s">
        <v>10</v>
      </c>
      <c r="G217" t="str" cm="1">
        <f t="array" ref="G217">FindCountryName(F217)</f>
        <v>None</v>
      </c>
      <c r="H217" s="3">
        <v>45322.273599537039</v>
      </c>
      <c r="I217" s="3">
        <v>45322.273599537039</v>
      </c>
      <c r="J217" s="3">
        <v>44224.622233796297</v>
      </c>
      <c r="K217" cm="1">
        <f t="array" ref="K217">sentimentCalc(C217)</f>
        <v>0</v>
      </c>
      <c r="L217" t="str" cm="1">
        <f t="array" ref="L217">sentimentCategory(K217)</f>
        <v>Neutral</v>
      </c>
    </row>
    <row r="218" spans="1:12" x14ac:dyDescent="0.25">
      <c r="A218" t="s">
        <v>322</v>
      </c>
      <c r="B218" t="s">
        <v>968</v>
      </c>
      <c r="C218" t="str" cm="1">
        <f t="array" ref="C218">CleanText(B218)</f>
        <v>ok gzel bir filmdi mkemmel</v>
      </c>
      <c r="D218">
        <v>0</v>
      </c>
      <c r="E218">
        <v>0</v>
      </c>
      <c r="F218" t="s">
        <v>10</v>
      </c>
      <c r="G218" t="str" cm="1">
        <f t="array" ref="G218">FindCountryName(F218)</f>
        <v>None</v>
      </c>
      <c r="H218" s="3">
        <v>45299.25513888889</v>
      </c>
      <c r="I218" s="3">
        <v>45299.25513888889</v>
      </c>
      <c r="J218" s="3">
        <v>45203.511157407411</v>
      </c>
      <c r="K218" cm="1">
        <f t="array" ref="K218">sentimentCalc(C218)</f>
        <v>0</v>
      </c>
      <c r="L218" t="str" cm="1">
        <f t="array" ref="L218">sentimentCategory(K218)</f>
        <v>Neutral</v>
      </c>
    </row>
    <row r="219" spans="1:12" x14ac:dyDescent="0.25">
      <c r="A219" t="s">
        <v>534</v>
      </c>
      <c r="B219" t="s">
        <v>1022</v>
      </c>
      <c r="C219" t="str" cm="1">
        <f t="array" ref="C219">CleanText(B219)</f>
        <v>ok gzel bir flim ok houma gitti inanlmaz bir hikye</v>
      </c>
      <c r="D219">
        <v>0</v>
      </c>
      <c r="E219">
        <v>0</v>
      </c>
      <c r="F219" t="s">
        <v>10</v>
      </c>
      <c r="G219" t="str" cm="1">
        <f t="array" ref="G219">FindCountryName(F219)</f>
        <v>None</v>
      </c>
      <c r="H219" s="3">
        <v>45299.250844907408</v>
      </c>
      <c r="I219" s="3">
        <v>45299.250844907408</v>
      </c>
      <c r="J219" s="3">
        <v>41816.075706018521</v>
      </c>
      <c r="K219" cm="1">
        <f t="array" ref="K219">sentimentCalc(C219)</f>
        <v>0</v>
      </c>
      <c r="L219" t="str" cm="1">
        <f t="array" ref="L219">sentimentCategory(K219)</f>
        <v>Neutral</v>
      </c>
    </row>
    <row r="220" spans="1:12" x14ac:dyDescent="0.25">
      <c r="A220" t="s">
        <v>453</v>
      </c>
      <c r="B220" t="s">
        <v>745</v>
      </c>
      <c r="C220" t="str" cm="1">
        <f t="array" ref="C220">CleanText(B220)</f>
        <v>ok gzel bir flim kesinlikle izlemenizi tavsiye ederim</v>
      </c>
      <c r="D220">
        <v>0</v>
      </c>
      <c r="E220">
        <v>0</v>
      </c>
      <c r="F220" t="s">
        <v>10</v>
      </c>
      <c r="G220" t="str" cm="1">
        <f t="array" ref="G220">FindCountryName(F220)</f>
        <v>None</v>
      </c>
      <c r="H220" s="3">
        <v>45310.252974537034</v>
      </c>
      <c r="I220" s="3">
        <v>45310.252974537034</v>
      </c>
      <c r="J220" s="3">
        <v>42379.099502314813</v>
      </c>
      <c r="K220" cm="1">
        <f t="array" ref="K220">sentimentCalc(C220)</f>
        <v>0</v>
      </c>
      <c r="L220" t="str" cm="1">
        <f t="array" ref="L220">sentimentCategory(K220)</f>
        <v>Neutral</v>
      </c>
    </row>
    <row r="221" spans="1:12" x14ac:dyDescent="0.25">
      <c r="A221" t="s">
        <v>555</v>
      </c>
      <c r="B221" t="s">
        <v>897</v>
      </c>
      <c r="C221" t="str" cm="1">
        <f t="array" ref="C221">CleanText(B221)</f>
        <v>ok gzel bir flim olmus</v>
      </c>
      <c r="D221">
        <v>0</v>
      </c>
      <c r="E221">
        <v>0</v>
      </c>
      <c r="F221" t="s">
        <v>10</v>
      </c>
      <c r="G221" t="str" cm="1">
        <f t="array" ref="G221">FindCountryName(F221)</f>
        <v>None</v>
      </c>
      <c r="H221" s="3">
        <v>45299.310729166667</v>
      </c>
      <c r="I221" s="3">
        <v>45299.310729166667</v>
      </c>
      <c r="J221" s="3">
        <v>44212.596921296295</v>
      </c>
      <c r="K221" cm="1">
        <f t="array" ref="K221">sentimentCalc(C221)</f>
        <v>0</v>
      </c>
      <c r="L221" t="str" cm="1">
        <f t="array" ref="L221">sentimentCategory(K221)</f>
        <v>Neutral</v>
      </c>
    </row>
    <row r="222" spans="1:12" x14ac:dyDescent="0.25">
      <c r="A222" t="s">
        <v>209</v>
      </c>
      <c r="B222" t="s">
        <v>1028</v>
      </c>
      <c r="C222" t="str" cm="1">
        <f t="array" ref="C222">CleanText(B222)</f>
        <v>ok gzel bir fragman olmu tebrikler</v>
      </c>
      <c r="D222">
        <v>0</v>
      </c>
      <c r="E222">
        <v>0</v>
      </c>
      <c r="F222" t="s">
        <v>139</v>
      </c>
      <c r="G222" t="str" cm="1">
        <f t="array" ref="G222">FindCountryName(F222)</f>
        <v>Turkey</v>
      </c>
      <c r="H222" s="3">
        <v>45299.250497685185</v>
      </c>
      <c r="I222" s="3">
        <v>45299.250497685185</v>
      </c>
      <c r="J222" s="3">
        <v>41033.356782407405</v>
      </c>
      <c r="K222" cm="1">
        <f t="array" ref="K222">sentimentCalc(C222)</f>
        <v>0</v>
      </c>
      <c r="L222" t="str" cm="1">
        <f t="array" ref="L222">sentimentCategory(K222)</f>
        <v>Neutral</v>
      </c>
    </row>
    <row r="223" spans="1:12" x14ac:dyDescent="0.25">
      <c r="A223" t="s">
        <v>571</v>
      </c>
      <c r="B223" t="s">
        <v>572</v>
      </c>
      <c r="C223" t="str" cm="1">
        <f t="array" ref="C223">CleanText(B223)</f>
        <v>ok gzel bir klip genliime dndm</v>
      </c>
      <c r="D223">
        <v>0</v>
      </c>
      <c r="E223">
        <v>0</v>
      </c>
      <c r="F223" t="s">
        <v>10</v>
      </c>
      <c r="G223" t="str" cm="1">
        <f t="array" ref="G223">FindCountryName(F223)</f>
        <v>None</v>
      </c>
      <c r="H223" s="3">
        <v>45317.273078703707</v>
      </c>
      <c r="I223" s="3">
        <v>45317.273078703707</v>
      </c>
      <c r="J223" s="3">
        <v>42142.384930555556</v>
      </c>
      <c r="K223" cm="1">
        <f t="array" ref="K223">sentimentCalc(C223)</f>
        <v>0</v>
      </c>
      <c r="L223" t="str" cm="1">
        <f t="array" ref="L223">sentimentCategory(K223)</f>
        <v>Neutral</v>
      </c>
    </row>
    <row r="224" spans="1:12" x14ac:dyDescent="0.25">
      <c r="A224" t="s">
        <v>682</v>
      </c>
      <c r="B224" t="s">
        <v>683</v>
      </c>
      <c r="C224" t="str" cm="1">
        <f t="array" ref="C224">CleanText(B224)</f>
        <v>ok gzel bir yapm olmu</v>
      </c>
      <c r="D224">
        <v>0</v>
      </c>
      <c r="E224">
        <v>0</v>
      </c>
      <c r="F224" t="s">
        <v>10</v>
      </c>
      <c r="G224" t="str" cm="1">
        <f t="array" ref="G224">FindCountryName(F224)</f>
        <v>None</v>
      </c>
      <c r="H224" s="3">
        <v>45314.271863425929</v>
      </c>
      <c r="I224" s="3">
        <v>45314.271863425929</v>
      </c>
      <c r="J224" s="3">
        <v>45314.255613425928</v>
      </c>
      <c r="K224" cm="1">
        <f t="array" ref="K224">sentimentCalc(C224)</f>
        <v>0</v>
      </c>
      <c r="L224" t="str" cm="1">
        <f t="array" ref="L224">sentimentCategory(K224)</f>
        <v>Neutral</v>
      </c>
    </row>
    <row r="225" spans="1:12" x14ac:dyDescent="0.25">
      <c r="A225" t="s">
        <v>284</v>
      </c>
      <c r="B225" t="s">
        <v>285</v>
      </c>
      <c r="C225" t="str" cm="1">
        <f t="array" ref="C225">CleanText(B225)</f>
        <v>ok gzel</v>
      </c>
      <c r="D225">
        <v>0</v>
      </c>
      <c r="E225">
        <v>0</v>
      </c>
      <c r="F225" t="s">
        <v>10</v>
      </c>
      <c r="G225" t="str" cm="1">
        <f t="array" ref="G225">FindCountryName(F225)</f>
        <v>None</v>
      </c>
      <c r="H225" s="3">
        <v>45322.457835648151</v>
      </c>
      <c r="I225" s="3">
        <v>45322.457835648151</v>
      </c>
      <c r="J225" s="3">
        <v>43858.570196759261</v>
      </c>
      <c r="K225" cm="1">
        <f t="array" ref="K225">sentimentCalc(C225)</f>
        <v>0</v>
      </c>
      <c r="L225" t="str" cm="1">
        <f t="array" ref="L225">sentimentCategory(K225)</f>
        <v>Neutral</v>
      </c>
    </row>
    <row r="226" spans="1:12" x14ac:dyDescent="0.25">
      <c r="A226" t="s">
        <v>605</v>
      </c>
      <c r="B226" t="s">
        <v>662</v>
      </c>
      <c r="C226" t="str" cm="1">
        <f t="array" ref="C226">CleanText(B226)</f>
        <v>ok gzel</v>
      </c>
      <c r="D226">
        <v>0</v>
      </c>
      <c r="E226">
        <v>0</v>
      </c>
      <c r="F226" t="s">
        <v>139</v>
      </c>
      <c r="G226" t="str" cm="1">
        <f t="array" ref="G226">FindCountryName(F226)</f>
        <v>Turkey</v>
      </c>
      <c r="H226" s="3">
        <v>45314.274733796294</v>
      </c>
      <c r="I226" s="3">
        <v>45314.274733796294</v>
      </c>
      <c r="J226" s="3">
        <v>42581.475624999999</v>
      </c>
      <c r="K226" cm="1">
        <f t="array" ref="K226">sentimentCalc(C226)</f>
        <v>0</v>
      </c>
      <c r="L226" t="str" cm="1">
        <f t="array" ref="L226">sentimentCategory(K226)</f>
        <v>Neutral</v>
      </c>
    </row>
    <row r="227" spans="1:12" x14ac:dyDescent="0.25">
      <c r="A227" t="s">
        <v>160</v>
      </c>
      <c r="B227" t="s">
        <v>161</v>
      </c>
      <c r="C227" t="str" cm="1">
        <f t="array" ref="C227">CleanText(B227)</f>
        <v>ok gzel film izleyin mutlakaa</v>
      </c>
      <c r="D227">
        <v>0</v>
      </c>
      <c r="E227">
        <v>0</v>
      </c>
      <c r="F227" t="s">
        <v>10</v>
      </c>
      <c r="G227" t="str" cm="1">
        <f t="array" ref="G227">FindCountryName(F227)</f>
        <v>None</v>
      </c>
      <c r="H227" s="3">
        <v>45337.459004629629</v>
      </c>
      <c r="I227" s="3">
        <v>45337.459004629629</v>
      </c>
      <c r="J227" s="3">
        <v>44985.754803240743</v>
      </c>
      <c r="K227" cm="1">
        <f t="array" ref="K227">sentimentCalc(C227)</f>
        <v>0</v>
      </c>
      <c r="L227" t="str" cm="1">
        <f t="array" ref="L227">sentimentCategory(K227)</f>
        <v>Neutral</v>
      </c>
    </row>
    <row r="228" spans="1:12" x14ac:dyDescent="0.25">
      <c r="A228" t="s">
        <v>87</v>
      </c>
      <c r="B228" t="s">
        <v>88</v>
      </c>
      <c r="C228" t="str" cm="1">
        <f t="array" ref="C228">CleanText(B228)</f>
        <v>ok gzel film tekrar tekrar izlenir</v>
      </c>
      <c r="D228">
        <v>0</v>
      </c>
      <c r="E228">
        <v>0</v>
      </c>
      <c r="F228" t="s">
        <v>10</v>
      </c>
      <c r="G228" t="str" cm="1">
        <f t="array" ref="G228">FindCountryName(F228)</f>
        <v>None</v>
      </c>
      <c r="H228" s="3">
        <v>45338.168136574073</v>
      </c>
      <c r="I228" s="3">
        <v>45338.168136574073</v>
      </c>
      <c r="J228" s="3">
        <v>39178.612141203703</v>
      </c>
      <c r="K228" cm="1">
        <f t="array" ref="K228">sentimentCalc(C228)</f>
        <v>0</v>
      </c>
      <c r="L228" t="str" cm="1">
        <f t="array" ref="L228">sentimentCategory(K228)</f>
        <v>Neutral</v>
      </c>
    </row>
    <row r="229" spans="1:12" x14ac:dyDescent="0.25">
      <c r="A229" t="s">
        <v>30</v>
      </c>
      <c r="B229" t="s">
        <v>438</v>
      </c>
      <c r="C229" t="str" cm="1">
        <f t="array" ref="C229">CleanText(B229)</f>
        <v>ok gzel filmdi  filmini beklicem</v>
      </c>
      <c r="D229">
        <v>0</v>
      </c>
      <c r="E229">
        <v>0</v>
      </c>
      <c r="F229" t="s">
        <v>10</v>
      </c>
      <c r="G229" t="str" cm="1">
        <f t="array" ref="G229">FindCountryName(F229)</f>
        <v>None</v>
      </c>
      <c r="H229" s="3">
        <v>45322.271574074075</v>
      </c>
      <c r="I229" s="3">
        <v>45322.271574074075</v>
      </c>
      <c r="J229" s="3">
        <v>42790.404930555553</v>
      </c>
      <c r="K229" cm="1">
        <f t="array" ref="K229">sentimentCalc(C229)</f>
        <v>0</v>
      </c>
      <c r="L229" t="str" cm="1">
        <f t="array" ref="L229">sentimentCategory(K229)</f>
        <v>Neutral</v>
      </c>
    </row>
    <row r="230" spans="1:12" x14ac:dyDescent="0.25">
      <c r="A230" t="s">
        <v>724</v>
      </c>
      <c r="B230" t="s">
        <v>725</v>
      </c>
      <c r="C230" t="str" cm="1">
        <f t="array" ref="C230">CleanText(B230)</f>
        <v>ok gzel fragman olmu baarlar</v>
      </c>
      <c r="D230">
        <v>0</v>
      </c>
      <c r="E230">
        <v>0</v>
      </c>
      <c r="F230" t="s">
        <v>10</v>
      </c>
      <c r="G230" t="str" cm="1">
        <f t="array" ref="G230">FindCountryName(F230)</f>
        <v>None</v>
      </c>
      <c r="H230" s="3">
        <v>45310.306122685186</v>
      </c>
      <c r="I230" s="3">
        <v>45310.306122685186</v>
      </c>
      <c r="J230" s="3">
        <v>42521.585219907407</v>
      </c>
      <c r="K230" cm="1">
        <f t="array" ref="K230">sentimentCalc(C230)</f>
        <v>0</v>
      </c>
      <c r="L230" t="str" cm="1">
        <f t="array" ref="L230">sentimentCategory(K230)</f>
        <v>Neutral</v>
      </c>
    </row>
    <row r="231" spans="1:12" x14ac:dyDescent="0.25">
      <c r="A231" t="s">
        <v>114</v>
      </c>
      <c r="B231" t="s">
        <v>404</v>
      </c>
      <c r="C231" t="str" cm="1">
        <f t="array" ref="C231">CleanText(B231)</f>
        <v>ok gzel gayet iyi bir ey olmu</v>
      </c>
      <c r="D231">
        <v>0</v>
      </c>
      <c r="E231">
        <v>0</v>
      </c>
      <c r="F231" t="s">
        <v>139</v>
      </c>
      <c r="G231" t="str" cm="1">
        <f t="array" ref="G231">FindCountryName(F231)</f>
        <v>Turkey</v>
      </c>
      <c r="H231" s="3">
        <v>45322.272499999999</v>
      </c>
      <c r="I231" s="3">
        <v>45322.272499999999</v>
      </c>
      <c r="J231" s="3">
        <v>42218.591851851852</v>
      </c>
      <c r="K231" cm="1">
        <f t="array" ref="K231">sentimentCalc(C231)</f>
        <v>0</v>
      </c>
      <c r="L231" t="str" cm="1">
        <f t="array" ref="L231">sentimentCategory(K231)</f>
        <v>Neutral</v>
      </c>
    </row>
    <row r="232" spans="1:12" x14ac:dyDescent="0.25">
      <c r="A232" t="s">
        <v>773</v>
      </c>
      <c r="B232" t="s">
        <v>774</v>
      </c>
      <c r="C232" t="str" cm="1">
        <f t="array" ref="C232">CleanText(B232)</f>
        <v>ok gzel gerekten kz arkadamla izledik harika biey bayldk</v>
      </c>
      <c r="D232">
        <v>0</v>
      </c>
      <c r="E232">
        <v>0</v>
      </c>
      <c r="F232" t="s">
        <v>139</v>
      </c>
      <c r="G232" t="str" cm="1">
        <f t="array" ref="G232">FindCountryName(F232)</f>
        <v>Turkey</v>
      </c>
      <c r="H232" s="3">
        <v>45308.364872685182</v>
      </c>
      <c r="I232" s="3">
        <v>45308.364872685182</v>
      </c>
      <c r="J232" s="3">
        <v>42911.713240740741</v>
      </c>
      <c r="K232" cm="1">
        <f t="array" ref="K232">sentimentCalc(C232)</f>
        <v>0</v>
      </c>
      <c r="L232" t="str" cm="1">
        <f t="array" ref="L232">sentimentCategory(K232)</f>
        <v>Neutral</v>
      </c>
    </row>
    <row r="233" spans="1:12" x14ac:dyDescent="0.25">
      <c r="A233" t="s">
        <v>432</v>
      </c>
      <c r="B233" t="s">
        <v>433</v>
      </c>
      <c r="C233" t="str" cm="1">
        <f t="array" ref="C233">CleanText(B233)</f>
        <v>ok gzel harika olmu</v>
      </c>
      <c r="D233">
        <v>0</v>
      </c>
      <c r="E233">
        <v>0</v>
      </c>
      <c r="F233" t="s">
        <v>10</v>
      </c>
      <c r="G233" t="str" cm="1">
        <f t="array" ref="G233">FindCountryName(F233)</f>
        <v>None</v>
      </c>
      <c r="H233" s="3">
        <v>45322.271643518521</v>
      </c>
      <c r="I233" s="3">
        <v>45322.271643518521</v>
      </c>
      <c r="J233" s="3">
        <v>42833.323958333334</v>
      </c>
      <c r="K233" cm="1">
        <f t="array" ref="K233">sentimentCalc(C233)</f>
        <v>0</v>
      </c>
      <c r="L233" t="str" cm="1">
        <f t="array" ref="L233">sentimentCategory(K233)</f>
        <v>Neutral</v>
      </c>
    </row>
    <row r="234" spans="1:12" x14ac:dyDescent="0.25">
      <c r="A234" t="s">
        <v>442</v>
      </c>
      <c r="B234" t="s">
        <v>659</v>
      </c>
      <c r="C234" t="str" cm="1">
        <f t="array" ref="C234">CleanText(B234)</f>
        <v>ok gzel her dakikas</v>
      </c>
      <c r="D234">
        <v>0</v>
      </c>
      <c r="E234">
        <v>0</v>
      </c>
      <c r="F234" t="s">
        <v>10</v>
      </c>
      <c r="G234" t="str" cm="1">
        <f t="array" ref="G234">FindCountryName(F234)</f>
        <v>None</v>
      </c>
      <c r="H234" s="3">
        <v>45314.276226851849</v>
      </c>
      <c r="I234" s="3">
        <v>45314.276226851849</v>
      </c>
      <c r="J234" s="3">
        <v>44733.025208333333</v>
      </c>
      <c r="K234" cm="1">
        <f t="array" ref="K234">sentimentCalc(C234)</f>
        <v>0</v>
      </c>
      <c r="L234" t="str" cm="1">
        <f t="array" ref="L234">sentimentCategory(K234)</f>
        <v>Neutral</v>
      </c>
    </row>
    <row r="235" spans="1:12" x14ac:dyDescent="0.25">
      <c r="A235" t="s">
        <v>432</v>
      </c>
      <c r="B235" t="s">
        <v>673</v>
      </c>
      <c r="C235" t="str" cm="1">
        <f t="array" ref="C235">CleanText(B235)</f>
        <v>ok gzel herkese tavsiye ederim</v>
      </c>
      <c r="D235">
        <v>0</v>
      </c>
      <c r="E235">
        <v>0</v>
      </c>
      <c r="F235" t="s">
        <v>10</v>
      </c>
      <c r="G235" t="str" cm="1">
        <f t="array" ref="G235">FindCountryName(F235)</f>
        <v>None</v>
      </c>
      <c r="H235" s="3">
        <v>45314.272673611114</v>
      </c>
      <c r="I235" s="3">
        <v>45314.272673611114</v>
      </c>
      <c r="J235" s="3">
        <v>43438.665185185186</v>
      </c>
      <c r="K235" cm="1">
        <f t="array" ref="K235">sentimentCalc(C235)</f>
        <v>0</v>
      </c>
      <c r="L235" t="str" cm="1">
        <f t="array" ref="L235">sentimentCategory(K235)</f>
        <v>Neutral</v>
      </c>
    </row>
    <row r="236" spans="1:12" x14ac:dyDescent="0.25">
      <c r="A236" t="s">
        <v>457</v>
      </c>
      <c r="B236" t="s">
        <v>551</v>
      </c>
      <c r="C236" t="str" cm="1">
        <f t="array" ref="C236">CleanText(B236)</f>
        <v>ok gzel izleyin mutlaka</v>
      </c>
      <c r="D236">
        <v>0</v>
      </c>
      <c r="E236">
        <v>0</v>
      </c>
      <c r="F236" t="s">
        <v>10</v>
      </c>
      <c r="G236" t="str" cm="1">
        <f t="array" ref="G236">FindCountryName(F236)</f>
        <v>None</v>
      </c>
      <c r="H236" s="3">
        <v>45317.274942129632</v>
      </c>
      <c r="I236" s="3">
        <v>45317.274942129632</v>
      </c>
      <c r="J236" s="3">
        <v>44092.271550925929</v>
      </c>
      <c r="K236" cm="1">
        <f t="array" ref="K236">sentimentCalc(C236)</f>
        <v>0</v>
      </c>
      <c r="L236" t="str" cm="1">
        <f t="array" ref="L236">sentimentCategory(K236)</f>
        <v>Neutral</v>
      </c>
    </row>
    <row r="237" spans="1:12" x14ac:dyDescent="0.25">
      <c r="A237" t="s">
        <v>322</v>
      </c>
      <c r="B237" t="s">
        <v>323</v>
      </c>
      <c r="C237" t="str" cm="1">
        <f t="array" ref="C237">CleanText(B237)</f>
        <v>ok gzel olmu eline salk</v>
      </c>
      <c r="D237">
        <v>0</v>
      </c>
      <c r="E237">
        <v>0</v>
      </c>
      <c r="F237" t="s">
        <v>10</v>
      </c>
      <c r="G237" t="str" cm="1">
        <f t="array" ref="G237">FindCountryName(F237)</f>
        <v>None</v>
      </c>
      <c r="H237" s="3">
        <v>45322.304560185185</v>
      </c>
      <c r="I237" s="3">
        <v>45322.304560185185</v>
      </c>
      <c r="J237" s="3">
        <v>42351.067326388889</v>
      </c>
      <c r="K237" cm="1">
        <f t="array" ref="K237">sentimentCalc(C237)</f>
        <v>0</v>
      </c>
      <c r="L237" t="str" cm="1">
        <f t="array" ref="L237">sentimentCategory(K237)</f>
        <v>Neutral</v>
      </c>
    </row>
    <row r="238" spans="1:12" x14ac:dyDescent="0.25">
      <c r="A238" t="s">
        <v>315</v>
      </c>
      <c r="B238" t="s">
        <v>471</v>
      </c>
      <c r="C238" t="str" cm="1">
        <f t="array" ref="C238">CleanText(B238)</f>
        <v>ok gzel olmu elinize salk</v>
      </c>
      <c r="D238">
        <v>0</v>
      </c>
      <c r="E238">
        <v>0</v>
      </c>
      <c r="F238" t="s">
        <v>10</v>
      </c>
      <c r="G238" t="str" cm="1">
        <f t="array" ref="G238">FindCountryName(F238)</f>
        <v>None</v>
      </c>
      <c r="H238" s="3">
        <v>45322.270937499998</v>
      </c>
      <c r="I238" s="3">
        <v>45322.270937499998</v>
      </c>
      <c r="J238" s="3">
        <v>43294.499652777777</v>
      </c>
      <c r="K238" cm="1">
        <f t="array" ref="K238">sentimentCalc(C238)</f>
        <v>0</v>
      </c>
      <c r="L238" t="str" cm="1">
        <f t="array" ref="L238">sentimentCategory(K238)</f>
        <v>Neutral</v>
      </c>
    </row>
    <row r="239" spans="1:12" x14ac:dyDescent="0.25">
      <c r="A239" t="s">
        <v>94</v>
      </c>
      <c r="B239" t="s">
        <v>582</v>
      </c>
      <c r="C239" t="str" cm="1">
        <f t="array" ref="C239">CleanText(B239)</f>
        <v>ok gzel olmu</v>
      </c>
      <c r="D239">
        <v>0</v>
      </c>
      <c r="E239">
        <v>0</v>
      </c>
      <c r="F239" t="s">
        <v>10</v>
      </c>
      <c r="G239" t="str" cm="1">
        <f t="array" ref="G239">FindCountryName(F239)</f>
        <v>None</v>
      </c>
      <c r="H239" s="3">
        <v>45317.272314814814</v>
      </c>
      <c r="I239" s="3">
        <v>45317.272314814814</v>
      </c>
      <c r="J239" s="3">
        <v>41696.915648148148</v>
      </c>
      <c r="K239" cm="1">
        <f t="array" ref="K239">sentimentCalc(C239)</f>
        <v>0</v>
      </c>
      <c r="L239" t="str" cm="1">
        <f t="array" ref="L239">sentimentCategory(K239)</f>
        <v>Neutral</v>
      </c>
    </row>
    <row r="240" spans="1:12" x14ac:dyDescent="0.25">
      <c r="A240" t="s">
        <v>313</v>
      </c>
      <c r="B240" t="s">
        <v>314</v>
      </c>
      <c r="C240" t="str" cm="1">
        <f t="array" ref="C240">CleanText(B240)</f>
        <v>ok gzel tavsiye ederim</v>
      </c>
      <c r="D240">
        <v>0</v>
      </c>
      <c r="E240">
        <v>0</v>
      </c>
      <c r="F240" t="s">
        <v>10</v>
      </c>
      <c r="G240" t="str" cm="1">
        <f t="array" ref="G240">FindCountryName(F240)</f>
        <v>None</v>
      </c>
      <c r="H240" s="3">
        <v>45322.347060185188</v>
      </c>
      <c r="I240" s="3">
        <v>45322.347060185188</v>
      </c>
      <c r="J240" s="3">
        <v>45322.344537037039</v>
      </c>
      <c r="K240" cm="1">
        <f t="array" ref="K240">sentimentCalc(C240)</f>
        <v>0</v>
      </c>
      <c r="L240" t="str" cm="1">
        <f t="array" ref="L240">sentimentCategory(K240)</f>
        <v>Neutral</v>
      </c>
    </row>
    <row r="241" spans="1:12" x14ac:dyDescent="0.25">
      <c r="A241" t="s">
        <v>880</v>
      </c>
      <c r="B241" t="s">
        <v>881</v>
      </c>
      <c r="C241" t="str" cm="1">
        <f t="array" ref="C241">CleanText(B241)</f>
        <v>ok gzel tebrik ederim</v>
      </c>
      <c r="D241">
        <v>2</v>
      </c>
      <c r="E241">
        <v>0</v>
      </c>
      <c r="F241" t="s">
        <v>10</v>
      </c>
      <c r="G241" t="str" cm="1">
        <f t="array" ref="G241">FindCountryName(F241)</f>
        <v>None</v>
      </c>
      <c r="H241" s="3">
        <v>45299.346967592595</v>
      </c>
      <c r="I241" s="3">
        <v>45299.346967592595</v>
      </c>
      <c r="J241" s="3">
        <v>43308.707256944443</v>
      </c>
      <c r="K241" cm="1">
        <f t="array" ref="K241">sentimentCalc(C241)</f>
        <v>0</v>
      </c>
      <c r="L241" t="str" cm="1">
        <f t="array" ref="L241">sentimentCategory(K241)</f>
        <v>Neutral</v>
      </c>
    </row>
    <row r="242" spans="1:12" x14ac:dyDescent="0.25">
      <c r="A242" t="s">
        <v>156</v>
      </c>
      <c r="B242" t="s">
        <v>279</v>
      </c>
      <c r="C242" t="str" cm="1">
        <f t="array" ref="C242">CleanText(B242)</f>
        <v>ok gzel ve elenceli izlemenizi tavsiye ederim</v>
      </c>
      <c r="D242">
        <v>0</v>
      </c>
      <c r="E242">
        <v>1</v>
      </c>
      <c r="F242" t="s">
        <v>10</v>
      </c>
      <c r="G242" t="str" cm="1">
        <f t="array" ref="G242">FindCountryName(F242)</f>
        <v>None</v>
      </c>
      <c r="H242" s="3">
        <v>45322.508437500001</v>
      </c>
      <c r="I242" s="3">
        <v>45322.508437500001</v>
      </c>
      <c r="J242" s="3">
        <v>42746.293090277781</v>
      </c>
      <c r="K242" cm="1">
        <f t="array" ref="K242">sentimentCalc(C242)</f>
        <v>0</v>
      </c>
      <c r="L242" t="str" cm="1">
        <f t="array" ref="L242">sentimentCategory(K242)</f>
        <v>Neutral</v>
      </c>
    </row>
    <row r="243" spans="1:12" x14ac:dyDescent="0.25">
      <c r="A243" t="s">
        <v>395</v>
      </c>
      <c r="B243" t="s">
        <v>498</v>
      </c>
      <c r="C243" t="str" cm="1">
        <f t="array" ref="C243">CleanText(B243)</f>
        <v>ok gzel ve ilgi ekicinsanlarn izlemesini tavsiye ederim</v>
      </c>
      <c r="D243">
        <v>0</v>
      </c>
      <c r="E243">
        <v>0</v>
      </c>
      <c r="F243" t="s">
        <v>10</v>
      </c>
      <c r="G243" t="str" cm="1">
        <f t="array" ref="G243">FindCountryName(F243)</f>
        <v>None</v>
      </c>
      <c r="H243" s="3">
        <v>45318.347071759257</v>
      </c>
      <c r="I243" s="3">
        <v>45318.347071759257</v>
      </c>
      <c r="J243" s="3">
        <v>44683.340439814812</v>
      </c>
      <c r="K243" cm="1">
        <f t="array" ref="K243">sentimentCalc(C243)</f>
        <v>0</v>
      </c>
      <c r="L243" t="str" cm="1">
        <f t="array" ref="L243">sentimentCategory(K243)</f>
        <v>Neutral</v>
      </c>
    </row>
    <row r="244" spans="1:12" x14ac:dyDescent="0.25">
      <c r="A244" t="s">
        <v>737</v>
      </c>
      <c r="B244" t="s">
        <v>975</v>
      </c>
      <c r="C244" t="str" cm="1">
        <f t="array" ref="C244">CleanText(B244)</f>
        <v>ok gzel video</v>
      </c>
      <c r="D244">
        <v>0</v>
      </c>
      <c r="E244">
        <v>0</v>
      </c>
      <c r="F244" t="s">
        <v>10</v>
      </c>
      <c r="G244" t="str" cm="1">
        <f t="array" ref="G244">FindCountryName(F244)</f>
        <v>None</v>
      </c>
      <c r="H244" s="3">
        <v>45299.253807870373</v>
      </c>
      <c r="I244" s="3">
        <v>45299.253807870373</v>
      </c>
      <c r="J244" s="3">
        <v>45299.253495370373</v>
      </c>
      <c r="K244" cm="1">
        <f t="array" ref="K244">sentimentCalc(C244)</f>
        <v>0</v>
      </c>
      <c r="L244" t="str" cm="1">
        <f t="array" ref="L244">sentimentCategory(K244)</f>
        <v>Neutral</v>
      </c>
    </row>
    <row r="245" spans="1:12" x14ac:dyDescent="0.25">
      <c r="A245" t="s">
        <v>737</v>
      </c>
      <c r="B245" t="s">
        <v>981</v>
      </c>
      <c r="C245" t="str" cm="1">
        <f t="array" ref="C245">CleanText(B245)</f>
        <v>ok gzel video ok beendim teekkr ediyorum</v>
      </c>
      <c r="D245">
        <v>0</v>
      </c>
      <c r="E245">
        <v>0</v>
      </c>
      <c r="F245" t="s">
        <v>10</v>
      </c>
      <c r="G245" t="str" cm="1">
        <f t="array" ref="G245">FindCountryName(F245)</f>
        <v>None</v>
      </c>
      <c r="H245" s="3">
        <v>45299.253506944442</v>
      </c>
      <c r="I245" s="3">
        <v>45299.253506944442</v>
      </c>
      <c r="J245" s="3">
        <v>45299.253495370373</v>
      </c>
      <c r="K245" cm="1">
        <f t="array" ref="K245">sentimentCalc(C245)</f>
        <v>0</v>
      </c>
      <c r="L245" t="str" cm="1">
        <f t="array" ref="L245">sentimentCategory(K245)</f>
        <v>Neutral</v>
      </c>
    </row>
    <row r="246" spans="1:12" x14ac:dyDescent="0.25">
      <c r="A246" t="s">
        <v>1008</v>
      </c>
      <c r="B246" t="s">
        <v>1009</v>
      </c>
      <c r="C246" t="str" cm="1">
        <f t="array" ref="C246">CleanText(B246)</f>
        <v>ok gzeldi maallah</v>
      </c>
      <c r="D246">
        <v>0</v>
      </c>
      <c r="E246">
        <v>0</v>
      </c>
      <c r="F246" t="s">
        <v>10</v>
      </c>
      <c r="G246" t="str" cm="1">
        <f t="array" ref="G246">FindCountryName(F246)</f>
        <v>None</v>
      </c>
      <c r="H246" s="3">
        <v>45299.252025462964</v>
      </c>
      <c r="I246" s="3">
        <v>45299.252025462964</v>
      </c>
      <c r="J246" s="3">
        <v>44126.040208333332</v>
      </c>
      <c r="K246" cm="1">
        <f t="array" ref="K246">sentimentCalc(C246)</f>
        <v>0</v>
      </c>
      <c r="L246" t="str" cm="1">
        <f t="array" ref="L246">sentimentCategory(K246)</f>
        <v>Neutral</v>
      </c>
    </row>
    <row r="247" spans="1:12" x14ac:dyDescent="0.25">
      <c r="A247" t="s">
        <v>324</v>
      </c>
      <c r="B247" t="s">
        <v>325</v>
      </c>
      <c r="C247" t="str" cm="1">
        <f t="array" ref="C247">CleanText(B247)</f>
        <v>ok hari bir filim eylrnceli herkesin izlemesini tavsiye ederim</v>
      </c>
      <c r="D247">
        <v>1</v>
      </c>
      <c r="E247">
        <v>0</v>
      </c>
      <c r="F247" t="s">
        <v>10</v>
      </c>
      <c r="G247" t="str" cm="1">
        <f t="array" ref="G247">FindCountryName(F247)</f>
        <v>None</v>
      </c>
      <c r="H247" s="3">
        <v>45322.302511574075</v>
      </c>
      <c r="I247" s="3">
        <v>45322.302511574075</v>
      </c>
      <c r="J247" s="3">
        <v>44938.532870370371</v>
      </c>
      <c r="K247" cm="1">
        <f t="array" ref="K247">sentimentCalc(C247)</f>
        <v>0</v>
      </c>
      <c r="L247" t="str" cm="1">
        <f t="array" ref="L247">sentimentCategory(K247)</f>
        <v>Neutral</v>
      </c>
    </row>
    <row r="248" spans="1:12" x14ac:dyDescent="0.25">
      <c r="A248" t="s">
        <v>141</v>
      </c>
      <c r="B248" t="s">
        <v>1020</v>
      </c>
      <c r="C248" t="str" cm="1">
        <f t="array" ref="C248">CleanText(B248)</f>
        <v>ok heyecanlandrc bir film izleyeceim</v>
      </c>
      <c r="D248">
        <v>0</v>
      </c>
      <c r="E248">
        <v>0</v>
      </c>
      <c r="F248" t="s">
        <v>10</v>
      </c>
      <c r="G248" t="str" cm="1">
        <f t="array" ref="G248">FindCountryName(F248)</f>
        <v>None</v>
      </c>
      <c r="H248" s="3">
        <v>45299.250937500001</v>
      </c>
      <c r="I248" s="3">
        <v>45299.250937500001</v>
      </c>
      <c r="J248" s="3">
        <v>42977.685335648152</v>
      </c>
      <c r="K248" cm="1">
        <f t="array" ref="K248">sentimentCalc(C248)</f>
        <v>0</v>
      </c>
      <c r="L248" t="str" cm="1">
        <f t="array" ref="L248">sentimentCategory(K248)</f>
        <v>Neutral</v>
      </c>
    </row>
    <row r="249" spans="1:12" x14ac:dyDescent="0.25">
      <c r="A249" t="s">
        <v>372</v>
      </c>
      <c r="B249" t="s">
        <v>373</v>
      </c>
      <c r="C249" t="str" cm="1">
        <f t="array" ref="C249">CleanText(B249)</f>
        <v>ok ilgin bir klip olmu</v>
      </c>
      <c r="D249">
        <v>0</v>
      </c>
      <c r="E249">
        <v>0</v>
      </c>
      <c r="F249" t="s">
        <v>10</v>
      </c>
      <c r="G249" t="str" cm="1">
        <f t="array" ref="G249">FindCountryName(F249)</f>
        <v>None</v>
      </c>
      <c r="H249" s="3">
        <v>45322.274259259262</v>
      </c>
      <c r="I249" s="3">
        <v>45322.274259259262</v>
      </c>
      <c r="J249" s="3">
        <v>43946.78943287037</v>
      </c>
      <c r="K249" cm="1">
        <f t="array" ref="K249">sentimentCalc(C249)</f>
        <v>0</v>
      </c>
      <c r="L249" t="str" cm="1">
        <f t="array" ref="L249">sentimentCategory(K249)</f>
        <v>Neutral</v>
      </c>
    </row>
    <row r="250" spans="1:12" x14ac:dyDescent="0.25">
      <c r="A250" t="s">
        <v>137</v>
      </c>
      <c r="B250" t="s">
        <v>936</v>
      </c>
      <c r="C250" t="str" cm="1">
        <f t="array" ref="C250">CleanText(B250)</f>
        <v>ok iyi</v>
      </c>
      <c r="D250">
        <v>0</v>
      </c>
      <c r="E250">
        <v>0</v>
      </c>
      <c r="F250" t="s">
        <v>10</v>
      </c>
      <c r="G250" t="str" cm="1">
        <f t="array" ref="G250">FindCountryName(F250)</f>
        <v>None</v>
      </c>
      <c r="H250" s="3">
        <v>45299.262349537035</v>
      </c>
      <c r="I250" s="3">
        <v>45299.262349537035</v>
      </c>
      <c r="J250" s="3">
        <v>42709.389305555553</v>
      </c>
      <c r="K250" cm="1">
        <f t="array" ref="K250">sentimentCalc(C250)</f>
        <v>0</v>
      </c>
      <c r="L250" t="str" cm="1">
        <f t="array" ref="L250">sentimentCategory(K250)</f>
        <v>Neutral</v>
      </c>
    </row>
    <row r="251" spans="1:12" x14ac:dyDescent="0.25">
      <c r="A251" t="s">
        <v>322</v>
      </c>
      <c r="B251" t="s">
        <v>748</v>
      </c>
      <c r="C251" t="str" cm="1">
        <f t="array" ref="C251">CleanText(B251)</f>
        <v>ok iyi ok sper</v>
      </c>
      <c r="D251">
        <v>0</v>
      </c>
      <c r="E251">
        <v>0</v>
      </c>
      <c r="F251" t="s">
        <v>10</v>
      </c>
      <c r="G251" t="str" cm="1">
        <f t="array" ref="G251">FindCountryName(F251)</f>
        <v>None</v>
      </c>
      <c r="H251" s="3">
        <v>45310.251574074071</v>
      </c>
      <c r="I251" s="3">
        <v>45310.251574074071</v>
      </c>
      <c r="J251" s="3">
        <v>43959.737685185188</v>
      </c>
      <c r="K251" cm="1">
        <f t="array" ref="K251">sentimentCalc(C251)</f>
        <v>0</v>
      </c>
      <c r="L251" t="str" cm="1">
        <f t="array" ref="L251">sentimentCategory(K251)</f>
        <v>Neutral</v>
      </c>
    </row>
    <row r="252" spans="1:12" x14ac:dyDescent="0.25">
      <c r="A252" t="s">
        <v>718</v>
      </c>
      <c r="B252" t="s">
        <v>1013</v>
      </c>
      <c r="C252" t="str" cm="1">
        <f t="array" ref="C252">CleanText(B252)</f>
        <v>ok iyi bir film ailecek izlenilebilir tavsiye ediyorum</v>
      </c>
      <c r="D252">
        <v>0</v>
      </c>
      <c r="E252">
        <v>0</v>
      </c>
      <c r="F252" t="s">
        <v>10</v>
      </c>
      <c r="G252" t="str" cm="1">
        <f t="array" ref="G252">FindCountryName(F252)</f>
        <v>None</v>
      </c>
      <c r="H252" s="3">
        <v>45299.251759259256</v>
      </c>
      <c r="I252" s="3">
        <v>45299.251759259256</v>
      </c>
      <c r="J252" s="3">
        <v>44029.804363425923</v>
      </c>
      <c r="K252" cm="1">
        <f t="array" ref="K252">sentimentCalc(C252)</f>
        <v>0</v>
      </c>
      <c r="L252" t="str" cm="1">
        <f t="array" ref="L252">sentimentCategory(K252)</f>
        <v>Neutral</v>
      </c>
    </row>
    <row r="253" spans="1:12" x14ac:dyDescent="0.25">
      <c r="A253" t="s">
        <v>256</v>
      </c>
      <c r="B253" t="s">
        <v>536</v>
      </c>
      <c r="C253" t="str" cm="1">
        <f t="array" ref="C253">CleanText(B253)</f>
        <v>ok iyi bir film iki kere izledim</v>
      </c>
      <c r="D253">
        <v>0</v>
      </c>
      <c r="E253">
        <v>0</v>
      </c>
      <c r="F253" t="s">
        <v>139</v>
      </c>
      <c r="G253" t="str" cm="1">
        <f t="array" ref="G253">FindCountryName(F253)</f>
        <v>Turkey</v>
      </c>
      <c r="H253" s="3">
        <v>45317.280335648145</v>
      </c>
      <c r="I253" s="3">
        <v>45317.280335648145</v>
      </c>
      <c r="J253" s="3">
        <v>44768.297546296293</v>
      </c>
      <c r="K253" cm="1">
        <f t="array" ref="K253">sentimentCalc(C253)</f>
        <v>0</v>
      </c>
      <c r="L253" t="str" cm="1">
        <f t="array" ref="L253">sentimentCategory(K253)</f>
        <v>Neutral</v>
      </c>
    </row>
    <row r="254" spans="1:12" x14ac:dyDescent="0.25">
      <c r="A254" t="s">
        <v>514</v>
      </c>
      <c r="B254" t="s">
        <v>515</v>
      </c>
      <c r="C254" t="str" cm="1">
        <f t="array" ref="C254">CleanText(B254)</f>
        <v>ok iyi bir film olmu baya iyi</v>
      </c>
      <c r="D254">
        <v>0</v>
      </c>
      <c r="E254">
        <v>0</v>
      </c>
      <c r="F254" t="s">
        <v>10</v>
      </c>
      <c r="G254" t="str" cm="1">
        <f t="array" ref="G254">FindCountryName(F254)</f>
        <v>None</v>
      </c>
      <c r="H254" s="3">
        <v>45317.37972222222</v>
      </c>
      <c r="I254" s="3">
        <v>45317.37972222222</v>
      </c>
      <c r="J254" s="3">
        <v>44304.237268518518</v>
      </c>
      <c r="K254" cm="1">
        <f t="array" ref="K254">sentimentCalc(C254)</f>
        <v>0</v>
      </c>
      <c r="L254" t="str" cm="1">
        <f t="array" ref="L254">sentimentCategory(K254)</f>
        <v>Neutral</v>
      </c>
    </row>
    <row r="255" spans="1:12" x14ac:dyDescent="0.25">
      <c r="A255" t="s">
        <v>83</v>
      </c>
      <c r="B255" t="s">
        <v>84</v>
      </c>
      <c r="C255" t="str" cm="1">
        <f t="array" ref="C255">CleanText(B255)</f>
        <v>ok iyi filim elenceli ayrica oyuncularda ok iyi</v>
      </c>
      <c r="D255">
        <v>1</v>
      </c>
      <c r="E255">
        <v>0</v>
      </c>
      <c r="F255" t="s">
        <v>10</v>
      </c>
      <c r="G255" t="str" cm="1">
        <f t="array" ref="G255">FindCountryName(F255)</f>
        <v>None</v>
      </c>
      <c r="H255" s="3">
        <v>45338.441412037035</v>
      </c>
      <c r="I255" s="3">
        <v>45338.441412037035</v>
      </c>
      <c r="J255" s="3">
        <v>40793.332268518519</v>
      </c>
      <c r="K255" cm="1">
        <f t="array" ref="K255">sentimentCalc(C255)</f>
        <v>0</v>
      </c>
      <c r="L255" t="str" cm="1">
        <f t="array" ref="L255">sentimentCategory(K255)</f>
        <v>Neutral</v>
      </c>
    </row>
    <row r="256" spans="1:12" x14ac:dyDescent="0.25">
      <c r="A256" t="s">
        <v>126</v>
      </c>
      <c r="B256" t="s">
        <v>760</v>
      </c>
      <c r="C256" t="str" cm="1">
        <f t="array" ref="C256">CleanText(B256)</f>
        <v>ok iyi film</v>
      </c>
      <c r="D256">
        <v>0</v>
      </c>
      <c r="E256">
        <v>0</v>
      </c>
      <c r="F256" t="s">
        <v>139</v>
      </c>
      <c r="G256" t="str" cm="1">
        <f t="array" ref="G256">FindCountryName(F256)</f>
        <v>Turkey</v>
      </c>
      <c r="H256" s="3">
        <v>45310.2496875</v>
      </c>
      <c r="I256" s="3">
        <v>45310.2496875</v>
      </c>
      <c r="J256" s="3">
        <v>42230.342430555553</v>
      </c>
      <c r="K256" cm="1">
        <f t="array" ref="K256">sentimentCalc(C256)</f>
        <v>0</v>
      </c>
      <c r="L256" t="str" cm="1">
        <f t="array" ref="L256">sentimentCategory(K256)</f>
        <v>Neutral</v>
      </c>
    </row>
    <row r="257" spans="1:12" x14ac:dyDescent="0.25">
      <c r="A257" t="s">
        <v>87</v>
      </c>
      <c r="B257" t="s">
        <v>1015</v>
      </c>
      <c r="C257" t="str" cm="1">
        <f t="array" ref="C257">CleanText(B257)</f>
        <v>ok iyi grnyor kz arkadasimla gitmeyi dnyorum barbienin filmine bayilicaktir</v>
      </c>
      <c r="D257">
        <v>0</v>
      </c>
      <c r="E257">
        <v>0</v>
      </c>
      <c r="F257" t="s">
        <v>10</v>
      </c>
      <c r="G257" t="str" cm="1">
        <f t="array" ref="G257">FindCountryName(F257)</f>
        <v>None</v>
      </c>
      <c r="H257" s="3">
        <v>45299.251701388886</v>
      </c>
      <c r="I257" s="3">
        <v>45299.251701388886</v>
      </c>
      <c r="J257" s="3">
        <v>44752.789629629631</v>
      </c>
      <c r="K257" cm="1">
        <f t="array" ref="K257">sentimentCalc(C257)</f>
        <v>0</v>
      </c>
      <c r="L257" t="str" cm="1">
        <f t="array" ref="L257">sentimentCategory(K257)</f>
        <v>Neutral</v>
      </c>
    </row>
    <row r="258" spans="1:12" x14ac:dyDescent="0.25">
      <c r="A258" t="s">
        <v>503</v>
      </c>
      <c r="B258" t="s">
        <v>776</v>
      </c>
      <c r="C258" t="str" cm="1">
        <f t="array" ref="C258">CleanText(B258)</f>
        <v>ok iyi olmu</v>
      </c>
      <c r="D258">
        <v>0</v>
      </c>
      <c r="E258">
        <v>0</v>
      </c>
      <c r="F258" t="s">
        <v>10</v>
      </c>
      <c r="G258" t="str" cm="1">
        <f t="array" ref="G258">FindCountryName(F258)</f>
        <v>None</v>
      </c>
      <c r="H258" s="3">
        <v>45308.340092592596</v>
      </c>
      <c r="I258" s="3">
        <v>45308.340092592596</v>
      </c>
      <c r="J258" s="3">
        <v>45308.340081018519</v>
      </c>
      <c r="K258" cm="1">
        <f t="array" ref="K258">sentimentCalc(C258)</f>
        <v>0</v>
      </c>
      <c r="L258" t="str" cm="1">
        <f t="array" ref="L258">sentimentCategory(K258)</f>
        <v>Neutral</v>
      </c>
    </row>
    <row r="259" spans="1:12" x14ac:dyDescent="0.25">
      <c r="A259" t="s">
        <v>32</v>
      </c>
      <c r="B259" t="s">
        <v>657</v>
      </c>
      <c r="C259" t="str" cm="1">
        <f t="array" ref="C259">CleanText(B259)</f>
        <v>ok iyi olmu ellerinize salk</v>
      </c>
      <c r="D259">
        <v>0</v>
      </c>
      <c r="E259">
        <v>0</v>
      </c>
      <c r="F259" t="s">
        <v>10</v>
      </c>
      <c r="G259" t="str" cm="1">
        <f t="array" ref="G259">FindCountryName(F259)</f>
        <v>None</v>
      </c>
      <c r="H259" s="3">
        <v>45314.276898148149</v>
      </c>
      <c r="I259" s="3">
        <v>45314.276898148149</v>
      </c>
      <c r="J259" s="3">
        <v>43961.486446759256</v>
      </c>
      <c r="K259" cm="1">
        <f t="array" ref="K259">sentimentCalc(C259)</f>
        <v>0</v>
      </c>
      <c r="L259" t="str" cm="1">
        <f t="array" ref="L259">sentimentCategory(K259)</f>
        <v>Neutral</v>
      </c>
    </row>
    <row r="260" spans="1:12" x14ac:dyDescent="0.25">
      <c r="A260" t="s">
        <v>347</v>
      </c>
      <c r="B260" t="s">
        <v>511</v>
      </c>
      <c r="C260" t="str" cm="1">
        <f t="array" ref="C260">CleanText(B260)</f>
        <v>ok pembe reng kullanlm</v>
      </c>
      <c r="D260">
        <v>0</v>
      </c>
      <c r="E260">
        <v>0</v>
      </c>
      <c r="F260" t="s">
        <v>10</v>
      </c>
      <c r="G260" t="str" cm="1">
        <f t="array" ref="G260">FindCountryName(F260)</f>
        <v>None</v>
      </c>
      <c r="H260" s="3">
        <v>45317.447395833333</v>
      </c>
      <c r="I260" s="3">
        <v>45317.447395833333</v>
      </c>
      <c r="J260" s="3">
        <v>45317.442199074074</v>
      </c>
      <c r="K260" cm="1">
        <f t="array" ref="K260">sentimentCalc(C260)</f>
        <v>0</v>
      </c>
      <c r="L260" t="str" cm="1">
        <f t="array" ref="L260">sentimentCategory(K260)</f>
        <v>Neutral</v>
      </c>
    </row>
    <row r="261" spans="1:12" x14ac:dyDescent="0.25">
      <c r="A261" t="s">
        <v>345</v>
      </c>
      <c r="B261" t="s">
        <v>346</v>
      </c>
      <c r="C261" t="str" cm="1">
        <f t="array" ref="C261">CleanText(B261)</f>
        <v>ok sexsi kzm kzlar hitab yksek</v>
      </c>
      <c r="D261">
        <v>0</v>
      </c>
      <c r="E261">
        <v>0</v>
      </c>
      <c r="F261" t="s">
        <v>10</v>
      </c>
      <c r="G261" t="str" cm="1">
        <f t="array" ref="G261">FindCountryName(F261)</f>
        <v>None</v>
      </c>
      <c r="H261" s="3">
        <v>45322.277349537035</v>
      </c>
      <c r="I261" s="3">
        <v>45322.277349537035</v>
      </c>
      <c r="J261" s="3">
        <v>44856.478460648148</v>
      </c>
      <c r="K261" cm="1">
        <f t="array" ref="K261">sentimentCalc(C261)</f>
        <v>0</v>
      </c>
      <c r="L261" t="str" cm="1">
        <f t="array" ref="L261">sentimentCategory(K261)</f>
        <v>Neutral</v>
      </c>
    </row>
    <row r="262" spans="1:12" x14ac:dyDescent="0.25">
      <c r="A262" t="s">
        <v>375</v>
      </c>
      <c r="B262" t="s">
        <v>376</v>
      </c>
      <c r="C262" t="str" cm="1">
        <f t="array" ref="C262">CleanText(B262)</f>
        <v>ok tatl bir film ya</v>
      </c>
      <c r="D262">
        <v>0</v>
      </c>
      <c r="E262">
        <v>0</v>
      </c>
      <c r="F262" t="s">
        <v>10</v>
      </c>
      <c r="G262" t="str" cm="1">
        <f t="array" ref="G262">FindCountryName(F262)</f>
        <v>None</v>
      </c>
      <c r="H262" s="3">
        <v>45322.274027777778</v>
      </c>
      <c r="I262" s="3">
        <v>45322.274027777778</v>
      </c>
      <c r="J262" s="3">
        <v>44635.398009259261</v>
      </c>
      <c r="K262" cm="1">
        <f t="array" ref="K262">sentimentCalc(C262)</f>
        <v>0</v>
      </c>
      <c r="L262" t="str" cm="1">
        <f t="array" ref="L262">sentimentCategory(K262)</f>
        <v>Neutral</v>
      </c>
    </row>
    <row r="263" spans="1:12" x14ac:dyDescent="0.25">
      <c r="A263" t="s">
        <v>197</v>
      </c>
      <c r="B263" t="s">
        <v>967</v>
      </c>
      <c r="C263" t="str" cm="1">
        <f t="array" ref="C263">CleanText(B263)</f>
        <v>ok tatl harika ve lgn bir video</v>
      </c>
      <c r="D263">
        <v>0</v>
      </c>
      <c r="E263">
        <v>0</v>
      </c>
      <c r="F263" t="s">
        <v>10</v>
      </c>
      <c r="G263" t="str" cm="1">
        <f t="array" ref="G263">FindCountryName(F263)</f>
        <v>None</v>
      </c>
      <c r="H263" s="3">
        <v>45299.255185185182</v>
      </c>
      <c r="I263" s="3">
        <v>45299.255185185182</v>
      </c>
      <c r="J263" s="3">
        <v>42757.584155092591</v>
      </c>
      <c r="K263" cm="1">
        <f t="array" ref="K263">sentimentCalc(C263)</f>
        <v>0</v>
      </c>
      <c r="L263" t="str" cm="1">
        <f t="array" ref="L263">sentimentCategory(K263)</f>
        <v>Neutral</v>
      </c>
    </row>
    <row r="264" spans="1:12" x14ac:dyDescent="0.25">
      <c r="A264" t="s">
        <v>103</v>
      </c>
      <c r="B264" t="s">
        <v>414</v>
      </c>
      <c r="C264" t="str" cm="1">
        <f t="array" ref="C264">CleanText(B264)</f>
        <v>ok tatllar ya izlenmeli</v>
      </c>
      <c r="D264">
        <v>0</v>
      </c>
      <c r="E264">
        <v>0</v>
      </c>
      <c r="F264" t="s">
        <v>10</v>
      </c>
      <c r="G264" t="str" cm="1">
        <f t="array" ref="G264">FindCountryName(F264)</f>
        <v>None</v>
      </c>
      <c r="H264" s="3">
        <v>45322.272280092591</v>
      </c>
      <c r="I264" s="3">
        <v>45322.272280092591</v>
      </c>
      <c r="J264" s="3">
        <v>42482.223865740743</v>
      </c>
      <c r="K264" cm="1">
        <f t="array" ref="K264">sentimentCalc(C264)</f>
        <v>0</v>
      </c>
      <c r="L264" t="str" cm="1">
        <f t="array" ref="L264">sentimentCategory(K264)</f>
        <v>Neutral</v>
      </c>
    </row>
    <row r="265" spans="1:12" x14ac:dyDescent="0.25">
      <c r="A265" t="s">
        <v>1041</v>
      </c>
      <c r="B265" t="s">
        <v>3190</v>
      </c>
      <c r="C265" t="str" cm="1">
        <f t="array" ref="C265">CleanText(B265)</f>
        <v>by japan</v>
      </c>
      <c r="D265">
        <v>2</v>
      </c>
      <c r="E265">
        <v>0</v>
      </c>
      <c r="F265" t="s">
        <v>10</v>
      </c>
      <c r="G265" t="str" cm="1">
        <f t="array" ref="G265">FindCountryName(F265)</f>
        <v>None</v>
      </c>
      <c r="H265" s="3">
        <v>45152.119212962964</v>
      </c>
      <c r="I265" s="3">
        <v>45152.119212962964</v>
      </c>
      <c r="J265" s="3">
        <v>44962.21292824074</v>
      </c>
      <c r="K265" cm="1">
        <f t="array" ref="K265">sentimentCalc(C265)</f>
        <v>0</v>
      </c>
      <c r="L265" t="str" cm="1">
        <f t="array" ref="L265">sentimentCategory(K265)</f>
        <v>Neutral</v>
      </c>
    </row>
    <row r="266" spans="1:12" x14ac:dyDescent="0.25">
      <c r="A266" t="s">
        <v>130</v>
      </c>
      <c r="B266" t="s">
        <v>4055</v>
      </c>
      <c r="C266" t="str" cm="1">
        <f t="array" ref="C266">CleanText(B266)</f>
        <v>n</v>
      </c>
      <c r="D266">
        <v>1</v>
      </c>
      <c r="E266">
        <v>1</v>
      </c>
      <c r="F266" t="s">
        <v>10</v>
      </c>
      <c r="G266" t="str" cm="1">
        <f t="array" ref="G266">FindCountryName(F266)</f>
        <v>None</v>
      </c>
      <c r="H266" s="3">
        <v>45143.342476851853</v>
      </c>
      <c r="I266" s="3">
        <v>45143.342476851853</v>
      </c>
      <c r="J266" s="3">
        <v>44443.300046296295</v>
      </c>
      <c r="K266" cm="1">
        <f t="array" ref="K266">sentimentCalc(C266)</f>
        <v>0</v>
      </c>
      <c r="L266" t="str" cm="1">
        <f t="array" ref="L266">sentimentCategory(K266)</f>
        <v>Neutral</v>
      </c>
    </row>
    <row r="267" spans="1:12" x14ac:dyDescent="0.25">
      <c r="A267" t="s">
        <v>462</v>
      </c>
      <c r="B267" t="s">
        <v>650</v>
      </c>
      <c r="C267" t="str" cm="1">
        <f t="array" ref="C267">CleanText(B267)</f>
        <v>ok gzel ok iyi bir film</v>
      </c>
      <c r="D267">
        <v>0</v>
      </c>
      <c r="E267">
        <v>0</v>
      </c>
      <c r="F267" t="s">
        <v>10</v>
      </c>
      <c r="G267" t="str" cm="1">
        <f t="array" ref="G267">FindCountryName(F267)</f>
        <v>None</v>
      </c>
      <c r="H267" s="3">
        <v>45314.281180555554</v>
      </c>
      <c r="I267" s="3">
        <v>45314.281180555554</v>
      </c>
      <c r="J267" s="3">
        <v>43985.215925925928</v>
      </c>
      <c r="K267" cm="1">
        <f t="array" ref="K267">sentimentCalc(C267)</f>
        <v>0</v>
      </c>
      <c r="L267" t="str" cm="1">
        <f t="array" ref="L267">sentimentCategory(K267)</f>
        <v>Neutral</v>
      </c>
    </row>
    <row r="268" spans="1:12" x14ac:dyDescent="0.25">
      <c r="A268" t="s">
        <v>453</v>
      </c>
      <c r="B268" t="s">
        <v>1415</v>
      </c>
      <c r="C268" t="str" cm="1">
        <f t="array" ref="C268">CleanText(B268)</f>
        <v>b</v>
      </c>
      <c r="D268">
        <v>0</v>
      </c>
      <c r="E268">
        <v>0</v>
      </c>
      <c r="F268" t="s">
        <v>10</v>
      </c>
      <c r="G268" t="str" cm="1">
        <f t="array" ref="G268">FindCountryName(F268)</f>
        <v>None</v>
      </c>
      <c r="H268" s="3">
        <v>45232.936203703706</v>
      </c>
      <c r="I268" s="3">
        <v>45232.936203703706</v>
      </c>
      <c r="J268" s="3">
        <v>43611.474745370368</v>
      </c>
      <c r="K268" cm="1">
        <f t="array" ref="K268">sentimentCalc(C268)</f>
        <v>0</v>
      </c>
      <c r="L268" t="str" cm="1">
        <f t="array" ref="L268">sentimentCategory(K268)</f>
        <v>Neutral</v>
      </c>
    </row>
    <row r="269" spans="1:12" x14ac:dyDescent="0.25">
      <c r="A269" t="s">
        <v>162</v>
      </c>
      <c r="B269" t="s">
        <v>1343</v>
      </c>
      <c r="C269" t="str" cm="1">
        <f t="array" ref="C269">CleanText(B269)</f>
        <v>filme maravilhoso muito top parabns para os editores</v>
      </c>
      <c r="D269">
        <v>1</v>
      </c>
      <c r="E269">
        <v>0</v>
      </c>
      <c r="F269" t="s">
        <v>10</v>
      </c>
      <c r="G269" t="str" cm="1">
        <f t="array" ref="G269">FindCountryName(F269)</f>
        <v>None</v>
      </c>
      <c r="H269" s="3">
        <v>45242.59516203704</v>
      </c>
      <c r="I269" s="3">
        <v>45242.59516203704</v>
      </c>
      <c r="J269" s="3">
        <v>44207.762175925927</v>
      </c>
      <c r="K269" cm="1">
        <f t="array" ref="K269">sentimentCalc(C269)</f>
        <v>2</v>
      </c>
      <c r="L269" t="str" cm="1">
        <f t="array" ref="L269">sentimentCategory(K269)</f>
        <v>Positive</v>
      </c>
    </row>
    <row r="270" spans="1:12" x14ac:dyDescent="0.25">
      <c r="A270" t="s">
        <v>440</v>
      </c>
      <c r="B270" t="s">
        <v>441</v>
      </c>
      <c r="C270" t="str" cm="1">
        <f t="array" ref="C270">CleanText(B270)</f>
        <v>n</v>
      </c>
      <c r="D270">
        <v>0</v>
      </c>
      <c r="E270">
        <v>0</v>
      </c>
      <c r="F270" t="s">
        <v>10</v>
      </c>
      <c r="G270" t="str" cm="1">
        <f t="array" ref="G270">FindCountryName(F270)</f>
        <v>None</v>
      </c>
      <c r="H270" s="3">
        <v>45322.271493055552</v>
      </c>
      <c r="I270" s="3">
        <v>45322.271493055552</v>
      </c>
      <c r="J270" s="3">
        <v>42762.812824074077</v>
      </c>
      <c r="K270" cm="1">
        <f t="array" ref="K270">sentimentCalc(C270)</f>
        <v>0</v>
      </c>
      <c r="L270" t="str" cm="1">
        <f t="array" ref="L270">sentimentCategory(K270)</f>
        <v>Neutral</v>
      </c>
    </row>
    <row r="271" spans="1:12" x14ac:dyDescent="0.25">
      <c r="A271" t="s">
        <v>11</v>
      </c>
      <c r="B271" t="s">
        <v>2349</v>
      </c>
      <c r="C271" t="str" cm="1">
        <f t="array" ref="C271">CleanText(B271)</f>
        <v>super sir</v>
      </c>
      <c r="D271">
        <v>0</v>
      </c>
      <c r="E271">
        <v>0</v>
      </c>
      <c r="F271" t="s">
        <v>10</v>
      </c>
      <c r="G271" t="str" cm="1">
        <f t="array" ref="G271">FindCountryName(F271)</f>
        <v>None</v>
      </c>
      <c r="H271" s="3">
        <v>45171.405682870369</v>
      </c>
      <c r="I271" s="3">
        <v>45171.405682870369</v>
      </c>
      <c r="J271" s="3">
        <v>45171.405659722222</v>
      </c>
      <c r="K271" cm="1">
        <f t="array" ref="K271">sentimentCalc(C271)</f>
        <v>3</v>
      </c>
      <c r="L271" t="str" cm="1">
        <f t="array" ref="L271">sentimentCategory(K271)</f>
        <v>Positive</v>
      </c>
    </row>
    <row r="272" spans="1:12" x14ac:dyDescent="0.25">
      <c r="A272" t="s">
        <v>549</v>
      </c>
      <c r="B272" t="s">
        <v>2774</v>
      </c>
      <c r="C272" t="str" cm="1">
        <f t="array" ref="C272">CleanText(B272)</f>
        <v>n</v>
      </c>
      <c r="D272">
        <v>1</v>
      </c>
      <c r="E272">
        <v>0</v>
      </c>
      <c r="F272" t="s">
        <v>10</v>
      </c>
      <c r="G272" t="str" cm="1">
        <f t="array" ref="G272">FindCountryName(F272)</f>
        <v>None</v>
      </c>
      <c r="H272" s="3">
        <v>45158.165324074071</v>
      </c>
      <c r="I272" s="3">
        <v>45158.165324074071</v>
      </c>
      <c r="J272" s="3">
        <v>42940.187754629631</v>
      </c>
      <c r="K272" cm="1">
        <f t="array" ref="K272">sentimentCalc(C272)</f>
        <v>0</v>
      </c>
      <c r="L272" t="str" cm="1">
        <f t="array" ref="L272">sentimentCategory(K272)</f>
        <v>Neutral</v>
      </c>
    </row>
    <row r="273" spans="1:12" x14ac:dyDescent="0.25">
      <c r="A273" t="s">
        <v>118</v>
      </c>
      <c r="B273" t="s">
        <v>271</v>
      </c>
      <c r="C273" t="str" cm="1">
        <f t="array" ref="C273">CleanText(B273)</f>
        <v>n</v>
      </c>
      <c r="D273">
        <v>0</v>
      </c>
      <c r="E273">
        <v>0</v>
      </c>
      <c r="F273" t="s">
        <v>272</v>
      </c>
      <c r="G273" t="str" cm="1">
        <f t="array" ref="G273">FindCountryName(F273)</f>
        <v>Italy</v>
      </c>
      <c r="H273" s="3">
        <v>45322.739027777781</v>
      </c>
      <c r="I273" s="3">
        <v>45322.739027777781</v>
      </c>
      <c r="J273" s="3">
        <v>44247.271319444444</v>
      </c>
      <c r="K273" cm="1">
        <f t="array" ref="K273">sentimentCalc(C273)</f>
        <v>0</v>
      </c>
      <c r="L273" t="str" cm="1">
        <f t="array" ref="L273">sentimentCategory(K273)</f>
        <v>Neutral</v>
      </c>
    </row>
    <row r="274" spans="1:12" x14ac:dyDescent="0.25">
      <c r="A274" t="s">
        <v>930</v>
      </c>
      <c r="B274" t="s">
        <v>1526</v>
      </c>
      <c r="C274" t="str" cm="1">
        <f t="array" ref="C274">CleanText(B274)</f>
        <v>noura boubeh miss lebanon fashion barbie usa fashion show</v>
      </c>
      <c r="D274">
        <v>1</v>
      </c>
      <c r="E274">
        <v>0</v>
      </c>
      <c r="F274" t="s">
        <v>10</v>
      </c>
      <c r="G274" t="str" cm="1">
        <f t="array" ref="G274">FindCountryName(F274)</f>
        <v>None</v>
      </c>
      <c r="H274" s="3">
        <v>45217.070081018515</v>
      </c>
      <c r="I274" s="3">
        <v>45217.070081018515</v>
      </c>
      <c r="J274" s="3">
        <v>44195.512245370373</v>
      </c>
      <c r="K274" cm="1">
        <f t="array" ref="K274">sentimentCalc(C274)</f>
        <v>-2</v>
      </c>
      <c r="L274" t="str" cm="1">
        <f t="array" ref="L274">sentimentCategory(K274)</f>
        <v>Negative</v>
      </c>
    </row>
    <row r="275" spans="1:12" x14ac:dyDescent="0.25">
      <c r="A275" t="s">
        <v>465</v>
      </c>
      <c r="B275" t="s">
        <v>466</v>
      </c>
      <c r="C275" t="str" cm="1">
        <f t="array" ref="C275">CleanText(B275)</f>
        <v>ok iyi</v>
      </c>
      <c r="D275">
        <v>0</v>
      </c>
      <c r="E275">
        <v>0</v>
      </c>
      <c r="F275" t="s">
        <v>10</v>
      </c>
      <c r="G275" t="str" cm="1">
        <f t="array" ref="G275">FindCountryName(F275)</f>
        <v>None</v>
      </c>
      <c r="H275" s="3">
        <v>45322.271064814813</v>
      </c>
      <c r="I275" s="3">
        <v>45322.271064814813</v>
      </c>
      <c r="J275" s="3">
        <v>44568.549247685187</v>
      </c>
      <c r="K275" cm="1">
        <f t="array" ref="K275">sentimentCalc(C275)</f>
        <v>0</v>
      </c>
      <c r="L275" t="str" cm="1">
        <f t="array" ref="L275">sentimentCategory(K275)</f>
        <v>Neutral</v>
      </c>
    </row>
    <row r="276" spans="1:12" x14ac:dyDescent="0.25">
      <c r="A276" t="s">
        <v>22</v>
      </c>
      <c r="B276" t="s">
        <v>23</v>
      </c>
      <c r="C276" t="str" cm="1">
        <f t="array" ref="C276">CleanText(B276)</f>
        <v>n</v>
      </c>
      <c r="D276">
        <v>0</v>
      </c>
      <c r="E276">
        <v>0</v>
      </c>
      <c r="F276" t="s">
        <v>10</v>
      </c>
      <c r="G276" t="str" cm="1">
        <f t="array" ref="G276">FindCountryName(F276)</f>
        <v>None</v>
      </c>
      <c r="H276" s="3">
        <v>45349.70045138889</v>
      </c>
      <c r="I276" s="3">
        <v>45349.70045138889</v>
      </c>
      <c r="J276" s="3">
        <v>43750.200150462966</v>
      </c>
      <c r="K276" cm="1">
        <f t="array" ref="K276">sentimentCalc(C276)</f>
        <v>0</v>
      </c>
      <c r="L276" t="str" cm="1">
        <f t="array" ref="L276">sentimentCategory(K276)</f>
        <v>Neutral</v>
      </c>
    </row>
    <row r="277" spans="1:12" x14ac:dyDescent="0.25">
      <c r="A277" t="s">
        <v>472</v>
      </c>
      <c r="B277" t="s">
        <v>490</v>
      </c>
      <c r="C277" t="str" cm="1">
        <f t="array" ref="C277">CleanText(B277)</f>
        <v>barbie</v>
      </c>
      <c r="D277">
        <v>0</v>
      </c>
      <c r="E277">
        <v>0</v>
      </c>
      <c r="F277" t="s">
        <v>10</v>
      </c>
      <c r="G277" t="str" cm="1">
        <f t="array" ref="G277">FindCountryName(F277)</f>
        <v>None</v>
      </c>
      <c r="H277" s="3">
        <v>45319.064039351855</v>
      </c>
      <c r="I277" s="3">
        <v>45319.064039351855</v>
      </c>
      <c r="J277" s="3">
        <v>45184.351041666669</v>
      </c>
      <c r="K277" cm="1">
        <f t="array" ref="K277">sentimentCalc(C277)</f>
        <v>0</v>
      </c>
      <c r="L277" t="str" cm="1">
        <f t="array" ref="L277">sentimentCategory(K277)</f>
        <v>Neutral</v>
      </c>
    </row>
    <row r="278" spans="1:12" x14ac:dyDescent="0.25">
      <c r="A278" t="s">
        <v>2089</v>
      </c>
      <c r="B278" t="s">
        <v>2598</v>
      </c>
      <c r="C278" t="str" cm="1">
        <f t="array" ref="C278">CleanText(B278)</f>
        <v>n</v>
      </c>
      <c r="D278">
        <v>0</v>
      </c>
      <c r="E278">
        <v>0</v>
      </c>
      <c r="F278" t="s">
        <v>227</v>
      </c>
      <c r="G278" t="str" cm="1">
        <f t="array" ref="G278">FindCountryName(F278)</f>
        <v>United States of America (the)</v>
      </c>
      <c r="H278" s="3">
        <v>45162.269224537034</v>
      </c>
      <c r="I278" s="3">
        <v>45162.269224537034</v>
      </c>
      <c r="J278" s="3">
        <v>42982.899895833332</v>
      </c>
      <c r="K278" cm="1">
        <f t="array" ref="K278">sentimentCalc(C278)</f>
        <v>0</v>
      </c>
      <c r="L278" t="str" cm="1">
        <f t="array" ref="L278">sentimentCategory(K278)</f>
        <v>Neutral</v>
      </c>
    </row>
    <row r="279" spans="1:12" x14ac:dyDescent="0.25">
      <c r="A279" t="s">
        <v>103</v>
      </c>
      <c r="B279" t="s">
        <v>391</v>
      </c>
      <c r="C279" t="str" cm="1">
        <f t="array" ref="C279">CleanText(B279)</f>
        <v>n</v>
      </c>
      <c r="D279">
        <v>0</v>
      </c>
      <c r="E279">
        <v>0</v>
      </c>
      <c r="F279" t="s">
        <v>10</v>
      </c>
      <c r="G279" t="str" cm="1">
        <f t="array" ref="G279">FindCountryName(F279)</f>
        <v>None</v>
      </c>
      <c r="H279" s="3">
        <v>45322.272847222222</v>
      </c>
      <c r="I279" s="3">
        <v>45322.272847222222</v>
      </c>
      <c r="J279" s="3">
        <v>42482.223865740743</v>
      </c>
      <c r="K279" cm="1">
        <f t="array" ref="K279">sentimentCalc(C279)</f>
        <v>0</v>
      </c>
      <c r="L279" t="str" cm="1">
        <f t="array" ref="L279">sentimentCategory(K279)</f>
        <v>Neutral</v>
      </c>
    </row>
    <row r="280" spans="1:12" x14ac:dyDescent="0.25">
      <c r="A280" t="s">
        <v>427</v>
      </c>
      <c r="B280" t="s">
        <v>3224</v>
      </c>
      <c r="C280" t="str" cm="1">
        <f t="array" ref="C280">CleanText(B280)</f>
        <v>n</v>
      </c>
      <c r="D280">
        <v>1</v>
      </c>
      <c r="E280">
        <v>1</v>
      </c>
      <c r="F280" t="s">
        <v>10</v>
      </c>
      <c r="G280" t="str" cm="1">
        <f t="array" ref="G280">FindCountryName(F280)</f>
        <v>None</v>
      </c>
      <c r="H280" s="3">
        <v>45151.579594907409</v>
      </c>
      <c r="I280" s="3">
        <v>45151.579594907409</v>
      </c>
      <c r="J280" s="3">
        <v>42548.644131944442</v>
      </c>
      <c r="K280" cm="1">
        <f t="array" ref="K280">sentimentCalc(C280)</f>
        <v>0</v>
      </c>
      <c r="L280" t="str" cm="1">
        <f t="array" ref="L280">sentimentCategory(K280)</f>
        <v>Neutral</v>
      </c>
    </row>
    <row r="281" spans="1:12" x14ac:dyDescent="0.25">
      <c r="A281" t="s">
        <v>1717</v>
      </c>
      <c r="B281" t="s">
        <v>1718</v>
      </c>
      <c r="C281" t="str" cm="1">
        <f t="array" ref="C281">CleanText(B281)</f>
        <v>n</v>
      </c>
      <c r="D281">
        <v>0</v>
      </c>
      <c r="E281">
        <v>0</v>
      </c>
      <c r="F281" t="s">
        <v>227</v>
      </c>
      <c r="G281" t="str" cm="1">
        <f t="array" ref="G281">FindCountryName(F281)</f>
        <v>United States of America (the)</v>
      </c>
      <c r="H281" s="3">
        <v>45199.617488425924</v>
      </c>
      <c r="I281" s="3">
        <v>45199.617488425924</v>
      </c>
      <c r="J281" s="3">
        <v>45092.838738425926</v>
      </c>
      <c r="K281" cm="1">
        <f t="array" ref="K281">sentimentCalc(C281)</f>
        <v>0</v>
      </c>
      <c r="L281" t="str" cm="1">
        <f t="array" ref="L281">sentimentCategory(K281)</f>
        <v>Neutral</v>
      </c>
    </row>
    <row r="282" spans="1:12" x14ac:dyDescent="0.25">
      <c r="A282" t="s">
        <v>405</v>
      </c>
      <c r="B282" t="s">
        <v>3278</v>
      </c>
      <c r="C282" t="str" cm="1">
        <f t="array" ref="C282">CleanText(B282)</f>
        <v>n</v>
      </c>
      <c r="D282">
        <v>2</v>
      </c>
      <c r="E282">
        <v>0</v>
      </c>
      <c r="F282" t="s">
        <v>10</v>
      </c>
      <c r="G282" t="str" cm="1">
        <f t="array" ref="G282">FindCountryName(F282)</f>
        <v>None</v>
      </c>
      <c r="H282" s="3">
        <v>45150.865416666667</v>
      </c>
      <c r="I282" s="3">
        <v>45150.865416666667</v>
      </c>
      <c r="J282" s="3">
        <v>45150.865405092591</v>
      </c>
      <c r="K282" cm="1">
        <f t="array" ref="K282">sentimentCalc(C282)</f>
        <v>0</v>
      </c>
      <c r="L282" t="str" cm="1">
        <f t="array" ref="L282">sentimentCategory(K282)</f>
        <v>Neutral</v>
      </c>
    </row>
    <row r="283" spans="1:12" x14ac:dyDescent="0.25">
      <c r="A283" t="s">
        <v>395</v>
      </c>
      <c r="B283" t="s">
        <v>2567</v>
      </c>
      <c r="C283" t="str" cm="1">
        <f t="array" ref="C283">CleanText(B283)</f>
        <v>n</v>
      </c>
      <c r="D283">
        <v>0</v>
      </c>
      <c r="E283">
        <v>0</v>
      </c>
      <c r="F283" t="s">
        <v>10</v>
      </c>
      <c r="G283" t="str" cm="1">
        <f t="array" ref="G283">FindCountryName(F283)</f>
        <v>None</v>
      </c>
      <c r="H283" s="3">
        <v>45163.260428240741</v>
      </c>
      <c r="I283" s="3">
        <v>45163.260428240741</v>
      </c>
      <c r="J283" s="3">
        <v>44950.38484953704</v>
      </c>
      <c r="K283" cm="1">
        <f t="array" ref="K283">sentimentCalc(C283)</f>
        <v>0</v>
      </c>
      <c r="L283" t="str" cm="1">
        <f t="array" ref="L283">sentimentCategory(K283)</f>
        <v>Neutral</v>
      </c>
    </row>
    <row r="284" spans="1:12" x14ac:dyDescent="0.25">
      <c r="A284" t="s">
        <v>360</v>
      </c>
      <c r="B284" t="s">
        <v>2402</v>
      </c>
      <c r="C284" t="str" cm="1">
        <f t="array" ref="C284">CleanText(B284)</f>
        <v>n</v>
      </c>
      <c r="D284">
        <v>2</v>
      </c>
      <c r="E284">
        <v>0</v>
      </c>
      <c r="F284" t="s">
        <v>10</v>
      </c>
      <c r="G284" t="str" cm="1">
        <f t="array" ref="G284">FindCountryName(F284)</f>
        <v>None</v>
      </c>
      <c r="H284" s="3">
        <v>45168.758136574077</v>
      </c>
      <c r="I284" s="3">
        <v>45168.758125</v>
      </c>
      <c r="J284" s="3">
        <v>42525.401018518518</v>
      </c>
      <c r="K284" cm="1">
        <f t="array" ref="K284">sentimentCalc(C284)</f>
        <v>0</v>
      </c>
      <c r="L284" t="str" cm="1">
        <f t="array" ref="L284">sentimentCategory(K284)</f>
        <v>Neutral</v>
      </c>
    </row>
    <row r="285" spans="1:12" x14ac:dyDescent="0.25">
      <c r="A285" t="s">
        <v>120</v>
      </c>
      <c r="B285" t="s">
        <v>1586</v>
      </c>
      <c r="C285" t="str" cm="1">
        <f t="array" ref="C285">CleanText(B285)</f>
        <v>n</v>
      </c>
      <c r="D285">
        <v>0</v>
      </c>
      <c r="E285">
        <v>0</v>
      </c>
      <c r="F285" t="s">
        <v>10</v>
      </c>
      <c r="G285" t="str" cm="1">
        <f t="array" ref="G285">FindCountryName(F285)</f>
        <v>None</v>
      </c>
      <c r="H285" s="3">
        <v>45212.340717592589</v>
      </c>
      <c r="I285" s="3">
        <v>45212.340717592589</v>
      </c>
      <c r="J285" s="3">
        <v>45111.212245370371</v>
      </c>
      <c r="K285" cm="1">
        <f t="array" ref="K285">sentimentCalc(C285)</f>
        <v>0</v>
      </c>
      <c r="L285" t="str" cm="1">
        <f t="array" ref="L285">sentimentCategory(K285)</f>
        <v>Neutral</v>
      </c>
    </row>
    <row r="286" spans="1:12" x14ac:dyDescent="0.25">
      <c r="A286" t="s">
        <v>192</v>
      </c>
      <c r="B286" t="s">
        <v>2910</v>
      </c>
      <c r="C286" t="str" cm="1">
        <f t="array" ref="C286">CleanText(B286)</f>
        <v>n</v>
      </c>
      <c r="D286">
        <v>0</v>
      </c>
      <c r="E286">
        <v>0</v>
      </c>
      <c r="F286" t="s">
        <v>10</v>
      </c>
      <c r="G286" t="str" cm="1">
        <f t="array" ref="G286">FindCountryName(F286)</f>
        <v>None</v>
      </c>
      <c r="H286" s="3">
        <v>45156.014652777776</v>
      </c>
      <c r="I286" s="3">
        <v>45156.014652777776</v>
      </c>
      <c r="J286" s="3">
        <v>45117.825856481482</v>
      </c>
      <c r="K286" cm="1">
        <f t="array" ref="K286">sentimentCalc(C286)</f>
        <v>0</v>
      </c>
      <c r="L286" t="str" cm="1">
        <f t="array" ref="L286">sentimentCategory(K286)</f>
        <v>Neutral</v>
      </c>
    </row>
    <row r="287" spans="1:12" x14ac:dyDescent="0.25">
      <c r="A287" t="s">
        <v>692</v>
      </c>
      <c r="B287" t="s">
        <v>1053</v>
      </c>
      <c r="C287" t="str" cm="1">
        <f t="array" ref="C287">CleanText(B287)</f>
        <v>bonica</v>
      </c>
      <c r="D287">
        <v>0</v>
      </c>
      <c r="E287">
        <v>0</v>
      </c>
      <c r="F287" t="s">
        <v>10</v>
      </c>
      <c r="G287" t="str" cm="1">
        <f t="array" ref="G287">FindCountryName(F287)</f>
        <v>None</v>
      </c>
      <c r="H287" s="3">
        <v>45297.113958333335</v>
      </c>
      <c r="I287" s="3">
        <v>45297.113958333335</v>
      </c>
      <c r="J287" s="3">
        <v>43281.694502314815</v>
      </c>
      <c r="K287" cm="1">
        <f t="array" ref="K287">sentimentCalc(C287)</f>
        <v>0</v>
      </c>
      <c r="L287" t="str" cm="1">
        <f t="array" ref="L287">sentimentCategory(K287)</f>
        <v>Neutral</v>
      </c>
    </row>
    <row r="288" spans="1:12" x14ac:dyDescent="0.25">
      <c r="A288" t="s">
        <v>3440</v>
      </c>
      <c r="B288" t="s">
        <v>4132</v>
      </c>
      <c r="C288" t="str" cm="1">
        <f t="array" ref="C288">CleanText(B288)</f>
        <v>n</v>
      </c>
      <c r="D288">
        <v>0</v>
      </c>
      <c r="E288">
        <v>0</v>
      </c>
      <c r="F288" t="s">
        <v>10</v>
      </c>
      <c r="G288" t="str" cm="1">
        <f t="array" ref="G288">FindCountryName(F288)</f>
        <v>None</v>
      </c>
      <c r="H288" s="3">
        <v>45142.616030092591</v>
      </c>
      <c r="I288" s="3">
        <v>45142.616030092591</v>
      </c>
      <c r="J288" s="3">
        <v>45058.425763888888</v>
      </c>
      <c r="K288" cm="1">
        <f t="array" ref="K288">sentimentCalc(C288)</f>
        <v>0</v>
      </c>
      <c r="L288" t="str" cm="1">
        <f t="array" ref="L288">sentimentCategory(K288)</f>
        <v>Neutral</v>
      </c>
    </row>
    <row r="289" spans="1:12" x14ac:dyDescent="0.25">
      <c r="A289" t="s">
        <v>724</v>
      </c>
      <c r="B289" t="s">
        <v>812</v>
      </c>
      <c r="C289" t="str" cm="1">
        <f t="array" ref="C289">CleanText(B289)</f>
        <v>b</v>
      </c>
      <c r="D289">
        <v>0</v>
      </c>
      <c r="E289">
        <v>0</v>
      </c>
      <c r="F289" t="s">
        <v>10</v>
      </c>
      <c r="G289" t="str" cm="1">
        <f t="array" ref="G289">FindCountryName(F289)</f>
        <v>None</v>
      </c>
      <c r="H289" s="3">
        <v>45306.198773148149</v>
      </c>
      <c r="I289" s="3">
        <v>45306.198773148149</v>
      </c>
      <c r="J289" s="3">
        <v>42603.387418981481</v>
      </c>
      <c r="K289" cm="1">
        <f t="array" ref="K289">sentimentCalc(C289)</f>
        <v>0</v>
      </c>
      <c r="L289" t="str" cm="1">
        <f t="array" ref="L289">sentimentCategory(K289)</f>
        <v>Neutral</v>
      </c>
    </row>
    <row r="290" spans="1:12" x14ac:dyDescent="0.25">
      <c r="A290" t="s">
        <v>523</v>
      </c>
      <c r="B290" t="s">
        <v>3085</v>
      </c>
      <c r="C290" t="str" cm="1">
        <f t="array" ref="C290">CleanText(B290)</f>
        <v>n</v>
      </c>
      <c r="D290">
        <v>0</v>
      </c>
      <c r="E290">
        <v>0</v>
      </c>
      <c r="F290" t="s">
        <v>10</v>
      </c>
      <c r="G290" t="str" cm="1">
        <f t="array" ref="G290">FindCountryName(F290)</f>
        <v>None</v>
      </c>
      <c r="H290" s="3">
        <v>45153.617789351854</v>
      </c>
      <c r="I290" s="3">
        <v>45153.617789351854</v>
      </c>
      <c r="J290" s="3">
        <v>45075.661747685182</v>
      </c>
      <c r="K290" cm="1">
        <f t="array" ref="K290">sentimentCalc(C290)</f>
        <v>0</v>
      </c>
      <c r="L290" t="str" cm="1">
        <f t="array" ref="L290">sentimentCategory(K290)</f>
        <v>Neutral</v>
      </c>
    </row>
    <row r="291" spans="1:12" x14ac:dyDescent="0.25">
      <c r="A291" t="s">
        <v>2161</v>
      </c>
      <c r="B291" t="s">
        <v>3953</v>
      </c>
      <c r="C291" t="str" cm="1">
        <f t="array" ref="C291">CleanText(B291)</f>
        <v>n</v>
      </c>
      <c r="D291">
        <v>1</v>
      </c>
      <c r="E291">
        <v>0</v>
      </c>
      <c r="F291" t="s">
        <v>10</v>
      </c>
      <c r="G291" t="str" cm="1">
        <f t="array" ref="G291">FindCountryName(F291)</f>
        <v>None</v>
      </c>
      <c r="H291" s="3">
        <v>45144.19940972222</v>
      </c>
      <c r="I291" s="3">
        <v>45144.19940972222</v>
      </c>
      <c r="J291" s="3">
        <v>41756.389675925922</v>
      </c>
      <c r="K291" cm="1">
        <f t="array" ref="K291">sentimentCalc(C291)</f>
        <v>0</v>
      </c>
      <c r="L291" t="str" cm="1">
        <f t="array" ref="L291">sentimentCategory(K291)</f>
        <v>Neutral</v>
      </c>
    </row>
    <row r="292" spans="1:12" x14ac:dyDescent="0.25">
      <c r="A292" t="s">
        <v>866</v>
      </c>
      <c r="B292" t="s">
        <v>867</v>
      </c>
      <c r="C292" t="str" cm="1">
        <f t="array" ref="C292">CleanText(B292)</f>
        <v>n</v>
      </c>
      <c r="D292">
        <v>1</v>
      </c>
      <c r="E292">
        <v>0</v>
      </c>
      <c r="F292" t="s">
        <v>10</v>
      </c>
      <c r="G292" t="str" cm="1">
        <f t="array" ref="G292">FindCountryName(F292)</f>
        <v>None</v>
      </c>
      <c r="H292" s="3">
        <v>45299.445949074077</v>
      </c>
      <c r="I292" s="3">
        <v>45299.445949074077</v>
      </c>
      <c r="J292" s="3">
        <v>41573.746249999997</v>
      </c>
      <c r="K292" cm="1">
        <f t="array" ref="K292">sentimentCalc(C292)</f>
        <v>0</v>
      </c>
      <c r="L292" t="str" cm="1">
        <f t="array" ref="L292">sentimentCategory(K292)</f>
        <v>Neutral</v>
      </c>
    </row>
    <row r="293" spans="1:12" x14ac:dyDescent="0.25">
      <c r="A293" t="s">
        <v>169</v>
      </c>
      <c r="B293" t="s">
        <v>170</v>
      </c>
      <c r="C293" t="str" cm="1">
        <f t="array" ref="C293">CleanText(B293)</f>
        <v>gut</v>
      </c>
      <c r="D293">
        <v>0</v>
      </c>
      <c r="E293">
        <v>0</v>
      </c>
      <c r="F293" t="s">
        <v>10</v>
      </c>
      <c r="G293" t="str" cm="1">
        <f t="array" ref="G293">FindCountryName(F293)</f>
        <v>None</v>
      </c>
      <c r="H293" s="3">
        <v>45337.458483796298</v>
      </c>
      <c r="I293" s="3">
        <v>45337.458483796298</v>
      </c>
      <c r="J293" s="3">
        <v>44972.241655092592</v>
      </c>
      <c r="K293" cm="1">
        <f t="array" ref="K293">sentimentCalc(C293)</f>
        <v>0</v>
      </c>
      <c r="L293" t="str" cm="1">
        <f t="array" ref="L293">sentimentCategory(K293)</f>
        <v>Neutral</v>
      </c>
    </row>
    <row r="294" spans="1:12" x14ac:dyDescent="0.25">
      <c r="A294" t="s">
        <v>1129</v>
      </c>
      <c r="B294" t="s">
        <v>2813</v>
      </c>
      <c r="C294" t="str" cm="1">
        <f t="array" ref="C294">CleanText(B294)</f>
        <v>n</v>
      </c>
      <c r="D294">
        <v>0</v>
      </c>
      <c r="E294">
        <v>0</v>
      </c>
      <c r="F294" t="s">
        <v>10</v>
      </c>
      <c r="G294" t="str" cm="1">
        <f t="array" ref="G294">FindCountryName(F294)</f>
        <v>None</v>
      </c>
      <c r="H294" s="3">
        <v>45157.537361111114</v>
      </c>
      <c r="I294" s="3">
        <v>45157.537349537037</v>
      </c>
      <c r="J294" s="3">
        <v>45157.53733796296</v>
      </c>
      <c r="K294" cm="1">
        <f t="array" ref="K294">sentimentCalc(C294)</f>
        <v>0</v>
      </c>
      <c r="L294" t="str" cm="1">
        <f t="array" ref="L294">sentimentCategory(K294)</f>
        <v>Neutral</v>
      </c>
    </row>
    <row r="295" spans="1:12" x14ac:dyDescent="0.25">
      <c r="A295" t="s">
        <v>1215</v>
      </c>
      <c r="B295" t="s">
        <v>1800</v>
      </c>
      <c r="C295" t="str" cm="1">
        <f t="array" ref="C295">CleanText(B295)</f>
        <v>issa</v>
      </c>
      <c r="D295">
        <v>0</v>
      </c>
      <c r="E295">
        <v>0</v>
      </c>
      <c r="F295" t="s">
        <v>10</v>
      </c>
      <c r="G295" t="str" cm="1">
        <f t="array" ref="G295">FindCountryName(F295)</f>
        <v>None</v>
      </c>
      <c r="H295" s="3">
        <v>45194.083564814813</v>
      </c>
      <c r="I295" s="3">
        <v>45194.083564814813</v>
      </c>
      <c r="J295" s="3">
        <v>44758.404467592591</v>
      </c>
      <c r="K295" cm="1">
        <f t="array" ref="K295">sentimentCalc(C295)</f>
        <v>0</v>
      </c>
      <c r="L295" t="str" cm="1">
        <f t="array" ref="L295">sentimentCategory(K295)</f>
        <v>Neutral</v>
      </c>
    </row>
    <row r="296" spans="1:12" x14ac:dyDescent="0.25">
      <c r="A296" t="s">
        <v>3097</v>
      </c>
      <c r="B296" t="s">
        <v>3098</v>
      </c>
      <c r="C296" t="str" cm="1">
        <f t="array" ref="C296">CleanText(B296)</f>
        <v>n</v>
      </c>
      <c r="D296">
        <v>0</v>
      </c>
      <c r="E296">
        <v>0</v>
      </c>
      <c r="F296" t="s">
        <v>227</v>
      </c>
      <c r="G296" t="str" cm="1">
        <f t="array" ref="G296">FindCountryName(F296)</f>
        <v>United States of America (the)</v>
      </c>
      <c r="H296" s="3">
        <v>45153.474305555559</v>
      </c>
      <c r="I296" s="3">
        <v>45153.474305555559</v>
      </c>
      <c r="J296" s="3">
        <v>45104.231909722221</v>
      </c>
      <c r="K296" cm="1">
        <f t="array" ref="K296">sentimentCalc(C296)</f>
        <v>0</v>
      </c>
      <c r="L296" t="str" cm="1">
        <f t="array" ref="L296">sentimentCategory(K296)</f>
        <v>Neutral</v>
      </c>
    </row>
    <row r="297" spans="1:12" x14ac:dyDescent="0.25">
      <c r="A297" t="s">
        <v>788</v>
      </c>
      <c r="B297" t="s">
        <v>1780</v>
      </c>
      <c r="C297" t="str" cm="1">
        <f t="array" ref="C297">CleanText(B297)</f>
        <v>n</v>
      </c>
      <c r="D297">
        <v>0</v>
      </c>
      <c r="E297">
        <v>0</v>
      </c>
      <c r="F297" t="s">
        <v>10</v>
      </c>
      <c r="G297" t="str" cm="1">
        <f t="array" ref="G297">FindCountryName(F297)</f>
        <v>None</v>
      </c>
      <c r="H297" s="3">
        <v>45195.391805555555</v>
      </c>
      <c r="I297" s="3">
        <v>45195.391805555555</v>
      </c>
      <c r="J297" s="3">
        <v>44958.08489583333</v>
      </c>
      <c r="K297" cm="1">
        <f t="array" ref="K297">sentimentCalc(C297)</f>
        <v>0</v>
      </c>
      <c r="L297" t="str" cm="1">
        <f t="array" ref="L297">sentimentCategory(K297)</f>
        <v>Neutral</v>
      </c>
    </row>
    <row r="298" spans="1:12" x14ac:dyDescent="0.25">
      <c r="A298" t="s">
        <v>347</v>
      </c>
      <c r="B298" t="s">
        <v>1232</v>
      </c>
      <c r="C298" t="str" cm="1">
        <f t="array" ref="C298">CleanText(B298)</f>
        <v>n</v>
      </c>
      <c r="D298">
        <v>1</v>
      </c>
      <c r="E298">
        <v>0</v>
      </c>
      <c r="F298" t="s">
        <v>10</v>
      </c>
      <c r="G298" t="str" cm="1">
        <f t="array" ref="G298">FindCountryName(F298)</f>
        <v>None</v>
      </c>
      <c r="H298" s="3">
        <v>45273.254999999997</v>
      </c>
      <c r="I298" s="3">
        <v>45273.254999999997</v>
      </c>
      <c r="J298" s="3">
        <v>45264.324641203704</v>
      </c>
      <c r="K298" cm="1">
        <f t="array" ref="K298">sentimentCalc(C298)</f>
        <v>0</v>
      </c>
      <c r="L298" t="str" cm="1">
        <f t="array" ref="L298">sentimentCategory(K298)</f>
        <v>Neutral</v>
      </c>
    </row>
    <row r="299" spans="1:12" x14ac:dyDescent="0.25">
      <c r="A299" t="s">
        <v>462</v>
      </c>
      <c r="B299" t="s">
        <v>2345</v>
      </c>
      <c r="C299" t="str" cm="1">
        <f t="array" ref="C299">CleanText(B299)</f>
        <v>n</v>
      </c>
      <c r="D299">
        <v>0</v>
      </c>
      <c r="E299">
        <v>0</v>
      </c>
      <c r="F299" t="s">
        <v>10</v>
      </c>
      <c r="G299" t="str" cm="1">
        <f t="array" ref="G299">FindCountryName(F299)</f>
        <v>None</v>
      </c>
      <c r="H299" s="3">
        <v>45171.480381944442</v>
      </c>
      <c r="I299" s="3">
        <v>45171.480370370373</v>
      </c>
      <c r="J299" s="3">
        <v>44107.961064814815</v>
      </c>
      <c r="K299" cm="1">
        <f t="array" ref="K299">sentimentCalc(C299)</f>
        <v>0</v>
      </c>
      <c r="L299" t="str" cm="1">
        <f t="array" ref="L299">sentimentCategory(K299)</f>
        <v>Neutral</v>
      </c>
    </row>
    <row r="300" spans="1:12" x14ac:dyDescent="0.25">
      <c r="A300" t="s">
        <v>296</v>
      </c>
      <c r="B300" t="s">
        <v>3294</v>
      </c>
      <c r="C300" t="str" cm="1">
        <f t="array" ref="C300">CleanText(B300)</f>
        <v>n</v>
      </c>
      <c r="D300">
        <v>0</v>
      </c>
      <c r="E300">
        <v>0</v>
      </c>
      <c r="F300" t="s">
        <v>10</v>
      </c>
      <c r="G300" t="str" cm="1">
        <f t="array" ref="G300">FindCountryName(F300)</f>
        <v>None</v>
      </c>
      <c r="H300" s="3">
        <v>45150.640717592592</v>
      </c>
      <c r="I300" s="3">
        <v>45150.640717592592</v>
      </c>
      <c r="J300" s="3">
        <v>45150.640694444446</v>
      </c>
      <c r="K300" cm="1">
        <f t="array" ref="K300">sentimentCalc(C300)</f>
        <v>0</v>
      </c>
      <c r="L300" t="str" cm="1">
        <f t="array" ref="L300">sentimentCategory(K300)</f>
        <v>Neutral</v>
      </c>
    </row>
    <row r="301" spans="1:12" x14ac:dyDescent="0.25">
      <c r="A301" t="s">
        <v>3192</v>
      </c>
      <c r="B301" t="s">
        <v>3448</v>
      </c>
      <c r="C301" t="str" cm="1">
        <f t="array" ref="C301">CleanText(B301)</f>
        <v>n</v>
      </c>
      <c r="D301">
        <v>0</v>
      </c>
      <c r="E301">
        <v>0</v>
      </c>
      <c r="F301" t="s">
        <v>10</v>
      </c>
      <c r="G301" t="str" cm="1">
        <f t="array" ref="G301">FindCountryName(F301)</f>
        <v>None</v>
      </c>
      <c r="H301" s="3">
        <v>45148.730266203704</v>
      </c>
      <c r="I301" s="3">
        <v>45148.730266203704</v>
      </c>
      <c r="J301" s="3">
        <v>39426.945381944446</v>
      </c>
      <c r="K301" cm="1">
        <f t="array" ref="K301">sentimentCalc(C301)</f>
        <v>0</v>
      </c>
      <c r="L301" t="str" cm="1">
        <f t="array" ref="L301">sentimentCategory(K301)</f>
        <v>Neutral</v>
      </c>
    </row>
    <row r="302" spans="1:12" x14ac:dyDescent="0.25">
      <c r="A302" t="s">
        <v>213</v>
      </c>
      <c r="B302" t="s">
        <v>2575</v>
      </c>
      <c r="C302" t="str" cm="1">
        <f t="array" ref="C302">CleanText(B302)</f>
        <v>n</v>
      </c>
      <c r="D302">
        <v>0</v>
      </c>
      <c r="E302">
        <v>0</v>
      </c>
      <c r="F302" t="s">
        <v>10</v>
      </c>
      <c r="G302" t="str" cm="1">
        <f t="array" ref="G302">FindCountryName(F302)</f>
        <v>None</v>
      </c>
      <c r="H302" s="3">
        <v>45162.834560185183</v>
      </c>
      <c r="I302" s="3">
        <v>45162.834548611114</v>
      </c>
      <c r="J302" s="3">
        <v>44766.884641203702</v>
      </c>
      <c r="K302" cm="1">
        <f t="array" ref="K302">sentimentCalc(C302)</f>
        <v>0</v>
      </c>
      <c r="L302" t="str" cm="1">
        <f t="array" ref="L302">sentimentCategory(K302)</f>
        <v>Neutral</v>
      </c>
    </row>
    <row r="303" spans="1:12" x14ac:dyDescent="0.25">
      <c r="A303" t="s">
        <v>120</v>
      </c>
      <c r="B303" t="s">
        <v>121</v>
      </c>
      <c r="C303" t="str" cm="1">
        <f t="array" ref="C303">CleanText(B303)</f>
        <v>n</v>
      </c>
      <c r="D303">
        <v>0</v>
      </c>
      <c r="E303">
        <v>0</v>
      </c>
      <c r="F303" t="s">
        <v>10</v>
      </c>
      <c r="G303" t="str" cm="1">
        <f t="array" ref="G303">FindCountryName(F303)</f>
        <v>None</v>
      </c>
      <c r="H303" s="3">
        <v>45337.470057870371</v>
      </c>
      <c r="I303" s="3">
        <v>45337.470057870371</v>
      </c>
      <c r="J303" s="3">
        <v>42000.101898148147</v>
      </c>
      <c r="K303" cm="1">
        <f t="array" ref="K303">sentimentCalc(C303)</f>
        <v>0</v>
      </c>
      <c r="L303" t="str" cm="1">
        <f t="array" ref="L303">sentimentCategory(K303)</f>
        <v>Neutral</v>
      </c>
    </row>
    <row r="304" spans="1:12" x14ac:dyDescent="0.25">
      <c r="A304" t="s">
        <v>1100</v>
      </c>
      <c r="B304" t="s">
        <v>1712</v>
      </c>
      <c r="C304" t="str" cm="1">
        <f t="array" ref="C304">CleanText(B304)</f>
        <v>gostei divertido engraado recomendo</v>
      </c>
      <c r="D304">
        <v>1</v>
      </c>
      <c r="E304">
        <v>0</v>
      </c>
      <c r="F304" t="s">
        <v>10</v>
      </c>
      <c r="G304" t="str" cm="1">
        <f t="array" ref="G304">FindCountryName(F304)</f>
        <v>None</v>
      </c>
      <c r="H304" s="3">
        <v>45200.401990740742</v>
      </c>
      <c r="I304" s="3">
        <v>45200.401990740742</v>
      </c>
      <c r="J304" s="3">
        <v>44668.543368055558</v>
      </c>
      <c r="K304" cm="1">
        <f t="array" ref="K304">sentimentCalc(C304)</f>
        <v>0</v>
      </c>
      <c r="L304" t="str" cm="1">
        <f t="array" ref="L304">sentimentCategory(K304)</f>
        <v>Neutral</v>
      </c>
    </row>
    <row r="305" spans="1:12" x14ac:dyDescent="0.25">
      <c r="A305" t="s">
        <v>830</v>
      </c>
      <c r="B305" t="s">
        <v>2769</v>
      </c>
      <c r="C305" t="str" cm="1">
        <f t="array" ref="C305">CleanText(B305)</f>
        <v>mo nami top margot robbie  taime fort abdelhakim usa meziani voguo usa hollywood facebook boss hollywood</v>
      </c>
      <c r="D305">
        <v>0</v>
      </c>
      <c r="E305">
        <v>0</v>
      </c>
      <c r="F305" t="s">
        <v>10</v>
      </c>
      <c r="G305" t="str" cm="1">
        <f t="array" ref="G305">FindCountryName(F305)</f>
        <v>None</v>
      </c>
      <c r="H305" s="3">
        <v>45158.217222222222</v>
      </c>
      <c r="I305" s="3">
        <v>45158.217222222222</v>
      </c>
      <c r="J305" s="3">
        <v>44530.957627314812</v>
      </c>
      <c r="K305" cm="1">
        <f t="array" ref="K305">sentimentCalc(C305)</f>
        <v>2</v>
      </c>
      <c r="L305" t="str" cm="1">
        <f t="array" ref="L305">sentimentCategory(K305)</f>
        <v>Positive</v>
      </c>
    </row>
    <row r="306" spans="1:12" x14ac:dyDescent="0.25">
      <c r="A306" t="s">
        <v>241</v>
      </c>
      <c r="B306" t="s">
        <v>242</v>
      </c>
      <c r="C306" t="str" cm="1">
        <f t="array" ref="C306">CleanText(B306)</f>
        <v>n</v>
      </c>
      <c r="D306">
        <v>0</v>
      </c>
      <c r="E306">
        <v>0</v>
      </c>
      <c r="F306" t="s">
        <v>10</v>
      </c>
      <c r="G306" t="str" cm="1">
        <f t="array" ref="G306">FindCountryName(F306)</f>
        <v>None</v>
      </c>
      <c r="H306" s="3">
        <v>45326.483090277776</v>
      </c>
      <c r="I306" s="3">
        <v>45326.483090277776</v>
      </c>
      <c r="J306" s="3">
        <v>44135.514537037037</v>
      </c>
      <c r="K306" cm="1">
        <f t="array" ref="K306">sentimentCalc(C306)</f>
        <v>0</v>
      </c>
      <c r="L306" t="str" cm="1">
        <f t="array" ref="L306">sentimentCategory(K306)</f>
        <v>Neutral</v>
      </c>
    </row>
    <row r="307" spans="1:12" x14ac:dyDescent="0.25">
      <c r="A307" t="s">
        <v>130</v>
      </c>
      <c r="B307" t="s">
        <v>3250</v>
      </c>
      <c r="C307" t="str" cm="1">
        <f t="array" ref="C307">CleanText(B307)</f>
        <v>n</v>
      </c>
      <c r="D307">
        <v>0</v>
      </c>
      <c r="E307">
        <v>0</v>
      </c>
      <c r="F307" t="s">
        <v>10</v>
      </c>
      <c r="G307" t="str" cm="1">
        <f t="array" ref="G307">FindCountryName(F307)</f>
        <v>None</v>
      </c>
      <c r="H307" s="3">
        <v>45151.37327546296</v>
      </c>
      <c r="I307" s="3">
        <v>45151.37327546296</v>
      </c>
      <c r="J307" s="3">
        <v>44047.002210648148</v>
      </c>
      <c r="K307" cm="1">
        <f t="array" ref="K307">sentimentCalc(C307)</f>
        <v>0</v>
      </c>
      <c r="L307" t="str" cm="1">
        <f t="array" ref="L307">sentimentCategory(K307)</f>
        <v>Neutral</v>
      </c>
    </row>
    <row r="308" spans="1:12" x14ac:dyDescent="0.25">
      <c r="A308" t="s">
        <v>331</v>
      </c>
      <c r="B308" t="s">
        <v>4280</v>
      </c>
      <c r="C308" t="str" cm="1">
        <f t="array" ref="C308">CleanText(B308)</f>
        <v>s h a m e o n y o u</v>
      </c>
      <c r="D308">
        <v>13</v>
      </c>
      <c r="E308">
        <v>3</v>
      </c>
      <c r="F308" t="s">
        <v>10</v>
      </c>
      <c r="G308" t="str" cm="1">
        <f t="array" ref="G308">FindCountryName(F308)</f>
        <v>None</v>
      </c>
      <c r="H308" s="3">
        <v>45141.267534722225</v>
      </c>
      <c r="I308" s="3">
        <v>45141.267534722225</v>
      </c>
      <c r="J308" s="3">
        <v>41037.809594907405</v>
      </c>
      <c r="K308" cm="1">
        <f t="array" ref="K308">sentimentCalc(C308)</f>
        <v>0</v>
      </c>
      <c r="L308" t="str" cm="1">
        <f t="array" ref="L308">sentimentCategory(K308)</f>
        <v>Neutral</v>
      </c>
    </row>
    <row r="309" spans="1:12" x14ac:dyDescent="0.25">
      <c r="A309" t="s">
        <v>1306</v>
      </c>
      <c r="B309" t="s">
        <v>1478</v>
      </c>
      <c r="C309" t="str" cm="1">
        <f t="array" ref="C309">CleanText(B309)</f>
        <v>aapko pahli bar dekh rahi hunbarbie doll</v>
      </c>
      <c r="D309">
        <v>0</v>
      </c>
      <c r="E309">
        <v>0</v>
      </c>
      <c r="F309" t="s">
        <v>10</v>
      </c>
      <c r="G309" t="str" cm="1">
        <f t="array" ref="G309">FindCountryName(F309)</f>
        <v>None</v>
      </c>
      <c r="H309" s="3">
        <v>45225.30840277778</v>
      </c>
      <c r="I309" s="3">
        <v>45225.30840277778</v>
      </c>
      <c r="J309" s="3">
        <v>45181.38108796296</v>
      </c>
      <c r="K309" cm="1">
        <f t="array" ref="K309">sentimentCalc(C309)</f>
        <v>0</v>
      </c>
      <c r="L309" t="str" cm="1">
        <f t="array" ref="L309">sentimentCategory(K309)</f>
        <v>Neutral</v>
      </c>
    </row>
    <row r="310" spans="1:12" x14ac:dyDescent="0.25">
      <c r="A310" t="s">
        <v>571</v>
      </c>
      <c r="B310" t="s">
        <v>2442</v>
      </c>
      <c r="C310" t="str" cm="1">
        <f t="array" ref="C310">CleanText(B310)</f>
        <v>abdullah</v>
      </c>
      <c r="D310">
        <v>0</v>
      </c>
      <c r="E310">
        <v>0</v>
      </c>
      <c r="F310" t="s">
        <v>10</v>
      </c>
      <c r="G310" t="str" cm="1">
        <f t="array" ref="G310">FindCountryName(F310)</f>
        <v>None</v>
      </c>
      <c r="H310" s="3">
        <v>45167.164895833332</v>
      </c>
      <c r="I310" s="3">
        <v>45167.164884259262</v>
      </c>
      <c r="J310" s="3">
        <v>44385.73170138889</v>
      </c>
      <c r="K310" cm="1">
        <f t="array" ref="K310">sentimentCalc(C310)</f>
        <v>0</v>
      </c>
      <c r="L310" t="str" cm="1">
        <f t="array" ref="L310">sentimentCategory(K310)</f>
        <v>Neutral</v>
      </c>
    </row>
    <row r="311" spans="1:12" x14ac:dyDescent="0.25">
      <c r="A311" t="s">
        <v>555</v>
      </c>
      <c r="B311" t="s">
        <v>3887</v>
      </c>
      <c r="C311" t="str" cm="1">
        <f t="array" ref="C311">CleanText(B311)</f>
        <v>about time that is no dark background also gory  violence</v>
      </c>
      <c r="D311">
        <v>0</v>
      </c>
      <c r="E311">
        <v>0</v>
      </c>
      <c r="F311" t="s">
        <v>10</v>
      </c>
      <c r="G311" t="str" cm="1">
        <f t="array" ref="G311">FindCountryName(F311)</f>
        <v>None</v>
      </c>
      <c r="H311" s="3">
        <v>45144.716620370367</v>
      </c>
      <c r="I311" s="3">
        <v>45144.716620370367</v>
      </c>
      <c r="J311" s="3">
        <v>43289.600902777776</v>
      </c>
      <c r="K311" cm="1">
        <f t="array" ref="K311">sentimentCalc(C311)</f>
        <v>-4</v>
      </c>
      <c r="L311" t="str" cm="1">
        <f t="array" ref="L311">sentimentCategory(K311)</f>
        <v>Negative</v>
      </c>
    </row>
    <row r="312" spans="1:12" x14ac:dyDescent="0.25">
      <c r="A312" t="s">
        <v>2732</v>
      </c>
      <c r="B312" t="s">
        <v>2733</v>
      </c>
      <c r="C312" t="str" cm="1">
        <f t="array" ref="C312">CleanText(B312)</f>
        <v>absolute disaster</v>
      </c>
      <c r="D312">
        <v>0</v>
      </c>
      <c r="E312">
        <v>0</v>
      </c>
      <c r="F312" t="s">
        <v>10</v>
      </c>
      <c r="G312" t="str" cm="1">
        <f t="array" ref="G312">FindCountryName(F312)</f>
        <v>None</v>
      </c>
      <c r="H312" s="3">
        <v>45159.057523148149</v>
      </c>
      <c r="I312" s="3">
        <v>45159.057511574072</v>
      </c>
      <c r="J312" s="3">
        <v>43307.465891203705</v>
      </c>
      <c r="K312" cm="1">
        <f t="array" ref="K312">sentimentCalc(C312)</f>
        <v>-2</v>
      </c>
      <c r="L312" t="str" cm="1">
        <f t="array" ref="L312">sentimentCategory(K312)</f>
        <v>Negative</v>
      </c>
    </row>
    <row r="313" spans="1:12" x14ac:dyDescent="0.25">
      <c r="A313" t="s">
        <v>1071</v>
      </c>
      <c r="B313" t="s">
        <v>2007</v>
      </c>
      <c r="C313" t="str" cm="1">
        <f t="array" ref="C313">CleanText(B313)</f>
        <v>absolute mumu thank god i no use my data download this movie na only oyibo people the comment here like what the    and them go get mouth dey cast nollywood movies wen make brain this movie na</v>
      </c>
      <c r="D313">
        <v>0</v>
      </c>
      <c r="E313">
        <v>0</v>
      </c>
      <c r="F313" t="s">
        <v>10</v>
      </c>
      <c r="G313" t="str" cm="1">
        <f t="array" ref="G313">FindCountryName(F313)</f>
        <v>None</v>
      </c>
      <c r="H313" s="3">
        <v>45184.636782407404</v>
      </c>
      <c r="I313" s="3">
        <v>45184.636782407404</v>
      </c>
      <c r="J313" s="3">
        <v>42402.634976851848</v>
      </c>
      <c r="K313" cm="1">
        <f t="array" ref="K313">sentimentCalc(C313)</f>
        <v>4</v>
      </c>
      <c r="L313" t="str" cm="1">
        <f t="array" ref="L313">sentimentCategory(K313)</f>
        <v>Positive</v>
      </c>
    </row>
    <row r="314" spans="1:12" x14ac:dyDescent="0.25">
      <c r="A314" t="s">
        <v>1065</v>
      </c>
      <c r="B314" t="s">
        <v>3712</v>
      </c>
      <c r="C314" t="str" cm="1">
        <f t="array" ref="C314">CleanText(B314)</f>
        <v>absolute trash</v>
      </c>
      <c r="D314">
        <v>2</v>
      </c>
      <c r="E314">
        <v>0</v>
      </c>
      <c r="F314" t="s">
        <v>10</v>
      </c>
      <c r="G314" t="str" cm="1">
        <f t="array" ref="G314">FindCountryName(F314)</f>
        <v>None</v>
      </c>
      <c r="H314" s="3">
        <v>45146.137881944444</v>
      </c>
      <c r="I314" s="3">
        <v>45146.137881944444</v>
      </c>
      <c r="J314" s="3">
        <v>44026.019131944442</v>
      </c>
      <c r="K314" cm="1">
        <f t="array" ref="K314">sentimentCalc(C314)</f>
        <v>0</v>
      </c>
      <c r="L314" t="str" cm="1">
        <f t="array" ref="L314">sentimentCategory(K314)</f>
        <v>Neutral</v>
      </c>
    </row>
    <row r="315" spans="1:12" x14ac:dyDescent="0.25">
      <c r="A315" t="s">
        <v>724</v>
      </c>
      <c r="B315" t="s">
        <v>2601</v>
      </c>
      <c r="C315" t="str" cm="1">
        <f t="array" ref="C315">CleanText(B315)</f>
        <v>absolutely hated it</v>
      </c>
      <c r="D315">
        <v>4</v>
      </c>
      <c r="E315">
        <v>4</v>
      </c>
      <c r="F315" t="s">
        <v>10</v>
      </c>
      <c r="G315" t="str" cm="1">
        <f t="array" ref="G315">FindCountryName(F315)</f>
        <v>None</v>
      </c>
      <c r="H315" s="3">
        <v>45162.241631944446</v>
      </c>
      <c r="I315" s="3">
        <v>45162.241620370369</v>
      </c>
      <c r="J315" s="3">
        <v>44502.916875000003</v>
      </c>
      <c r="K315" cm="1">
        <f t="array" ref="K315">sentimentCalc(C315)</f>
        <v>-3</v>
      </c>
      <c r="L315" t="str" cm="1">
        <f t="array" ref="L315">sentimentCategory(K315)</f>
        <v>Negative</v>
      </c>
    </row>
    <row r="316" spans="1:12" x14ac:dyDescent="0.25">
      <c r="A316" t="s">
        <v>130</v>
      </c>
      <c r="B316" t="s">
        <v>2380</v>
      </c>
      <c r="C316" t="str" cm="1">
        <f t="array" ref="C316">CleanText(B316)</f>
        <v>absolutely silly movie gives you nothing make you loose the rest of yours brain if you had brain before</v>
      </c>
      <c r="D316">
        <v>0</v>
      </c>
      <c r="E316">
        <v>4</v>
      </c>
      <c r="F316" t="s">
        <v>10</v>
      </c>
      <c r="G316" t="str" cm="1">
        <f t="array" ref="G316">FindCountryName(F316)</f>
        <v>None</v>
      </c>
      <c r="H316" s="3">
        <v>45169.797094907408</v>
      </c>
      <c r="I316" s="3">
        <v>45169.797094907408</v>
      </c>
      <c r="J316" s="3">
        <v>41816.649791666663</v>
      </c>
      <c r="K316" cm="1">
        <f t="array" ref="K316">sentimentCalc(C316)</f>
        <v>-4</v>
      </c>
      <c r="L316" t="str" cm="1">
        <f t="array" ref="L316">sentimentCategory(K316)</f>
        <v>Negative</v>
      </c>
    </row>
    <row r="317" spans="1:12" x14ac:dyDescent="0.25">
      <c r="A317" t="s">
        <v>1082</v>
      </c>
      <c r="B317" t="s">
        <v>1083</v>
      </c>
      <c r="C317" t="str" cm="1">
        <f t="array" ref="C317">CleanText(B317)</f>
        <v>absoluter mist</v>
      </c>
      <c r="D317">
        <v>0</v>
      </c>
      <c r="E317">
        <v>0</v>
      </c>
      <c r="F317" t="s">
        <v>10</v>
      </c>
      <c r="G317" t="str" cm="1">
        <f t="array" ref="G317">FindCountryName(F317)</f>
        <v>None</v>
      </c>
      <c r="H317" s="3">
        <v>45291.593055555553</v>
      </c>
      <c r="I317" s="3">
        <v>45291.593055555553</v>
      </c>
      <c r="J317" s="3">
        <v>44242.212754629632</v>
      </c>
      <c r="K317" cm="1">
        <f t="array" ref="K317">sentimentCalc(C317)</f>
        <v>0</v>
      </c>
      <c r="L317" t="str" cm="1">
        <f t="array" ref="L317">sentimentCategory(K317)</f>
        <v>Neutral</v>
      </c>
    </row>
    <row r="318" spans="1:12" x14ac:dyDescent="0.25">
      <c r="A318" t="s">
        <v>505</v>
      </c>
      <c r="B318" t="s">
        <v>2912</v>
      </c>
      <c r="C318" t="str" cm="1">
        <f t="array" ref="C318">CleanText(B318)</f>
        <v>academy award nomineemargot robbieryan gosling</v>
      </c>
      <c r="D318">
        <v>0</v>
      </c>
      <c r="E318">
        <v>0</v>
      </c>
      <c r="F318" t="s">
        <v>10</v>
      </c>
      <c r="G318" t="str" cm="1">
        <f t="array" ref="G318">FindCountryName(F318)</f>
        <v>None</v>
      </c>
      <c r="H318" s="3">
        <v>45155.977268518516</v>
      </c>
      <c r="I318" s="3">
        <v>45155.977268518516</v>
      </c>
      <c r="J318" s="3">
        <v>43157.965949074074</v>
      </c>
      <c r="K318" cm="1">
        <f t="array" ref="K318">sentimentCalc(C318)</f>
        <v>3</v>
      </c>
      <c r="L318" t="str" cm="1">
        <f t="array" ref="L318">sentimentCategory(K318)</f>
        <v>Positive</v>
      </c>
    </row>
    <row r="319" spans="1:12" x14ac:dyDescent="0.25">
      <c r="A319" t="s">
        <v>3086</v>
      </c>
      <c r="B319" t="s">
        <v>3087</v>
      </c>
      <c r="C319" t="str" cm="1">
        <f t="array" ref="C319">CleanText(B319)</f>
        <v>acsa hellen ei</v>
      </c>
      <c r="D319">
        <v>0</v>
      </c>
      <c r="E319">
        <v>0</v>
      </c>
      <c r="F319" t="s">
        <v>10</v>
      </c>
      <c r="G319" t="str" cm="1">
        <f t="array" ref="G319">FindCountryName(F319)</f>
        <v>None</v>
      </c>
      <c r="H319" s="3">
        <v>45153.608553240738</v>
      </c>
      <c r="I319" s="3">
        <v>45153.608553240738</v>
      </c>
      <c r="J319" s="3">
        <v>45097.616782407407</v>
      </c>
      <c r="K319" cm="1">
        <f t="array" ref="K319">sentimentCalc(C319)</f>
        <v>0</v>
      </c>
      <c r="L319" t="str" cm="1">
        <f t="array" ref="L319">sentimentCategory(K319)</f>
        <v>Neutral</v>
      </c>
    </row>
    <row r="320" spans="1:12" x14ac:dyDescent="0.25">
      <c r="A320" t="s">
        <v>205</v>
      </c>
      <c r="B320" t="s">
        <v>3703</v>
      </c>
      <c r="C320" t="str" cm="1">
        <f t="array" ref="C320">CleanText(B320)</f>
        <v>action man</v>
      </c>
      <c r="D320">
        <v>0</v>
      </c>
      <c r="E320">
        <v>0</v>
      </c>
      <c r="F320" t="s">
        <v>10</v>
      </c>
      <c r="G320" t="str" cm="1">
        <f t="array" ref="G320">FindCountryName(F320)</f>
        <v>None</v>
      </c>
      <c r="H320" s="3">
        <v>45146.285000000003</v>
      </c>
      <c r="I320" s="3">
        <v>45146.285000000003</v>
      </c>
      <c r="J320" s="3">
        <v>40691.325555555559</v>
      </c>
      <c r="K320" cm="1">
        <f t="array" ref="K320">sentimentCalc(C320)</f>
        <v>0</v>
      </c>
      <c r="L320" t="str" cm="1">
        <f t="array" ref="L320">sentimentCategory(K320)</f>
        <v>Neutral</v>
      </c>
    </row>
    <row r="321" spans="1:12" x14ac:dyDescent="0.25">
      <c r="A321" t="s">
        <v>714</v>
      </c>
      <c r="B321" t="s">
        <v>715</v>
      </c>
      <c r="C321" t="str" cm="1">
        <f t="array" ref="C321">CleanText(B321)</f>
        <v>action man is up next for a live action movie</v>
      </c>
      <c r="D321">
        <v>2</v>
      </c>
      <c r="E321">
        <v>0</v>
      </c>
      <c r="F321" t="s">
        <v>10</v>
      </c>
      <c r="G321" t="str" cm="1">
        <f t="array" ref="G321">FindCountryName(F321)</f>
        <v>None</v>
      </c>
      <c r="H321" s="3">
        <v>45311.362615740742</v>
      </c>
      <c r="I321" s="3">
        <v>45311.362615740742</v>
      </c>
      <c r="J321" s="3">
        <v>41462.217638888891</v>
      </c>
      <c r="K321" cm="1">
        <f t="array" ref="K321">sentimentCalc(C321)</f>
        <v>0</v>
      </c>
      <c r="L321" t="str" cm="1">
        <f t="array" ref="L321">sentimentCategory(K321)</f>
        <v>Neutral</v>
      </c>
    </row>
    <row r="322" spans="1:12" x14ac:dyDescent="0.25">
      <c r="A322" t="s">
        <v>17</v>
      </c>
      <c r="B322" t="s">
        <v>3793</v>
      </c>
      <c r="C322" t="str" cm="1">
        <f t="array" ref="C322">CleanText(B322)</f>
        <v>actrees is beautiful but let us see her without make up</v>
      </c>
      <c r="D322">
        <v>0</v>
      </c>
      <c r="E322">
        <v>1</v>
      </c>
      <c r="F322" t="s">
        <v>10</v>
      </c>
      <c r="G322" t="str" cm="1">
        <f t="array" ref="G322">FindCountryName(F322)</f>
        <v>None</v>
      </c>
      <c r="H322" s="3">
        <v>45145.456469907411</v>
      </c>
      <c r="I322" s="3">
        <v>45145.456469907411</v>
      </c>
      <c r="J322" s="3">
        <v>44375.23746527778</v>
      </c>
      <c r="K322" cm="1">
        <f t="array" ref="K322">sentimentCalc(C322)</f>
        <v>3</v>
      </c>
      <c r="L322" t="str" cm="1">
        <f t="array" ref="L322">sentimentCategory(K322)</f>
        <v>Positive</v>
      </c>
    </row>
    <row r="323" spans="1:12" x14ac:dyDescent="0.25">
      <c r="A323" t="s">
        <v>1215</v>
      </c>
      <c r="B323" t="s">
        <v>2341</v>
      </c>
      <c r="C323" t="str" cm="1">
        <f t="array" ref="C323">CleanText(B323)</f>
        <v>actually one of the best films ive seen in a long time  went with my daughter who is   everyone should see this film</v>
      </c>
      <c r="D323">
        <v>45</v>
      </c>
      <c r="E323">
        <v>11</v>
      </c>
      <c r="F323" t="s">
        <v>10</v>
      </c>
      <c r="G323" t="str" cm="1">
        <f t="array" ref="G323">FindCountryName(F323)</f>
        <v>None</v>
      </c>
      <c r="H323" s="3">
        <v>45171.555717592593</v>
      </c>
      <c r="I323" s="3">
        <v>45171.555717592593</v>
      </c>
      <c r="J323" s="3">
        <v>40888.693356481483</v>
      </c>
      <c r="K323" cm="1">
        <f t="array" ref="K323">sentimentCalc(C323)</f>
        <v>3</v>
      </c>
      <c r="L323" t="str" cm="1">
        <f t="array" ref="L323">sentimentCategory(K323)</f>
        <v>Positive</v>
      </c>
    </row>
    <row r="324" spans="1:12" x14ac:dyDescent="0.25">
      <c r="A324" t="s">
        <v>432</v>
      </c>
      <c r="B324" t="s">
        <v>1629</v>
      </c>
      <c r="C324" t="str" cm="1">
        <f t="array" ref="C324">CleanText(B324)</f>
        <v>adorei esse filme</v>
      </c>
      <c r="D324">
        <v>0</v>
      </c>
      <c r="E324">
        <v>0</v>
      </c>
      <c r="F324" t="s">
        <v>10</v>
      </c>
      <c r="G324" t="str" cm="1">
        <f t="array" ref="G324">FindCountryName(F324)</f>
        <v>None</v>
      </c>
      <c r="H324" s="3">
        <v>45207.393888888888</v>
      </c>
      <c r="I324" s="3">
        <v>45207.393888888888</v>
      </c>
      <c r="J324" s="3">
        <v>44833.820381944446</v>
      </c>
      <c r="K324" cm="1">
        <f t="array" ref="K324">sentimentCalc(C324)</f>
        <v>0</v>
      </c>
      <c r="L324" t="str" cm="1">
        <f t="array" ref="L324">sentimentCategory(K324)</f>
        <v>Neutral</v>
      </c>
    </row>
    <row r="325" spans="1:12" x14ac:dyDescent="0.25">
      <c r="A325" t="s">
        <v>472</v>
      </c>
      <c r="B325" t="s">
        <v>1934</v>
      </c>
      <c r="C325" t="str" cm="1">
        <f t="array" ref="C325">CleanText(B325)</f>
        <v>adorei filme da barbie top</v>
      </c>
      <c r="D325">
        <v>0</v>
      </c>
      <c r="E325">
        <v>0</v>
      </c>
      <c r="F325" t="s">
        <v>10</v>
      </c>
      <c r="G325" t="str" cm="1">
        <f t="array" ref="G325">FindCountryName(F325)</f>
        <v>None</v>
      </c>
      <c r="H325" s="3">
        <v>45187.46707175926</v>
      </c>
      <c r="I325" s="3">
        <v>45187.467060185183</v>
      </c>
      <c r="J325" s="3">
        <v>41078.546956018516</v>
      </c>
      <c r="K325" cm="1">
        <f t="array" ref="K325">sentimentCalc(C325)</f>
        <v>2</v>
      </c>
      <c r="L325" t="str" cm="1">
        <f t="array" ref="L325">sentimentCategory(K325)</f>
        <v>Positive</v>
      </c>
    </row>
    <row r="326" spans="1:12" x14ac:dyDescent="0.25">
      <c r="A326" t="s">
        <v>1193</v>
      </c>
      <c r="B326" t="s">
        <v>1614</v>
      </c>
      <c r="C326" t="str" cm="1">
        <f t="array" ref="C326">CleanText(B326)</f>
        <v>adorei o filme</v>
      </c>
      <c r="D326">
        <v>0</v>
      </c>
      <c r="E326">
        <v>0</v>
      </c>
      <c r="F326" t="s">
        <v>10</v>
      </c>
      <c r="G326" t="str" cm="1">
        <f t="array" ref="G326">FindCountryName(F326)</f>
        <v>None</v>
      </c>
      <c r="H326" s="3">
        <v>45208.252372685187</v>
      </c>
      <c r="I326" s="3">
        <v>45208.252372685187</v>
      </c>
      <c r="J326" s="3">
        <v>45029.556770833333</v>
      </c>
      <c r="K326" cm="1">
        <f t="array" ref="K326">sentimentCalc(C326)</f>
        <v>0</v>
      </c>
      <c r="L326" t="str" cm="1">
        <f t="array" ref="L326">sentimentCategory(K326)</f>
        <v>Neutral</v>
      </c>
    </row>
    <row r="327" spans="1:12" x14ac:dyDescent="0.25">
      <c r="A327" t="s">
        <v>1949</v>
      </c>
      <c r="B327" t="s">
        <v>4344</v>
      </c>
      <c r="C327" t="str" cm="1">
        <f t="array" ref="C327">CleanText(B327)</f>
        <v>n</v>
      </c>
      <c r="D327">
        <v>1</v>
      </c>
      <c r="E327">
        <v>1</v>
      </c>
      <c r="F327" t="s">
        <v>10</v>
      </c>
      <c r="G327" t="str" cm="1">
        <f t="array" ref="G327">FindCountryName(F327)</f>
        <v>None</v>
      </c>
      <c r="H327" s="3">
        <v>45140.757951388892</v>
      </c>
      <c r="I327" s="3">
        <v>45140.757951388892</v>
      </c>
      <c r="J327" s="3">
        <v>45078.892233796294</v>
      </c>
      <c r="K327" cm="1">
        <f t="array" ref="K327">sentimentCalc(C327)</f>
        <v>0</v>
      </c>
      <c r="L327" t="str" cm="1">
        <f t="array" ref="L327">sentimentCategory(K327)</f>
        <v>Neutral</v>
      </c>
    </row>
    <row r="328" spans="1:12" x14ac:dyDescent="0.25">
      <c r="A328" t="s">
        <v>1366</v>
      </c>
      <c r="B328" t="s">
        <v>4081</v>
      </c>
      <c r="C328" t="str" cm="1">
        <f t="array" ref="C328">CleanText(B328)</f>
        <v>n</v>
      </c>
      <c r="D328">
        <v>2</v>
      </c>
      <c r="E328">
        <v>0</v>
      </c>
      <c r="F328" t="s">
        <v>10</v>
      </c>
      <c r="G328" t="str" cm="1">
        <f t="array" ref="G328">FindCountryName(F328)</f>
        <v>None</v>
      </c>
      <c r="H328" s="3">
        <v>45143.064085648148</v>
      </c>
      <c r="I328" s="3">
        <v>45143.064085648148</v>
      </c>
      <c r="J328" s="3">
        <v>43090.674108796295</v>
      </c>
      <c r="K328" cm="1">
        <f t="array" ref="K328">sentimentCalc(C328)</f>
        <v>0</v>
      </c>
      <c r="L328" t="str" cm="1">
        <f t="array" ref="L328">sentimentCategory(K328)</f>
        <v>Neutral</v>
      </c>
    </row>
    <row r="329" spans="1:12" x14ac:dyDescent="0.25">
      <c r="A329" t="s">
        <v>684</v>
      </c>
      <c r="B329" t="s">
        <v>4439</v>
      </c>
      <c r="C329" t="str" cm="1">
        <f t="array" ref="C329">CleanText(B329)</f>
        <v>n</v>
      </c>
      <c r="D329">
        <v>20</v>
      </c>
      <c r="E329">
        <v>4</v>
      </c>
      <c r="F329" t="s">
        <v>10</v>
      </c>
      <c r="G329" t="str" cm="1">
        <f t="array" ref="G329">FindCountryName(F329)</f>
        <v>None</v>
      </c>
      <c r="H329" s="3">
        <v>45140.268946759257</v>
      </c>
      <c r="I329" s="3">
        <v>45140.268946759257</v>
      </c>
      <c r="J329" s="3">
        <v>44122.358344907407</v>
      </c>
      <c r="K329" cm="1">
        <f t="array" ref="K329">sentimentCalc(C329)</f>
        <v>0</v>
      </c>
      <c r="L329" t="str" cm="1">
        <f t="array" ref="L329">sentimentCategory(K329)</f>
        <v>Neutral</v>
      </c>
    </row>
    <row r="330" spans="1:12" x14ac:dyDescent="0.25">
      <c r="A330" t="s">
        <v>4138</v>
      </c>
      <c r="B330" t="s">
        <v>4139</v>
      </c>
      <c r="C330" t="str" cm="1">
        <f t="array" ref="C330">CleanText(B330)</f>
        <v>n</v>
      </c>
      <c r="D330">
        <v>7</v>
      </c>
      <c r="E330">
        <v>0</v>
      </c>
      <c r="F330" t="s">
        <v>10</v>
      </c>
      <c r="G330" t="str" cm="1">
        <f t="array" ref="G330">FindCountryName(F330)</f>
        <v>None</v>
      </c>
      <c r="H330" s="3">
        <v>45142.605185185188</v>
      </c>
      <c r="I330" s="3">
        <v>45142.605185185188</v>
      </c>
      <c r="J330" s="3">
        <v>42952.1247337963</v>
      </c>
      <c r="K330" cm="1">
        <f t="array" ref="K330">sentimentCalc(C330)</f>
        <v>0</v>
      </c>
      <c r="L330" t="str" cm="1">
        <f t="array" ref="L330">sentimentCategory(K330)</f>
        <v>Neutral</v>
      </c>
    </row>
    <row r="331" spans="1:12" x14ac:dyDescent="0.25">
      <c r="A331" t="s">
        <v>1267</v>
      </c>
      <c r="B331" t="s">
        <v>3626</v>
      </c>
      <c r="C331" t="str" cm="1">
        <f t="array" ref="C331">CleanText(B331)</f>
        <v>n</v>
      </c>
      <c r="D331">
        <v>1</v>
      </c>
      <c r="E331">
        <v>0</v>
      </c>
      <c r="F331" t="s">
        <v>10</v>
      </c>
      <c r="G331" t="str" cm="1">
        <f t="array" ref="G331">FindCountryName(F331)</f>
        <v>None</v>
      </c>
      <c r="H331" s="3">
        <v>45147.002824074072</v>
      </c>
      <c r="I331" s="3">
        <v>45147.002812500003</v>
      </c>
      <c r="J331" s="3">
        <v>42148.402083333334</v>
      </c>
      <c r="K331" cm="1">
        <f t="array" ref="K331">sentimentCalc(C331)</f>
        <v>0</v>
      </c>
      <c r="L331" t="str" cm="1">
        <f t="array" ref="L331">sentimentCategory(K331)</f>
        <v>Neutral</v>
      </c>
    </row>
    <row r="332" spans="1:12" x14ac:dyDescent="0.25">
      <c r="A332" t="s">
        <v>228</v>
      </c>
      <c r="B332" t="s">
        <v>4474</v>
      </c>
      <c r="C332" t="str" cm="1">
        <f t="array" ref="C332">CleanText(B332)</f>
        <v>n</v>
      </c>
      <c r="D332">
        <v>17</v>
      </c>
      <c r="E332">
        <v>0</v>
      </c>
      <c r="F332" t="s">
        <v>10</v>
      </c>
      <c r="G332" t="str" cm="1">
        <f t="array" ref="G332">FindCountryName(F332)</f>
        <v>None</v>
      </c>
      <c r="H332" s="3">
        <v>45140.033819444441</v>
      </c>
      <c r="I332" s="3">
        <v>45140.033819444441</v>
      </c>
      <c r="J332" s="3">
        <v>44288.002314814818</v>
      </c>
      <c r="K332" cm="1">
        <f t="array" ref="K332">sentimentCalc(C332)</f>
        <v>0</v>
      </c>
      <c r="L332" t="str" cm="1">
        <f t="array" ref="L332">sentimentCategory(K332)</f>
        <v>Neutral</v>
      </c>
    </row>
    <row r="333" spans="1:12" x14ac:dyDescent="0.25">
      <c r="A333" t="s">
        <v>201</v>
      </c>
      <c r="B333" t="s">
        <v>4231</v>
      </c>
      <c r="C333" t="str" cm="1">
        <f t="array" ref="C333">CleanText(B333)</f>
        <v>n</v>
      </c>
      <c r="D333">
        <v>9</v>
      </c>
      <c r="E333">
        <v>0</v>
      </c>
      <c r="F333" t="s">
        <v>10</v>
      </c>
      <c r="G333" t="str" cm="1">
        <f t="array" ref="G333">FindCountryName(F333)</f>
        <v>None</v>
      </c>
      <c r="H333" s="3">
        <v>45141.676215277781</v>
      </c>
      <c r="I333" s="3">
        <v>45141.676215277781</v>
      </c>
      <c r="J333" s="3">
        <v>44134.297395833331</v>
      </c>
      <c r="K333" cm="1">
        <f t="array" ref="K333">sentimentCalc(C333)</f>
        <v>0</v>
      </c>
      <c r="L333" t="str" cm="1">
        <f t="array" ref="L333">sentimentCategory(K333)</f>
        <v>Neutral</v>
      </c>
    </row>
    <row r="334" spans="1:12" x14ac:dyDescent="0.25">
      <c r="A334" t="s">
        <v>4306</v>
      </c>
      <c r="B334" t="s">
        <v>4307</v>
      </c>
      <c r="C334" t="str" cm="1">
        <f t="array" ref="C334">CleanText(B334)</f>
        <v>n</v>
      </c>
      <c r="D334">
        <v>13</v>
      </c>
      <c r="E334">
        <v>3</v>
      </c>
      <c r="F334" t="s">
        <v>10</v>
      </c>
      <c r="G334" t="str" cm="1">
        <f t="array" ref="G334">FindCountryName(F334)</f>
        <v>None</v>
      </c>
      <c r="H334" s="3">
        <v>45141.091284722221</v>
      </c>
      <c r="I334" s="3">
        <v>45141.091284722221</v>
      </c>
      <c r="J334" s="3">
        <v>43673.298726851855</v>
      </c>
      <c r="K334" cm="1">
        <f t="array" ref="K334">sentimentCalc(C334)</f>
        <v>0</v>
      </c>
      <c r="L334" t="str" cm="1">
        <f t="array" ref="L334">sentimentCategory(K334)</f>
        <v>Neutral</v>
      </c>
    </row>
    <row r="335" spans="1:12" x14ac:dyDescent="0.25">
      <c r="A335" t="s">
        <v>2872</v>
      </c>
      <c r="B335" t="s">
        <v>3815</v>
      </c>
      <c r="C335" t="str" cm="1">
        <f t="array" ref="C335">CleanText(B335)</f>
        <v>n</v>
      </c>
      <c r="D335">
        <v>2</v>
      </c>
      <c r="E335">
        <v>0</v>
      </c>
      <c r="F335" t="s">
        <v>10</v>
      </c>
      <c r="G335" t="str" cm="1">
        <f t="array" ref="G335">FindCountryName(F335)</f>
        <v>None</v>
      </c>
      <c r="H335" s="3">
        <v>45145.307268518518</v>
      </c>
      <c r="I335" s="3">
        <v>45145.307268518518</v>
      </c>
      <c r="J335" s="3">
        <v>41511.534629629627</v>
      </c>
      <c r="K335" cm="1">
        <f t="array" ref="K335">sentimentCalc(C335)</f>
        <v>0</v>
      </c>
      <c r="L335" t="str" cm="1">
        <f t="array" ref="L335">sentimentCategory(K335)</f>
        <v>Neutral</v>
      </c>
    </row>
    <row r="336" spans="1:12" x14ac:dyDescent="0.25">
      <c r="A336" t="s">
        <v>2318</v>
      </c>
      <c r="B336" t="s">
        <v>2546</v>
      </c>
      <c r="C336" t="str" cm="1">
        <f t="array" ref="C336">CleanText(B336)</f>
        <v>afilm nice</v>
      </c>
      <c r="D336">
        <v>0</v>
      </c>
      <c r="E336">
        <v>1</v>
      </c>
      <c r="F336" t="s">
        <v>10</v>
      </c>
      <c r="G336" t="str" cm="1">
        <f t="array" ref="G336">FindCountryName(F336)</f>
        <v>None</v>
      </c>
      <c r="H336" s="3">
        <v>45163.637361111112</v>
      </c>
      <c r="I336" s="3">
        <v>45163.637361111112</v>
      </c>
      <c r="J336" s="3">
        <v>45100.477164351854</v>
      </c>
      <c r="K336" cm="1">
        <f t="array" ref="K336">sentimentCalc(C336)</f>
        <v>3</v>
      </c>
      <c r="L336" t="str" cm="1">
        <f t="array" ref="L336">sentimentCategory(K336)</f>
        <v>Positive</v>
      </c>
    </row>
    <row r="337" spans="1:12" x14ac:dyDescent="0.25">
      <c r="A337" t="s">
        <v>382</v>
      </c>
      <c r="B337" t="s">
        <v>2557</v>
      </c>
      <c r="C337" t="str" cm="1">
        <f t="array" ref="C337">CleanText(B337)</f>
        <v>after all pink earth</v>
      </c>
      <c r="D337">
        <v>0</v>
      </c>
      <c r="E337">
        <v>0</v>
      </c>
      <c r="F337" t="s">
        <v>10</v>
      </c>
      <c r="G337" t="str" cm="1">
        <f t="array" ref="G337">FindCountryName(F337)</f>
        <v>None</v>
      </c>
      <c r="H337" s="3">
        <v>45163.440694444442</v>
      </c>
      <c r="I337" s="3">
        <v>45163.440694444442</v>
      </c>
      <c r="J337" s="3">
        <v>45127.202164351853</v>
      </c>
      <c r="K337" cm="1">
        <f t="array" ref="K337">sentimentCalc(C337)</f>
        <v>0</v>
      </c>
      <c r="L337" t="str" cm="1">
        <f t="array" ref="L337">sentimentCategory(K337)</f>
        <v>Neutral</v>
      </c>
    </row>
    <row r="338" spans="1:12" x14ac:dyDescent="0.25">
      <c r="A338" t="s">
        <v>3644</v>
      </c>
      <c r="B338" t="s">
        <v>3645</v>
      </c>
      <c r="C338" t="str" cm="1">
        <f t="array" ref="C338">CleanText(B338)</f>
        <v>after barely three minutes of watching and listening to this movie trailer i already am experiencing nausea headache and possible loss of iq points i can barely imagine what two hours of exposure to this cinematic nightmare would do to a human beingno wonder so many modern women are turning into rotting vegetables way to go feminists</v>
      </c>
      <c r="D338">
        <v>2</v>
      </c>
      <c r="E338">
        <v>0</v>
      </c>
      <c r="F338" t="s">
        <v>10</v>
      </c>
      <c r="G338" t="str" cm="1">
        <f t="array" ref="G338">FindCountryName(F338)</f>
        <v>None</v>
      </c>
      <c r="H338" s="3">
        <v>45146.842291666668</v>
      </c>
      <c r="I338" s="3">
        <v>45146.842291666668</v>
      </c>
      <c r="J338" s="3">
        <v>41522.634259259263</v>
      </c>
      <c r="K338" cm="1">
        <f t="array" ref="K338">sentimentCalc(C338)</f>
        <v>-3</v>
      </c>
      <c r="L338" t="str" cm="1">
        <f t="array" ref="L338">sentimentCategory(K338)</f>
        <v>Negative</v>
      </c>
    </row>
    <row r="339" spans="1:12" x14ac:dyDescent="0.25">
      <c r="A339" t="s">
        <v>83</v>
      </c>
      <c r="B339" t="s">
        <v>604</v>
      </c>
      <c r="C339" t="str" cm="1">
        <f t="array" ref="C339">CleanText(B339)</f>
        <v>after music we are witness to the downfall of cinema</v>
      </c>
      <c r="D339">
        <v>2</v>
      </c>
      <c r="E339">
        <v>7</v>
      </c>
      <c r="F339" t="s">
        <v>10</v>
      </c>
      <c r="G339" t="str" cm="1">
        <f t="array" ref="G339">FindCountryName(F339)</f>
        <v>None</v>
      </c>
      <c r="H339" s="3">
        <v>45316.204768518517</v>
      </c>
      <c r="I339" s="3">
        <v>45316.204768518517</v>
      </c>
      <c r="J339" s="3">
        <v>42263.40829861111</v>
      </c>
      <c r="K339" cm="1">
        <f t="array" ref="K339">sentimentCalc(C339)</f>
        <v>0</v>
      </c>
      <c r="L339" t="str" cm="1">
        <f t="array" ref="L339">sentimentCategory(K339)</f>
        <v>Neutral</v>
      </c>
    </row>
    <row r="340" spans="1:12" x14ac:dyDescent="0.25">
      <c r="A340" t="s">
        <v>36</v>
      </c>
      <c r="B340" t="s">
        <v>598</v>
      </c>
      <c r="C340" t="str" cm="1">
        <f t="array" ref="C340">CleanText(B340)</f>
        <v>after seeing margot robbie in barbie movie i can see her playing the character baby jane in whatever happened to baby jane remake with originally with bette davis an opportunity for some great acting</v>
      </c>
      <c r="D340">
        <v>0</v>
      </c>
      <c r="E340">
        <v>0</v>
      </c>
      <c r="F340" t="s">
        <v>10</v>
      </c>
      <c r="G340" t="str" cm="1">
        <f t="array" ref="G340">FindCountryName(F340)</f>
        <v>None</v>
      </c>
      <c r="H340" s="3">
        <v>45317.200474537036</v>
      </c>
      <c r="I340" s="3">
        <v>45317.200671296298</v>
      </c>
      <c r="J340" s="3">
        <v>43957.121967592589</v>
      </c>
      <c r="K340" cm="1">
        <f t="array" ref="K340">sentimentCalc(C340)</f>
        <v>5</v>
      </c>
      <c r="L340" t="str" cm="1">
        <f t="array" ref="L340">sentimentCategory(K340)</f>
        <v>Positive</v>
      </c>
    </row>
    <row r="341" spans="1:12" x14ac:dyDescent="0.25">
      <c r="A341" t="s">
        <v>1831</v>
      </c>
      <c r="B341" t="s">
        <v>2768</v>
      </c>
      <c r="C341" t="str" cm="1">
        <f t="array" ref="C341">CleanText(B341)</f>
        <v>after seeing the movie they did a great job with this trailer by not revealing the synposisi can definitely say that this is a message to us as a society both women  menthe demographic for this movie is actually broad if anyone thinks this is for kids or females only your definitely wrong</v>
      </c>
      <c r="D341">
        <v>1</v>
      </c>
      <c r="E341">
        <v>0</v>
      </c>
      <c r="F341" t="s">
        <v>10</v>
      </c>
      <c r="G341" t="str" cm="1">
        <f t="array" ref="G341">FindCountryName(F341)</f>
        <v>None</v>
      </c>
      <c r="H341" s="3">
        <v>45158.234710648147</v>
      </c>
      <c r="I341" s="3">
        <v>45158.235439814816</v>
      </c>
      <c r="J341" s="3">
        <v>44701.806261574071</v>
      </c>
      <c r="K341" cm="1">
        <f t="array" ref="K341">sentimentCalc(C341)</f>
        <v>1</v>
      </c>
      <c r="L341" t="str" cm="1">
        <f t="array" ref="L341">sentimentCategory(K341)</f>
        <v>Positive</v>
      </c>
    </row>
    <row r="342" spans="1:12" x14ac:dyDescent="0.25">
      <c r="A342" t="s">
        <v>3350</v>
      </c>
      <c r="B342" t="s">
        <v>3351</v>
      </c>
      <c r="C342" t="str" cm="1">
        <f t="array" ref="C342">CleanText(B342)</f>
        <v>after seeing the movie this trailer sucks tbh</v>
      </c>
      <c r="D342">
        <v>0</v>
      </c>
      <c r="E342">
        <v>0</v>
      </c>
      <c r="F342" t="s">
        <v>10</v>
      </c>
      <c r="G342" t="str" cm="1">
        <f t="array" ref="G342">FindCountryName(F342)</f>
        <v>None</v>
      </c>
      <c r="H342" s="3">
        <v>45149.778796296298</v>
      </c>
      <c r="I342" s="3">
        <v>45149.778784722221</v>
      </c>
      <c r="J342" s="3">
        <v>42921.654490740744</v>
      </c>
      <c r="K342" cm="1">
        <f t="array" ref="K342">sentimentCalc(C342)</f>
        <v>-3</v>
      </c>
      <c r="L342" t="str" cm="1">
        <f t="array" ref="L342">sentimentCategory(K342)</f>
        <v>Negative</v>
      </c>
    </row>
    <row r="343" spans="1:12" x14ac:dyDescent="0.25">
      <c r="A343" t="s">
        <v>4292</v>
      </c>
      <c r="B343" t="s">
        <v>4293</v>
      </c>
      <c r="C343" t="str" cm="1">
        <f t="array" ref="C343">CleanText(B343)</f>
        <v>after watching barbenhiemer now ive become barbie destroyer of world</v>
      </c>
      <c r="D343">
        <v>1</v>
      </c>
      <c r="E343">
        <v>0</v>
      </c>
      <c r="F343" t="s">
        <v>10</v>
      </c>
      <c r="G343" t="str" cm="1">
        <f t="array" ref="G343">FindCountryName(F343)</f>
        <v>None</v>
      </c>
      <c r="H343" s="3">
        <v>45141.188668981478</v>
      </c>
      <c r="I343" s="3">
        <v>45141.188668981478</v>
      </c>
      <c r="J343" s="3">
        <v>39050.903229166666</v>
      </c>
      <c r="K343" cm="1">
        <f t="array" ref="K343">sentimentCalc(C343)</f>
        <v>0</v>
      </c>
      <c r="L343" t="str" cm="1">
        <f t="array" ref="L343">sentimentCategory(K343)</f>
        <v>Neutral</v>
      </c>
    </row>
    <row r="344" spans="1:12" x14ac:dyDescent="0.25">
      <c r="A344" t="s">
        <v>434</v>
      </c>
      <c r="B344" t="s">
        <v>1969</v>
      </c>
      <c r="C344" t="str" cm="1">
        <f t="array" ref="C344">CleanText(B344)</f>
        <v>after watching this movie my mind say wtttttttttfffffffg</v>
      </c>
      <c r="D344">
        <v>0</v>
      </c>
      <c r="E344">
        <v>0</v>
      </c>
      <c r="F344" t="s">
        <v>10</v>
      </c>
      <c r="G344" t="str" cm="1">
        <f t="array" ref="G344">FindCountryName(F344)</f>
        <v>None</v>
      </c>
      <c r="H344" s="3">
        <v>45186.158206018517</v>
      </c>
      <c r="I344" s="3">
        <v>45186.158206018517</v>
      </c>
      <c r="J344" s="3">
        <v>42819.560034722221</v>
      </c>
      <c r="K344" cm="1">
        <f t="array" ref="K344">sentimentCalc(C344)</f>
        <v>0</v>
      </c>
      <c r="L344" t="str" cm="1">
        <f t="array" ref="L344">sentimentCategory(K344)</f>
        <v>Neutral</v>
      </c>
    </row>
    <row r="345" spans="1:12" x14ac:dyDescent="0.25">
      <c r="A345" t="s">
        <v>405</v>
      </c>
      <c r="B345" t="s">
        <v>2441</v>
      </c>
      <c r="C345" t="str" cm="1">
        <f t="array" ref="C345">CleanText(B345)</f>
        <v>again and thank gosh</v>
      </c>
      <c r="D345">
        <v>0</v>
      </c>
      <c r="E345">
        <v>0</v>
      </c>
      <c r="F345" t="s">
        <v>10</v>
      </c>
      <c r="G345" t="str" cm="1">
        <f t="array" ref="G345">FindCountryName(F345)</f>
        <v>None</v>
      </c>
      <c r="H345" s="3">
        <v>45167.168946759259</v>
      </c>
      <c r="I345" s="3">
        <v>45167.168946759259</v>
      </c>
      <c r="J345" s="3">
        <v>44653.488611111112</v>
      </c>
      <c r="K345" cm="1">
        <f t="array" ref="K345">sentimentCalc(C345)</f>
        <v>2</v>
      </c>
      <c r="L345" t="str" cm="1">
        <f t="array" ref="L345">sentimentCategory(K345)</f>
        <v>Positive</v>
      </c>
    </row>
    <row r="346" spans="1:12" x14ac:dyDescent="0.25">
      <c r="A346" t="s">
        <v>158</v>
      </c>
      <c r="B346" t="s">
        <v>2899</v>
      </c>
      <c r="C346" t="str" cm="1">
        <f t="array" ref="C346">CleanText(B346)</f>
        <v>agenda</v>
      </c>
      <c r="D346">
        <v>0</v>
      </c>
      <c r="E346">
        <v>0</v>
      </c>
      <c r="F346" t="s">
        <v>10</v>
      </c>
      <c r="G346" t="str" cm="1">
        <f t="array" ref="G346">FindCountryName(F346)</f>
        <v>None</v>
      </c>
      <c r="H346" s="3">
        <v>45156.271099537036</v>
      </c>
      <c r="I346" s="3">
        <v>45156.271099537036</v>
      </c>
      <c r="J346" s="3">
        <v>43934.682453703703</v>
      </c>
      <c r="K346" cm="1">
        <f t="array" ref="K346">sentimentCalc(C346)</f>
        <v>0</v>
      </c>
      <c r="L346" t="str" cm="1">
        <f t="array" ref="L346">sentimentCategory(K346)</f>
        <v>Neutral</v>
      </c>
    </row>
    <row r="347" spans="1:12" x14ac:dyDescent="0.25">
      <c r="A347" t="s">
        <v>186</v>
      </c>
      <c r="B347" t="s">
        <v>2503</v>
      </c>
      <c r="C347" t="str" cm="1">
        <f t="array" ref="C347">CleanText(B347)</f>
        <v>ahghnfjjejgff    hhshahhwhafhagaggwgahshkakjakajyahakjajaxabsjsjjsksjzjhsjxskhshfzhksjshsjdhhsjsmhs        suhsbshsjhsysu</v>
      </c>
      <c r="D347">
        <v>0</v>
      </c>
      <c r="E347">
        <v>0</v>
      </c>
      <c r="F347" t="s">
        <v>10</v>
      </c>
      <c r="G347" t="str" cm="1">
        <f t="array" ref="G347">FindCountryName(F347)</f>
        <v>None</v>
      </c>
      <c r="H347" s="3">
        <v>45164.868449074071</v>
      </c>
      <c r="I347" s="3">
        <v>45164.868449074071</v>
      </c>
      <c r="J347" s="3">
        <v>44551.035798611112</v>
      </c>
      <c r="K347" cm="1">
        <f t="array" ref="K347">sentimentCalc(C347)</f>
        <v>0</v>
      </c>
      <c r="L347" t="str" cm="1">
        <f t="array" ref="L347">sentimentCategory(K347)</f>
        <v>Neutral</v>
      </c>
    </row>
    <row r="348" spans="1:12" x14ac:dyDescent="0.25">
      <c r="A348" t="s">
        <v>624</v>
      </c>
      <c r="B348" t="s">
        <v>1355</v>
      </c>
      <c r="C348" t="str" cm="1">
        <f t="array" ref="C348">CleanText(B348)</f>
        <v>ainda no assisti mas farei assim que eu puder</v>
      </c>
      <c r="D348">
        <v>1</v>
      </c>
      <c r="E348">
        <v>0</v>
      </c>
      <c r="F348" t="s">
        <v>10</v>
      </c>
      <c r="G348" t="str" cm="1">
        <f t="array" ref="G348">FindCountryName(F348)</f>
        <v>None</v>
      </c>
      <c r="H348" s="3">
        <v>45242.304097222222</v>
      </c>
      <c r="I348" s="3">
        <v>45242.304097222222</v>
      </c>
      <c r="J348" s="3">
        <v>41333.785833333335</v>
      </c>
      <c r="K348" cm="1">
        <f t="array" ref="K348">sentimentCalc(C348)</f>
        <v>-1</v>
      </c>
      <c r="L348" t="str" cm="1">
        <f t="array" ref="L348">sentimentCategory(K348)</f>
        <v>Negative</v>
      </c>
    </row>
    <row r="349" spans="1:12" x14ac:dyDescent="0.25">
      <c r="A349" t="s">
        <v>292</v>
      </c>
      <c r="B349" t="s">
        <v>2731</v>
      </c>
      <c r="C349" t="str" cm="1">
        <f t="array" ref="C349">CleanText(B349)</f>
        <v>aint the main char playing as barbie is harlequinn as well</v>
      </c>
      <c r="D349">
        <v>0</v>
      </c>
      <c r="E349">
        <v>0</v>
      </c>
      <c r="F349" t="s">
        <v>10</v>
      </c>
      <c r="G349" t="str" cm="1">
        <f t="array" ref="G349">FindCountryName(F349)</f>
        <v>None</v>
      </c>
      <c r="H349" s="3">
        <v>45159.075694444444</v>
      </c>
      <c r="I349" s="3">
        <v>45159.075694444444</v>
      </c>
      <c r="J349" s="3">
        <v>40877.863854166666</v>
      </c>
      <c r="K349" cm="1">
        <f t="array" ref="K349">sentimentCalc(C349)</f>
        <v>0</v>
      </c>
      <c r="L349" t="str" cm="1">
        <f t="array" ref="L349">sentimentCategory(K349)</f>
        <v>Neutral</v>
      </c>
    </row>
    <row r="350" spans="1:12" x14ac:dyDescent="0.25">
      <c r="A350" t="s">
        <v>389</v>
      </c>
      <c r="B350" t="s">
        <v>390</v>
      </c>
      <c r="C350" t="str" cm="1">
        <f t="array" ref="C350">CleanText(B350)</f>
        <v>akam iin ok gzel bir film</v>
      </c>
      <c r="D350">
        <v>0</v>
      </c>
      <c r="E350">
        <v>0</v>
      </c>
      <c r="F350" t="s">
        <v>10</v>
      </c>
      <c r="G350" t="str" cm="1">
        <f t="array" ref="G350">FindCountryName(F350)</f>
        <v>None</v>
      </c>
      <c r="H350" s="3">
        <v>45322.272997685184</v>
      </c>
      <c r="I350" s="3">
        <v>45322.272997685184</v>
      </c>
      <c r="J350" s="3">
        <v>43782.262511574074</v>
      </c>
      <c r="K350" cm="1">
        <f t="array" ref="K350">sentimentCalc(C350)</f>
        <v>0</v>
      </c>
      <c r="L350" t="str" cm="1">
        <f t="array" ref="L350">sentimentCategory(K350)</f>
        <v>Neutral</v>
      </c>
    </row>
    <row r="351" spans="1:12" x14ac:dyDescent="0.25">
      <c r="A351" t="s">
        <v>735</v>
      </c>
      <c r="B351" t="s">
        <v>736</v>
      </c>
      <c r="C351" t="str" cm="1">
        <f t="array" ref="C351">CleanText(B351)</f>
        <v>aktrlerin ikiside ok baarl ve komik izlenebilir</v>
      </c>
      <c r="D351">
        <v>0</v>
      </c>
      <c r="E351">
        <v>0</v>
      </c>
      <c r="F351" t="s">
        <v>10</v>
      </c>
      <c r="G351" t="str" cm="1">
        <f t="array" ref="G351">FindCountryName(F351)</f>
        <v>None</v>
      </c>
      <c r="H351" s="3">
        <v>45310.258043981485</v>
      </c>
      <c r="I351" s="3">
        <v>45310.258043981485</v>
      </c>
      <c r="J351" s="3">
        <v>43941.162372685183</v>
      </c>
      <c r="K351" cm="1">
        <f t="array" ref="K351">sentimentCalc(C351)</f>
        <v>0</v>
      </c>
      <c r="L351" t="str" cm="1">
        <f t="array" ref="L351">sentimentCategory(K351)</f>
        <v>Neutral</v>
      </c>
    </row>
    <row r="352" spans="1:12" x14ac:dyDescent="0.25">
      <c r="A352" t="s">
        <v>173</v>
      </c>
      <c r="B352" t="s">
        <v>1356</v>
      </c>
      <c r="C352" t="str" cm="1">
        <f t="array" ref="C352">CleanText(B352)</f>
        <v>aku pernah nonton seru banget tp ada sedih ny</v>
      </c>
      <c r="D352">
        <v>1</v>
      </c>
      <c r="E352">
        <v>0</v>
      </c>
      <c r="F352" t="s">
        <v>65</v>
      </c>
      <c r="G352" t="str" cm="1">
        <f t="array" ref="G352">FindCountryName(F352)</f>
        <v>Indonesia</v>
      </c>
      <c r="H352" s="3">
        <v>45241.958784722221</v>
      </c>
      <c r="I352" s="3">
        <v>45241.958784722221</v>
      </c>
      <c r="J352" s="3">
        <v>43610.173009259262</v>
      </c>
      <c r="K352" cm="1">
        <f t="array" ref="K352">sentimentCalc(C352)</f>
        <v>0</v>
      </c>
      <c r="L352" t="str" cm="1">
        <f t="array" ref="L352">sentimentCategory(K352)</f>
        <v>Neutral</v>
      </c>
    </row>
    <row r="353" spans="1:12" x14ac:dyDescent="0.25">
      <c r="A353" t="s">
        <v>83</v>
      </c>
      <c r="B353" t="s">
        <v>2237</v>
      </c>
      <c r="C353" t="str" cm="1">
        <f t="array" ref="C353">CleanText(B353)</f>
        <v>alex murdaugh would love this movie</v>
      </c>
      <c r="D353">
        <v>0</v>
      </c>
      <c r="E353">
        <v>0</v>
      </c>
      <c r="F353" t="s">
        <v>10</v>
      </c>
      <c r="G353" t="str" cm="1">
        <f t="array" ref="G353">FindCountryName(F353)</f>
        <v>None</v>
      </c>
      <c r="H353" s="3">
        <v>45174.970486111109</v>
      </c>
      <c r="I353" s="3">
        <v>45174.970486111109</v>
      </c>
      <c r="J353" s="3">
        <v>44690.770798611113</v>
      </c>
      <c r="K353" cm="1">
        <f t="array" ref="K353">sentimentCalc(C353)</f>
        <v>3</v>
      </c>
      <c r="L353" t="str" cm="1">
        <f t="array" ref="L353">sentimentCategory(K353)</f>
        <v>Positive</v>
      </c>
    </row>
    <row r="354" spans="1:12" x14ac:dyDescent="0.25">
      <c r="A354" t="s">
        <v>1107</v>
      </c>
      <c r="B354" t="s">
        <v>3026</v>
      </c>
      <c r="C354" t="str" cm="1">
        <f t="array" ref="C354">CleanText(B354)</f>
        <v>all fake comments real comments are popping up on</v>
      </c>
      <c r="D354">
        <v>0</v>
      </c>
      <c r="E354">
        <v>0</v>
      </c>
      <c r="F354" t="s">
        <v>10</v>
      </c>
      <c r="G354" t="str" cm="1">
        <f t="array" ref="G354">FindCountryName(F354)</f>
        <v>None</v>
      </c>
      <c r="H354" s="3">
        <v>45154.345601851855</v>
      </c>
      <c r="I354" s="3">
        <v>45154.345590277779</v>
      </c>
      <c r="J354" s="3">
        <v>38997.847951388889</v>
      </c>
      <c r="K354" cm="1">
        <f t="array" ref="K354">sentimentCalc(C354)</f>
        <v>-3</v>
      </c>
      <c r="L354" t="str" cm="1">
        <f t="array" ref="L354">sentimentCategory(K354)</f>
        <v>Negative</v>
      </c>
    </row>
    <row r="355" spans="1:12" x14ac:dyDescent="0.25">
      <c r="A355" t="s">
        <v>2573</v>
      </c>
      <c r="B355" t="s">
        <v>2574</v>
      </c>
      <c r="C355" t="str" cm="1">
        <f t="array" ref="C355">CleanText(B355)</f>
        <v>all joan cusack ever wanted was a ballerina barbie but ended up getting malibu barbie</v>
      </c>
      <c r="D355">
        <v>0</v>
      </c>
      <c r="E355">
        <v>1</v>
      </c>
      <c r="F355" t="s">
        <v>10</v>
      </c>
      <c r="G355" t="str" cm="1">
        <f t="array" ref="G355">FindCountryName(F355)</f>
        <v>None</v>
      </c>
      <c r="H355" s="3">
        <v>45162.834803240738</v>
      </c>
      <c r="I355" s="3">
        <v>45162.834803240738</v>
      </c>
      <c r="J355" s="3">
        <v>39227.072199074071</v>
      </c>
      <c r="K355" cm="1">
        <f t="array" ref="K355">sentimentCalc(C355)</f>
        <v>0</v>
      </c>
      <c r="L355" t="str" cm="1">
        <f t="array" ref="L355">sentimentCategory(K355)</f>
        <v>Neutral</v>
      </c>
    </row>
    <row r="356" spans="1:12" x14ac:dyDescent="0.25">
      <c r="A356" t="s">
        <v>555</v>
      </c>
      <c r="B356" t="s">
        <v>4453</v>
      </c>
      <c r="C356" t="str" cm="1">
        <f t="array" ref="C356">CleanText(B356)</f>
        <v>all of u giys make movie so good so in watching it today</v>
      </c>
      <c r="D356">
        <v>0</v>
      </c>
      <c r="E356">
        <v>1</v>
      </c>
      <c r="F356" t="s">
        <v>10</v>
      </c>
      <c r="G356" t="str" cm="1">
        <f t="array" ref="G356">FindCountryName(F356)</f>
        <v>None</v>
      </c>
      <c r="H356" s="3">
        <v>45140.200196759259</v>
      </c>
      <c r="I356" s="3">
        <v>45140.200196759259</v>
      </c>
      <c r="J356" s="3">
        <v>40817.437222222223</v>
      </c>
      <c r="K356" cm="1">
        <f t="array" ref="K356">sentimentCalc(C356)</f>
        <v>3</v>
      </c>
      <c r="L356" t="str" cm="1">
        <f t="array" ref="L356">sentimentCategory(K356)</f>
        <v>Positive</v>
      </c>
    </row>
    <row r="357" spans="1:12" x14ac:dyDescent="0.25">
      <c r="A357" t="s">
        <v>1148</v>
      </c>
      <c r="B357" t="s">
        <v>2308</v>
      </c>
      <c r="C357" t="str" cm="1">
        <f t="array" ref="C357">CleanText(B357)</f>
        <v>all these guys are dum for acting in this movie</v>
      </c>
      <c r="D357">
        <v>0</v>
      </c>
      <c r="E357">
        <v>2</v>
      </c>
      <c r="F357" t="s">
        <v>10</v>
      </c>
      <c r="G357" t="str" cm="1">
        <f t="array" ref="G357">FindCountryName(F357)</f>
        <v>None</v>
      </c>
      <c r="H357" s="3">
        <v>45172.291365740741</v>
      </c>
      <c r="I357" s="3">
        <v>45172.291365740741</v>
      </c>
      <c r="J357" s="3">
        <v>44995.604050925926</v>
      </c>
      <c r="K357" cm="1">
        <f t="array" ref="K357">sentimentCalc(C357)</f>
        <v>0</v>
      </c>
      <c r="L357" t="str" cm="1">
        <f t="array" ref="L357">sentimentCategory(K357)</f>
        <v>Neutral</v>
      </c>
    </row>
    <row r="358" spans="1:12" x14ac:dyDescent="0.25">
      <c r="A358" t="s">
        <v>178</v>
      </c>
      <c r="B358" t="s">
        <v>179</v>
      </c>
      <c r="C358" t="str" cm="1">
        <f t="array" ref="C358">CleanText(B358)</f>
        <v>allan was my favorite character i freaking love michael cera</v>
      </c>
      <c r="D358">
        <v>0</v>
      </c>
      <c r="E358">
        <v>0</v>
      </c>
      <c r="F358" t="s">
        <v>10</v>
      </c>
      <c r="G358" t="str" cm="1">
        <f t="array" ref="G358">FindCountryName(F358)</f>
        <v>None</v>
      </c>
      <c r="H358" s="3">
        <v>45335.899062500001</v>
      </c>
      <c r="I358" s="3">
        <v>45335.899062500001</v>
      </c>
      <c r="J358" s="3">
        <v>42723.567662037036</v>
      </c>
      <c r="K358" cm="1">
        <f t="array" ref="K358">sentimentCalc(C358)</f>
        <v>5</v>
      </c>
      <c r="L358" t="str" cm="1">
        <f t="array" ref="L358">sentimentCategory(K358)</f>
        <v>Positive</v>
      </c>
    </row>
    <row r="359" spans="1:12" x14ac:dyDescent="0.25">
      <c r="A359" t="s">
        <v>205</v>
      </c>
      <c r="B359" t="s">
        <v>4374</v>
      </c>
      <c r="C359" t="str" cm="1">
        <f t="array" ref="C359">CleanText(B359)</f>
        <v>alt taraf bir disney film neden bu kadar abartld anlam deilim ne alaka yani</v>
      </c>
      <c r="D359">
        <v>0</v>
      </c>
      <c r="E359">
        <v>0</v>
      </c>
      <c r="F359" t="s">
        <v>10</v>
      </c>
      <c r="G359" t="str" cm="1">
        <f t="array" ref="G359">FindCountryName(F359)</f>
        <v>None</v>
      </c>
      <c r="H359" s="3">
        <v>45140.57309027778</v>
      </c>
      <c r="I359" s="3">
        <v>45140.57309027778</v>
      </c>
      <c r="J359" s="3">
        <v>44133.445393518516</v>
      </c>
      <c r="K359" cm="1">
        <f t="array" ref="K359">sentimentCalc(C359)</f>
        <v>0</v>
      </c>
      <c r="L359" t="str" cm="1">
        <f t="array" ref="L359">sentimentCategory(K359)</f>
        <v>Neutral</v>
      </c>
    </row>
    <row r="360" spans="1:12" x14ac:dyDescent="0.25">
      <c r="A360" t="s">
        <v>1263</v>
      </c>
      <c r="B360" t="s">
        <v>3116</v>
      </c>
      <c r="C360" t="str" cm="1">
        <f t="array" ref="C360">CleanText(B360)</f>
        <v>alternate title for the movie ken goes to the real world and now is in the time of blade runner</v>
      </c>
      <c r="D360">
        <v>0</v>
      </c>
      <c r="E360">
        <v>0</v>
      </c>
      <c r="F360" t="s">
        <v>10</v>
      </c>
      <c r="G360" t="str" cm="1">
        <f t="array" ref="G360">FindCountryName(F360)</f>
        <v>None</v>
      </c>
      <c r="H360" s="3">
        <v>45153.180451388886</v>
      </c>
      <c r="I360" s="3">
        <v>45153.180451388886</v>
      </c>
      <c r="J360" s="3">
        <v>43892.567129629628</v>
      </c>
      <c r="K360" cm="1">
        <f t="array" ref="K360">sentimentCalc(C360)</f>
        <v>0</v>
      </c>
      <c r="L360" t="str" cm="1">
        <f t="array" ref="L360">sentimentCategory(K360)</f>
        <v>Neutral</v>
      </c>
    </row>
    <row r="361" spans="1:12" x14ac:dyDescent="0.25">
      <c r="A361" t="s">
        <v>333</v>
      </c>
      <c r="B361" t="s">
        <v>3710</v>
      </c>
      <c r="C361" t="str" cm="1">
        <f t="array" ref="C361">CleanText(B361)</f>
        <v>am a doll but i still wanna party</v>
      </c>
      <c r="D361">
        <v>0</v>
      </c>
      <c r="E361">
        <v>0</v>
      </c>
      <c r="F361" t="s">
        <v>10</v>
      </c>
      <c r="G361" t="str" cm="1">
        <f t="array" ref="G361">FindCountryName(F361)</f>
        <v>None</v>
      </c>
      <c r="H361" s="3">
        <v>45146.199062500003</v>
      </c>
      <c r="I361" s="3">
        <v>45146.199062500003</v>
      </c>
      <c r="J361" s="3">
        <v>44024.396979166668</v>
      </c>
      <c r="K361" cm="1">
        <f t="array" ref="K361">sentimentCalc(C361)</f>
        <v>0</v>
      </c>
      <c r="L361" t="str" cm="1">
        <f t="array" ref="L361">sentimentCategory(K361)</f>
        <v>Neutral</v>
      </c>
    </row>
    <row r="362" spans="1:12" x14ac:dyDescent="0.25">
      <c r="A362" t="s">
        <v>195</v>
      </c>
      <c r="B362" t="s">
        <v>196</v>
      </c>
      <c r="C362" t="str" cm="1">
        <f t="array" ref="C362">CleanText(B362)</f>
        <v>am a fan since when i was  i was a fan am still i cant wait</v>
      </c>
      <c r="D362">
        <v>0</v>
      </c>
      <c r="E362">
        <v>0</v>
      </c>
      <c r="F362" t="s">
        <v>10</v>
      </c>
      <c r="G362" t="str" cm="1">
        <f t="array" ref="G362">FindCountryName(F362)</f>
        <v>None</v>
      </c>
      <c r="H362" s="3">
        <v>45334.61451388889</v>
      </c>
      <c r="I362" s="3">
        <v>45334.61451388889</v>
      </c>
      <c r="J362" s="3">
        <v>44943.207060185188</v>
      </c>
      <c r="K362" cm="1">
        <f t="array" ref="K362">sentimentCalc(C362)</f>
        <v>6</v>
      </c>
      <c r="L362" t="str" cm="1">
        <f t="array" ref="L362">sentimentCategory(K362)</f>
        <v>Positive</v>
      </c>
    </row>
    <row r="363" spans="1:12" x14ac:dyDescent="0.25">
      <c r="A363" t="s">
        <v>3904</v>
      </c>
      <c r="B363" t="s">
        <v>3905</v>
      </c>
      <c r="C363" t="str" cm="1">
        <f t="array" ref="C363">CleanText(B363)</f>
        <v>am i the only one insanely surprised that the barbie movie made over a billion dollars</v>
      </c>
      <c r="D363">
        <v>3</v>
      </c>
      <c r="E363">
        <v>1</v>
      </c>
      <c r="F363" t="s">
        <v>10</v>
      </c>
      <c r="G363" t="str" cm="1">
        <f t="array" ref="G363">FindCountryName(F363)</f>
        <v>None</v>
      </c>
      <c r="H363" s="3">
        <v>45144.600011574075</v>
      </c>
      <c r="I363" s="3">
        <v>45144.600011574075</v>
      </c>
      <c r="J363" s="3">
        <v>44464.52076388889</v>
      </c>
      <c r="K363" cm="1">
        <f t="array" ref="K363">sentimentCalc(C363)</f>
        <v>0</v>
      </c>
      <c r="L363" t="str" cm="1">
        <f t="array" ref="L363">sentimentCategory(K363)</f>
        <v>Neutral</v>
      </c>
    </row>
    <row r="364" spans="1:12" x14ac:dyDescent="0.25">
      <c r="A364" t="s">
        <v>58</v>
      </c>
      <c r="B364" t="s">
        <v>1495</v>
      </c>
      <c r="C364" t="str" cm="1">
        <f t="array" ref="C364">CleanText(B364)</f>
        <v>am i the only one that thinks this looks stupid</v>
      </c>
      <c r="D364">
        <v>2</v>
      </c>
      <c r="E364">
        <v>0</v>
      </c>
      <c r="F364" t="s">
        <v>10</v>
      </c>
      <c r="G364" t="str" cm="1">
        <f t="array" ref="G364">FindCountryName(F364)</f>
        <v>None</v>
      </c>
      <c r="H364" s="3">
        <v>45220.124849537038</v>
      </c>
      <c r="I364" s="3">
        <v>45220.124849537038</v>
      </c>
      <c r="J364" s="3">
        <v>45047.007152777776</v>
      </c>
      <c r="K364" cm="1">
        <f t="array" ref="K364">sentimentCalc(C364)</f>
        <v>-2</v>
      </c>
      <c r="L364" t="str" cm="1">
        <f t="array" ref="L364">sentimentCategory(K364)</f>
        <v>Negative</v>
      </c>
    </row>
    <row r="365" spans="1:12" x14ac:dyDescent="0.25">
      <c r="A365" t="s">
        <v>1176</v>
      </c>
      <c r="B365" t="s">
        <v>1177</v>
      </c>
      <c r="C365" t="str" cm="1">
        <f t="array" ref="C365">CleanText(B365)</f>
        <v>am i the only person that thinks this movie sucked i knew it was a flop as soon as i saw that big wb lego in the beginning of the movie</v>
      </c>
      <c r="D365">
        <v>3</v>
      </c>
      <c r="E365">
        <v>6</v>
      </c>
      <c r="F365" t="s">
        <v>10</v>
      </c>
      <c r="G365" t="str" cm="1">
        <f t="array" ref="G365">FindCountryName(F365)</f>
        <v>None</v>
      </c>
      <c r="H365" s="3">
        <v>45279.870497685188</v>
      </c>
      <c r="I365" s="3">
        <v>45279.870497685188</v>
      </c>
      <c r="J365" s="3">
        <v>42019.543865740743</v>
      </c>
      <c r="K365" cm="1">
        <f t="array" ref="K365">sentimentCalc(C365)</f>
        <v>-1</v>
      </c>
      <c r="L365" t="str" cm="1">
        <f t="array" ref="L365">sentimentCategory(K365)</f>
        <v>Negative</v>
      </c>
    </row>
    <row r="366" spans="1:12" x14ac:dyDescent="0.25">
      <c r="A366" t="s">
        <v>405</v>
      </c>
      <c r="B366" t="s">
        <v>1879</v>
      </c>
      <c r="C366" t="str" cm="1">
        <f t="array" ref="C366">CleanText(B366)</f>
        <v>ama babi ger in te babi wootl lep in plastik so pantatik yu kan brush ma her an tuk me aniwere imaginaton so creatom</v>
      </c>
      <c r="D366">
        <v>0</v>
      </c>
      <c r="E366">
        <v>0</v>
      </c>
      <c r="F366" t="s">
        <v>10</v>
      </c>
      <c r="G366" t="str" cm="1">
        <f t="array" ref="G366">FindCountryName(F366)</f>
        <v>None</v>
      </c>
      <c r="H366" s="3">
        <v>45188.97761574074</v>
      </c>
      <c r="I366" s="3">
        <v>45188.97761574074</v>
      </c>
      <c r="J366" s="3">
        <v>45076.096851851849</v>
      </c>
      <c r="K366" cm="1">
        <f t="array" ref="K366">sentimentCalc(C366)</f>
        <v>0</v>
      </c>
      <c r="L366" t="str" cm="1">
        <f t="array" ref="L366">sentimentCategory(K366)</f>
        <v>Neutral</v>
      </c>
    </row>
    <row r="367" spans="1:12" x14ac:dyDescent="0.25">
      <c r="A367" t="s">
        <v>2850</v>
      </c>
      <c r="B367" t="s">
        <v>2853</v>
      </c>
      <c r="C367" t="str" cm="1">
        <f t="array" ref="C367">CleanText(B367)</f>
        <v>ama seni sevirem mn</v>
      </c>
      <c r="D367">
        <v>0</v>
      </c>
      <c r="E367">
        <v>0</v>
      </c>
      <c r="F367" t="s">
        <v>10</v>
      </c>
      <c r="G367" t="str" cm="1">
        <f t="array" ref="G367">FindCountryName(F367)</f>
        <v>None</v>
      </c>
      <c r="H367" s="3">
        <v>45156.84302083333</v>
      </c>
      <c r="I367" s="3">
        <v>45156.84302083333</v>
      </c>
      <c r="J367" s="3">
        <v>45124.740451388891</v>
      </c>
      <c r="K367" cm="1">
        <f t="array" ref="K367">sentimentCalc(C367)</f>
        <v>0</v>
      </c>
      <c r="L367" t="str" cm="1">
        <f t="array" ref="L367">sentimentCategory(K367)</f>
        <v>Neutral</v>
      </c>
    </row>
    <row r="368" spans="1:12" x14ac:dyDescent="0.25">
      <c r="A368" t="s">
        <v>309</v>
      </c>
      <c r="B368" t="s">
        <v>310</v>
      </c>
      <c r="C368" t="str" cm="1">
        <f t="array" ref="C368">CleanText(B368)</f>
        <v>amazing</v>
      </c>
      <c r="D368">
        <v>0</v>
      </c>
      <c r="E368">
        <v>0</v>
      </c>
      <c r="F368" t="s">
        <v>227</v>
      </c>
      <c r="G368" t="str" cm="1">
        <f t="array" ref="G368">FindCountryName(F368)</f>
        <v>United States of America (the)</v>
      </c>
      <c r="H368" s="3">
        <v>45322.352835648147</v>
      </c>
      <c r="I368" s="3">
        <v>45322.352835648147</v>
      </c>
      <c r="J368" s="3">
        <v>42629.919965277775</v>
      </c>
      <c r="K368" cm="1">
        <f t="array" ref="K368">sentimentCalc(C368)</f>
        <v>4</v>
      </c>
      <c r="L368" t="str" cm="1">
        <f t="array" ref="L368">sentimentCategory(K368)</f>
        <v>Positive</v>
      </c>
    </row>
    <row r="369" spans="1:12" x14ac:dyDescent="0.25">
      <c r="A369" t="s">
        <v>184</v>
      </c>
      <c r="B369" t="s">
        <v>185</v>
      </c>
      <c r="C369" t="str" cm="1">
        <f t="array" ref="C369">CleanText(B369)</f>
        <v>amazing edit</v>
      </c>
      <c r="D369">
        <v>0</v>
      </c>
      <c r="E369">
        <v>0</v>
      </c>
      <c r="F369" t="s">
        <v>10</v>
      </c>
      <c r="G369" t="str" cm="1">
        <f t="array" ref="G369">FindCountryName(F369)</f>
        <v>None</v>
      </c>
      <c r="H369" s="3">
        <v>45335.310740740744</v>
      </c>
      <c r="I369" s="3">
        <v>45335.310740740744</v>
      </c>
      <c r="J369" s="3">
        <v>45128.487939814811</v>
      </c>
      <c r="K369" cm="1">
        <f t="array" ref="K369">sentimentCalc(C369)</f>
        <v>4</v>
      </c>
      <c r="L369" t="str" cm="1">
        <f t="array" ref="L369">sentimentCategory(K369)</f>
        <v>Positive</v>
      </c>
    </row>
    <row r="370" spans="1:12" x14ac:dyDescent="0.25">
      <c r="A370" t="s">
        <v>423</v>
      </c>
      <c r="B370" t="s">
        <v>583</v>
      </c>
      <c r="C370" t="str" cm="1">
        <f t="array" ref="C370">CleanText(B370)</f>
        <v>amazing job i really like this video</v>
      </c>
      <c r="D370">
        <v>0</v>
      </c>
      <c r="E370">
        <v>0</v>
      </c>
      <c r="F370" t="s">
        <v>10</v>
      </c>
      <c r="G370" t="str" cm="1">
        <f t="array" ref="G370">FindCountryName(F370)</f>
        <v>None</v>
      </c>
      <c r="H370" s="3">
        <v>45317.272314814814</v>
      </c>
      <c r="I370" s="3">
        <v>45317.272314814814</v>
      </c>
      <c r="J370" s="3">
        <v>42560.405046296299</v>
      </c>
      <c r="K370" cm="1">
        <f t="array" ref="K370">sentimentCalc(C370)</f>
        <v>6</v>
      </c>
      <c r="L370" t="str" cm="1">
        <f t="array" ref="L370">sentimentCategory(K370)</f>
        <v>Positive</v>
      </c>
    </row>
    <row r="371" spans="1:12" x14ac:dyDescent="0.25">
      <c r="A371" t="s">
        <v>1244</v>
      </c>
      <c r="B371" t="s">
        <v>2338</v>
      </c>
      <c r="C371" t="str" cm="1">
        <f t="array" ref="C371">CleanText(B371)</f>
        <v>amazing movie amazzing</v>
      </c>
      <c r="D371">
        <v>0</v>
      </c>
      <c r="E371">
        <v>0</v>
      </c>
      <c r="F371" t="s">
        <v>10</v>
      </c>
      <c r="G371" t="str" cm="1">
        <f t="array" ref="G371">FindCountryName(F371)</f>
        <v>None</v>
      </c>
      <c r="H371" s="3">
        <v>45171.668067129627</v>
      </c>
      <c r="I371" s="3">
        <v>45171.668055555558</v>
      </c>
      <c r="J371" s="3">
        <v>42315.270601851851</v>
      </c>
      <c r="K371" cm="1">
        <f t="array" ref="K371">sentimentCalc(C371)</f>
        <v>4</v>
      </c>
      <c r="L371" t="str" cm="1">
        <f t="array" ref="L371">sentimentCategory(K371)</f>
        <v>Positive</v>
      </c>
    </row>
    <row r="372" spans="1:12" x14ac:dyDescent="0.25">
      <c r="A372" t="s">
        <v>173</v>
      </c>
      <c r="B372" t="s">
        <v>1577</v>
      </c>
      <c r="C372" t="str" cm="1">
        <f t="array" ref="C372">CleanText(B372)</f>
        <v>amazing neutral fiilm great job on the work to make everbody happy on all spectrums</v>
      </c>
      <c r="D372">
        <v>0</v>
      </c>
      <c r="E372">
        <v>0</v>
      </c>
      <c r="F372" t="s">
        <v>10</v>
      </c>
      <c r="G372" t="str" cm="1">
        <f t="array" ref="G372">FindCountryName(F372)</f>
        <v>None</v>
      </c>
      <c r="H372" s="3">
        <v>45213.500335648147</v>
      </c>
      <c r="I372" s="3">
        <v>45213.500335648147</v>
      </c>
      <c r="J372" s="3">
        <v>43467.391886574071</v>
      </c>
      <c r="K372" cm="1">
        <f t="array" ref="K372">sentimentCalc(C372)</f>
        <v>10</v>
      </c>
      <c r="L372" t="str" cm="1">
        <f t="array" ref="L372">sentimentCategory(K372)</f>
        <v>Positive</v>
      </c>
    </row>
    <row r="373" spans="1:12" x14ac:dyDescent="0.25">
      <c r="A373" t="s">
        <v>137</v>
      </c>
      <c r="B373" t="s">
        <v>439</v>
      </c>
      <c r="C373" t="str" cm="1">
        <f t="array" ref="C373">CleanText(B373)</f>
        <v>amazing</v>
      </c>
      <c r="D373">
        <v>0</v>
      </c>
      <c r="E373">
        <v>0</v>
      </c>
      <c r="F373" t="s">
        <v>10</v>
      </c>
      <c r="G373" t="str" cm="1">
        <f t="array" ref="G373">FindCountryName(F373)</f>
        <v>None</v>
      </c>
      <c r="H373" s="3">
        <v>45322.271562499998</v>
      </c>
      <c r="I373" s="3">
        <v>45322.271562499998</v>
      </c>
      <c r="J373" s="3">
        <v>44122.506238425929</v>
      </c>
      <c r="K373" cm="1">
        <f t="array" ref="K373">sentimentCalc(C373)</f>
        <v>4</v>
      </c>
      <c r="L373" t="str" cm="1">
        <f t="array" ref="L373">sentimentCategory(K373)</f>
        <v>Positive</v>
      </c>
    </row>
    <row r="374" spans="1:12" x14ac:dyDescent="0.25">
      <c r="A374" t="s">
        <v>1035</v>
      </c>
      <c r="B374" t="s">
        <v>1514</v>
      </c>
      <c r="C374" t="str" cm="1">
        <f t="array" ref="C374">CleanText(B374)</f>
        <v>amei</v>
      </c>
      <c r="D374">
        <v>0</v>
      </c>
      <c r="E374">
        <v>0</v>
      </c>
      <c r="F374" t="s">
        <v>10</v>
      </c>
      <c r="G374" t="str" cm="1">
        <f t="array" ref="G374">FindCountryName(F374)</f>
        <v>None</v>
      </c>
      <c r="H374" s="3">
        <v>45218.553020833337</v>
      </c>
      <c r="I374" s="3">
        <v>45218.553020833337</v>
      </c>
      <c r="J374" s="3">
        <v>43992.318182870367</v>
      </c>
      <c r="K374" cm="1">
        <f t="array" ref="K374">sentimentCalc(C374)</f>
        <v>0</v>
      </c>
      <c r="L374" t="str" cm="1">
        <f t="array" ref="L374">sentimentCategory(K374)</f>
        <v>Neutral</v>
      </c>
    </row>
    <row r="375" spans="1:12" x14ac:dyDescent="0.25">
      <c r="A375" t="s">
        <v>1117</v>
      </c>
      <c r="B375" t="s">
        <v>1630</v>
      </c>
      <c r="C375" t="str" cm="1">
        <f t="array" ref="C375">CleanText(B375)</f>
        <v>amei esse filme simplesmente perfeito</v>
      </c>
      <c r="D375">
        <v>0</v>
      </c>
      <c r="E375">
        <v>0</v>
      </c>
      <c r="F375" t="s">
        <v>10</v>
      </c>
      <c r="G375" t="str" cm="1">
        <f t="array" ref="G375">FindCountryName(F375)</f>
        <v>None</v>
      </c>
      <c r="H375" s="3">
        <v>45207.385011574072</v>
      </c>
      <c r="I375" s="3">
        <v>45207.385011574072</v>
      </c>
      <c r="J375" s="3">
        <v>42851.940601851849</v>
      </c>
      <c r="K375" cm="1">
        <f t="array" ref="K375">sentimentCalc(C375)</f>
        <v>0</v>
      </c>
      <c r="L375" t="str" cm="1">
        <f t="array" ref="L375">sentimentCategory(K375)</f>
        <v>Neutral</v>
      </c>
    </row>
    <row r="376" spans="1:12" x14ac:dyDescent="0.25">
      <c r="A376" t="s">
        <v>322</v>
      </c>
      <c r="B376" t="s">
        <v>1789</v>
      </c>
      <c r="C376" t="str" cm="1">
        <f t="array" ref="C376">CleanText(B376)</f>
        <v>amei esse filme no tem nem o que falar e perfeito</v>
      </c>
      <c r="D376">
        <v>0</v>
      </c>
      <c r="E376">
        <v>2</v>
      </c>
      <c r="F376" t="s">
        <v>10</v>
      </c>
      <c r="G376" t="str" cm="1">
        <f t="array" ref="G376">FindCountryName(F376)</f>
        <v>None</v>
      </c>
      <c r="H376" s="3">
        <v>45194.565254629626</v>
      </c>
      <c r="I376" s="3">
        <v>45194.565254629626</v>
      </c>
      <c r="J376" s="3">
        <v>40818.015601851854</v>
      </c>
      <c r="K376" cm="1">
        <f t="array" ref="K376">sentimentCalc(C376)</f>
        <v>-1</v>
      </c>
      <c r="L376" t="str" cm="1">
        <f t="array" ref="L376">sentimentCategory(K376)</f>
        <v>Negative</v>
      </c>
    </row>
    <row r="377" spans="1:12" x14ac:dyDescent="0.25">
      <c r="A377" t="s">
        <v>549</v>
      </c>
      <c r="B377" t="s">
        <v>1872</v>
      </c>
      <c r="C377" t="str" cm="1">
        <f t="array" ref="C377">CleanText(B377)</f>
        <v>amei o filme</v>
      </c>
      <c r="D377">
        <v>0</v>
      </c>
      <c r="E377">
        <v>1</v>
      </c>
      <c r="F377" t="s">
        <v>10</v>
      </c>
      <c r="G377" t="str" cm="1">
        <f t="array" ref="G377">FindCountryName(F377)</f>
        <v>None</v>
      </c>
      <c r="H377" s="3">
        <v>45189.456076388888</v>
      </c>
      <c r="I377" s="3">
        <v>45189.456064814818</v>
      </c>
      <c r="J377" s="3">
        <v>43857.65625</v>
      </c>
      <c r="K377" cm="1">
        <f t="array" ref="K377">sentimentCalc(C377)</f>
        <v>0</v>
      </c>
      <c r="L377" t="str" cm="1">
        <f t="array" ref="L377">sentimentCategory(K377)</f>
        <v>Neutral</v>
      </c>
    </row>
    <row r="378" spans="1:12" x14ac:dyDescent="0.25">
      <c r="A378" t="s">
        <v>286</v>
      </c>
      <c r="B378" t="s">
        <v>2451</v>
      </c>
      <c r="C378" t="str" cm="1">
        <f t="array" ref="C378">CleanText(B378)</f>
        <v>american culture is an evergreen of short jokes in europe</v>
      </c>
      <c r="D378">
        <v>0</v>
      </c>
      <c r="E378">
        <v>0</v>
      </c>
      <c r="F378" t="s">
        <v>10</v>
      </c>
      <c r="G378" t="str" cm="1">
        <f t="array" ref="G378">FindCountryName(F378)</f>
        <v>None</v>
      </c>
      <c r="H378" s="3">
        <v>45166.662349537037</v>
      </c>
      <c r="I378" s="3">
        <v>45166.662349537037</v>
      </c>
      <c r="J378" s="3">
        <v>40597.429236111115</v>
      </c>
      <c r="K378" cm="1">
        <f t="array" ref="K378">sentimentCalc(C378)</f>
        <v>2</v>
      </c>
      <c r="L378" t="str" cm="1">
        <f t="array" ref="L378">sentimentCategory(K378)</f>
        <v>Positive</v>
      </c>
    </row>
    <row r="379" spans="1:12" x14ac:dyDescent="0.25">
      <c r="A379" t="s">
        <v>60</v>
      </c>
      <c r="B379" t="s">
        <v>3031</v>
      </c>
      <c r="C379" t="str" cm="1">
        <f t="array" ref="C379">CleanText(B379)</f>
        <v>american movie saladno thanks</v>
      </c>
      <c r="D379">
        <v>2</v>
      </c>
      <c r="E379">
        <v>0</v>
      </c>
      <c r="F379" t="s">
        <v>10</v>
      </c>
      <c r="G379" t="str" cm="1">
        <f t="array" ref="G379">FindCountryName(F379)</f>
        <v>None</v>
      </c>
      <c r="H379" s="3">
        <v>45154.300625000003</v>
      </c>
      <c r="I379" s="3">
        <v>45154.300625000003</v>
      </c>
      <c r="J379" s="3">
        <v>43345.617280092592</v>
      </c>
      <c r="K379" cm="1">
        <f t="array" ref="K379">sentimentCalc(C379)</f>
        <v>2</v>
      </c>
      <c r="L379" t="str" cm="1">
        <f t="array" ref="L379">sentimentCategory(K379)</f>
        <v>Positive</v>
      </c>
    </row>
    <row r="380" spans="1:12" x14ac:dyDescent="0.25">
      <c r="A380" t="s">
        <v>830</v>
      </c>
      <c r="B380" t="s">
        <v>4180</v>
      </c>
      <c r="C380" t="str" cm="1">
        <f t="array" ref="C380">CleanText(B380)</f>
        <v>americas woke movie</v>
      </c>
      <c r="D380">
        <v>5</v>
      </c>
      <c r="E380">
        <v>0</v>
      </c>
      <c r="F380" t="s">
        <v>10</v>
      </c>
      <c r="G380" t="str" cm="1">
        <f t="array" ref="G380">FindCountryName(F380)</f>
        <v>None</v>
      </c>
      <c r="H380" s="3">
        <v>45142.259351851855</v>
      </c>
      <c r="I380" s="3">
        <v>45142.259351851855</v>
      </c>
      <c r="J380" s="3">
        <v>43981.069108796299</v>
      </c>
      <c r="K380" cm="1">
        <f t="array" ref="K380">sentimentCalc(C380)</f>
        <v>0</v>
      </c>
      <c r="L380" t="str" cm="1">
        <f t="array" ref="L380">sentimentCategory(K380)</f>
        <v>Neutral</v>
      </c>
    </row>
    <row r="381" spans="1:12" x14ac:dyDescent="0.25">
      <c r="A381" t="s">
        <v>254</v>
      </c>
      <c r="B381" t="s">
        <v>1354</v>
      </c>
      <c r="C381" t="str" cm="1">
        <f t="array" ref="C381">CleanText(B381)</f>
        <v>amo esse filme</v>
      </c>
      <c r="D381">
        <v>1</v>
      </c>
      <c r="E381">
        <v>0</v>
      </c>
      <c r="F381" t="s">
        <v>10</v>
      </c>
      <c r="G381" t="str" cm="1">
        <f t="array" ref="G381">FindCountryName(F381)</f>
        <v>None</v>
      </c>
      <c r="H381" s="3">
        <v>45242.310243055559</v>
      </c>
      <c r="I381" s="3">
        <v>45242.310243055559</v>
      </c>
      <c r="J381" s="3">
        <v>44664.628067129626</v>
      </c>
      <c r="K381" cm="1">
        <f t="array" ref="K381">sentimentCalc(C381)</f>
        <v>0</v>
      </c>
      <c r="L381" t="str" cm="1">
        <f t="array" ref="L381">sentimentCategory(K381)</f>
        <v>Neutral</v>
      </c>
    </row>
    <row r="382" spans="1:12" x14ac:dyDescent="0.25">
      <c r="A382" t="s">
        <v>118</v>
      </c>
      <c r="B382" t="s">
        <v>1454</v>
      </c>
      <c r="C382" t="str" cm="1">
        <f t="array" ref="C382">CleanText(B382)</f>
        <v>amo os filmes da barbie j assisti todos de desenho</v>
      </c>
      <c r="D382">
        <v>0</v>
      </c>
      <c r="E382">
        <v>0</v>
      </c>
      <c r="F382" t="s">
        <v>10</v>
      </c>
      <c r="G382" t="str" cm="1">
        <f t="array" ref="G382">FindCountryName(F382)</f>
        <v>None</v>
      </c>
      <c r="H382" s="3">
        <v>45226.495243055557</v>
      </c>
      <c r="I382" s="3">
        <v>45226.495243055557</v>
      </c>
      <c r="J382" s="3">
        <v>44231.231805555559</v>
      </c>
      <c r="K382" cm="1">
        <f t="array" ref="K382">sentimentCalc(C382)</f>
        <v>0</v>
      </c>
      <c r="L382" t="str" cm="1">
        <f t="array" ref="L382">sentimentCategory(K382)</f>
        <v>Neutral</v>
      </c>
    </row>
    <row r="383" spans="1:12" x14ac:dyDescent="0.25">
      <c r="A383" t="s">
        <v>1197</v>
      </c>
      <c r="B383" t="s">
        <v>1198</v>
      </c>
      <c r="C383" t="str" cm="1">
        <f t="array" ref="C383">CleanText(B383)</f>
        <v>an aussie and a canuck playing american icons cultural appropriation this is bullsh</v>
      </c>
      <c r="D383">
        <v>0</v>
      </c>
      <c r="E383">
        <v>0</v>
      </c>
      <c r="F383" t="s">
        <v>10</v>
      </c>
      <c r="G383" t="str" cm="1">
        <f t="array" ref="G383">FindCountryName(F383)</f>
        <v>None</v>
      </c>
      <c r="H383" s="3">
        <v>45277.729733796295</v>
      </c>
      <c r="I383" s="3">
        <v>45277.729733796295</v>
      </c>
      <c r="J383" s="3">
        <v>39083.991840277777</v>
      </c>
      <c r="K383" cm="1">
        <f t="array" ref="K383">sentimentCalc(C383)</f>
        <v>0</v>
      </c>
      <c r="L383" t="str" cm="1">
        <f t="array" ref="L383">sentimentCategory(K383)</f>
        <v>Neutral</v>
      </c>
    </row>
    <row r="384" spans="1:12" x14ac:dyDescent="0.25">
      <c r="A384" t="s">
        <v>1384</v>
      </c>
      <c r="B384" t="s">
        <v>2738</v>
      </c>
      <c r="C384" t="str" cm="1">
        <f t="array" ref="C384">CleanText(B384)</f>
        <v>ana ley iluv barbeie</v>
      </c>
      <c r="D384">
        <v>0</v>
      </c>
      <c r="E384">
        <v>0</v>
      </c>
      <c r="F384" t="s">
        <v>10</v>
      </c>
      <c r="G384" t="str" cm="1">
        <f t="array" ref="G384">FindCountryName(F384)</f>
        <v>None</v>
      </c>
      <c r="H384" s="3">
        <v>45158.905902777777</v>
      </c>
      <c r="I384" s="3">
        <v>45158.905902777777</v>
      </c>
      <c r="J384" s="3">
        <v>44660.70553240741</v>
      </c>
      <c r="K384" cm="1">
        <f t="array" ref="K384">sentimentCalc(C384)</f>
        <v>0</v>
      </c>
      <c r="L384" t="str" cm="1">
        <f t="array" ref="L384">sentimentCategory(K384)</f>
        <v>Neutral</v>
      </c>
    </row>
    <row r="385" spans="1:12" x14ac:dyDescent="0.25">
      <c r="A385" t="s">
        <v>247</v>
      </c>
      <c r="B385" t="s">
        <v>248</v>
      </c>
      <c r="C385" t="str" cm="1">
        <f t="array" ref="C385">CleanText(B385)</f>
        <v>ncelikle bu filmin ynetmeni barol olarak nasl byle bir hata yapt bilmiyorum ama yani bu kadar da olmaz hani zaten biricik prenses dnyada hani onun yerine gerekten bu insanlarin olacan dnmek bile akas hayal gcne smamasi lazm ama tabi yle de bir ey var siz yurtdnda arayn istediiniz kadar goremiceksiniz ve filminiz sadece byle kurgusal olacak ben biricik olan prensesi buldummmm veee asla da brakmyorum birakmicam ha bide yle bir ey var mesela diyelim siz burda ekmeye altniz filmi sizin saatlerinize gre deil bize gre ayarlanmas gerekiyor ynetmeninize bunu iletin ltfen nk klasik insanlar olarak siz biriciin hayat standartlarina karmazsiniz</v>
      </c>
      <c r="D385">
        <v>0</v>
      </c>
      <c r="E385">
        <v>0</v>
      </c>
      <c r="F385" t="s">
        <v>10</v>
      </c>
      <c r="G385" t="str" cm="1">
        <f t="array" ref="G385">FindCountryName(F385)</f>
        <v>None</v>
      </c>
      <c r="H385" s="3">
        <v>45325.740324074075</v>
      </c>
      <c r="I385" s="3">
        <v>45325.740324074075</v>
      </c>
      <c r="J385" s="3">
        <v>41999.625706018516</v>
      </c>
      <c r="K385" cm="1">
        <f t="array" ref="K385">sentimentCalc(C385)</f>
        <v>0</v>
      </c>
      <c r="L385" t="str" cm="1">
        <f t="array" ref="L385">sentimentCategory(K385)</f>
        <v>Neutral</v>
      </c>
    </row>
    <row r="386" spans="1:12" x14ac:dyDescent="0.25">
      <c r="A386" t="s">
        <v>2182</v>
      </c>
      <c r="B386" t="s">
        <v>2184</v>
      </c>
      <c r="C386" t="str" cm="1">
        <f t="array" ref="C386">CleanText(B386)</f>
        <v>and here we have a men hating feminist marxist movie funny how barbie has all these important roles and ken is portrayed as an idiot</v>
      </c>
      <c r="D386">
        <v>1</v>
      </c>
      <c r="E386">
        <v>4</v>
      </c>
      <c r="F386" t="s">
        <v>10</v>
      </c>
      <c r="G386" t="str" cm="1">
        <f t="array" ref="G386">FindCountryName(F386)</f>
        <v>None</v>
      </c>
      <c r="H386" s="3">
        <v>45176.674467592595</v>
      </c>
      <c r="I386" s="3">
        <v>45176.674467592595</v>
      </c>
      <c r="J386" s="3">
        <v>41141.639155092591</v>
      </c>
      <c r="K386" cm="1">
        <f t="array" ref="K386">sentimentCalc(C386)</f>
        <v>0</v>
      </c>
      <c r="L386" t="str" cm="1">
        <f t="array" ref="L386">sentimentCategory(K386)</f>
        <v>Neutral</v>
      </c>
    </row>
    <row r="387" spans="1:12" x14ac:dyDescent="0.25">
      <c r="A387" t="s">
        <v>737</v>
      </c>
      <c r="B387" t="s">
        <v>2297</v>
      </c>
      <c r="C387" t="str" cm="1">
        <f t="array" ref="C387">CleanText(B387)</f>
        <v>and i am waiting to see this movie</v>
      </c>
      <c r="D387">
        <v>0</v>
      </c>
      <c r="E387">
        <v>0</v>
      </c>
      <c r="F387" t="s">
        <v>10</v>
      </c>
      <c r="G387" t="str" cm="1">
        <f t="array" ref="G387">FindCountryName(F387)</f>
        <v>None</v>
      </c>
      <c r="H387" s="3">
        <v>45172.536736111113</v>
      </c>
      <c r="I387" s="3">
        <v>45172.536736111113</v>
      </c>
      <c r="J387" s="3">
        <v>45094.587870370371</v>
      </c>
      <c r="K387" cm="1">
        <f t="array" ref="K387">sentimentCalc(C387)</f>
        <v>0</v>
      </c>
      <c r="L387" t="str" cm="1">
        <f t="array" ref="L387">sentimentCategory(K387)</f>
        <v>Neutral</v>
      </c>
    </row>
    <row r="388" spans="1:12" x14ac:dyDescent="0.25">
      <c r="A388" t="s">
        <v>197</v>
      </c>
      <c r="B388" t="s">
        <v>4241</v>
      </c>
      <c r="C388" t="str" cm="1">
        <f t="array" ref="C388">CleanText(B388)</f>
        <v>and that is how she became harley quinn</v>
      </c>
      <c r="D388">
        <v>1</v>
      </c>
      <c r="E388">
        <v>0</v>
      </c>
      <c r="F388" t="s">
        <v>10</v>
      </c>
      <c r="G388" t="str" cm="1">
        <f t="array" ref="G388">FindCountryName(F388)</f>
        <v>None</v>
      </c>
      <c r="H388" s="3">
        <v>45141.524537037039</v>
      </c>
      <c r="I388" s="3">
        <v>45141.524537037039</v>
      </c>
      <c r="J388" s="3">
        <v>43278.585729166669</v>
      </c>
      <c r="K388" cm="1">
        <f t="array" ref="K388">sentimentCalc(C388)</f>
        <v>0</v>
      </c>
      <c r="L388" t="str" cm="1">
        <f t="array" ref="L388">sentimentCategory(K388)</f>
        <v>Neutral</v>
      </c>
    </row>
    <row r="389" spans="1:12" x14ac:dyDescent="0.25">
      <c r="A389" t="s">
        <v>304</v>
      </c>
      <c r="B389" t="s">
        <v>2949</v>
      </c>
      <c r="C389" t="str" cm="1">
        <f t="array" ref="C389">CleanText(B389)</f>
        <v>and the d v d release of this movie is october  seven which is the release date of  nights at freddys to come in theaters and my birthday is november th so thats evident said im going to be able to get it</v>
      </c>
      <c r="D389">
        <v>0</v>
      </c>
      <c r="E389">
        <v>0</v>
      </c>
      <c r="F389" t="s">
        <v>10</v>
      </c>
      <c r="G389" t="str" cm="1">
        <f t="array" ref="G389">FindCountryName(F389)</f>
        <v>None</v>
      </c>
      <c r="H389" s="3">
        <v>45155.524687500001</v>
      </c>
      <c r="I389" s="3">
        <v>45155.524687500001</v>
      </c>
      <c r="J389" s="3">
        <v>44255.62122685185</v>
      </c>
      <c r="K389" cm="1">
        <f t="array" ref="K389">sentimentCalc(C389)</f>
        <v>0</v>
      </c>
      <c r="L389" t="str" cm="1">
        <f t="array" ref="L389">sentimentCategory(K389)</f>
        <v>Neutral</v>
      </c>
    </row>
    <row r="390" spans="1:12" x14ac:dyDescent="0.25">
      <c r="A390" t="s">
        <v>1444</v>
      </c>
      <c r="B390" t="s">
        <v>2218</v>
      </c>
      <c r="C390" t="str" cm="1">
        <f t="array" ref="C390">CleanText(B390)</f>
        <v>and this became a billion dollar film wb finally took a w this year</v>
      </c>
      <c r="D390">
        <v>2</v>
      </c>
      <c r="E390">
        <v>0</v>
      </c>
      <c r="F390" t="s">
        <v>227</v>
      </c>
      <c r="G390" t="str" cm="1">
        <f t="array" ref="G390">FindCountryName(F390)</f>
        <v>United States of America (the)</v>
      </c>
      <c r="H390" s="3">
        <v>45175.480011574073</v>
      </c>
      <c r="I390" s="3">
        <v>45175.48</v>
      </c>
      <c r="J390" s="3">
        <v>41942.752662037034</v>
      </c>
      <c r="K390" cm="1">
        <f t="array" ref="K390">sentimentCalc(C390)</f>
        <v>0</v>
      </c>
      <c r="L390" t="str" cm="1">
        <f t="array" ref="L390">sentimentCategory(K390)</f>
        <v>Neutral</v>
      </c>
    </row>
    <row r="391" spans="1:12" x14ac:dyDescent="0.25">
      <c r="A391" t="s">
        <v>474</v>
      </c>
      <c r="B391" t="s">
        <v>1736</v>
      </c>
      <c r="C391" t="str" cm="1">
        <f t="array" ref="C391">CleanText(B391)</f>
        <v>angif</v>
      </c>
      <c r="D391">
        <v>0</v>
      </c>
      <c r="E391">
        <v>0</v>
      </c>
      <c r="F391" t="s">
        <v>10</v>
      </c>
      <c r="G391" t="str" cm="1">
        <f t="array" ref="G391">FindCountryName(F391)</f>
        <v>None</v>
      </c>
      <c r="H391" s="3">
        <v>45198.016388888886</v>
      </c>
      <c r="I391" s="3">
        <v>45198.016388888886</v>
      </c>
      <c r="J391" s="3">
        <v>45155.465474537035</v>
      </c>
      <c r="K391" cm="1">
        <f t="array" ref="K391">sentimentCalc(C391)</f>
        <v>0</v>
      </c>
      <c r="L391" t="str" cm="1">
        <f t="array" ref="L391">sentimentCategory(K391)</f>
        <v>Neutral</v>
      </c>
    </row>
    <row r="392" spans="1:12" x14ac:dyDescent="0.25">
      <c r="A392" t="s">
        <v>382</v>
      </c>
      <c r="B392" t="s">
        <v>507</v>
      </c>
      <c r="C392" t="str" cm="1">
        <f t="array" ref="C392">CleanText(B392)</f>
        <v>annamria</v>
      </c>
      <c r="D392">
        <v>0</v>
      </c>
      <c r="E392">
        <v>0</v>
      </c>
      <c r="F392" t="s">
        <v>10</v>
      </c>
      <c r="G392" t="str" cm="1">
        <f t="array" ref="G392">FindCountryName(F392)</f>
        <v>None</v>
      </c>
      <c r="H392" s="3">
        <v>45317.602673611109</v>
      </c>
      <c r="I392" s="3">
        <v>45317.602673611109</v>
      </c>
      <c r="J392" s="3">
        <v>45149.355682870373</v>
      </c>
      <c r="K392" cm="1">
        <f t="array" ref="K392">sentimentCalc(C392)</f>
        <v>0</v>
      </c>
      <c r="L392" t="str" cm="1">
        <f t="array" ref="L392">sentimentCategory(K392)</f>
        <v>Neutral</v>
      </c>
    </row>
    <row r="393" spans="1:12" x14ac:dyDescent="0.25">
      <c r="A393" t="s">
        <v>173</v>
      </c>
      <c r="B393" t="s">
        <v>174</v>
      </c>
      <c r="C393" t="str" cm="1">
        <f t="array" ref="C393">CleanText(B393)</f>
        <v>another feminism tactic brainwashing little girls you can be obese and not work on your self and be a barbie you dont need a man</v>
      </c>
      <c r="D393">
        <v>1</v>
      </c>
      <c r="E393">
        <v>2</v>
      </c>
      <c r="F393" t="s">
        <v>10</v>
      </c>
      <c r="G393" t="str" cm="1">
        <f t="array" ref="G393">FindCountryName(F393)</f>
        <v>None</v>
      </c>
      <c r="H393" s="3">
        <v>45336.916354166664</v>
      </c>
      <c r="I393" s="3">
        <v>45336.916354166664</v>
      </c>
      <c r="J393" s="3">
        <v>41519.750011574077</v>
      </c>
      <c r="K393" cm="1">
        <f t="array" ref="K393">sentimentCalc(C393)</f>
        <v>-3</v>
      </c>
      <c r="L393" t="str" cm="1">
        <f t="array" ref="L393">sentimentCategory(K393)</f>
        <v>Negative</v>
      </c>
    </row>
    <row r="394" spans="1:12" x14ac:dyDescent="0.25">
      <c r="A394" t="s">
        <v>2335</v>
      </c>
      <c r="B394" t="s">
        <v>2336</v>
      </c>
      <c r="C394" t="str" cm="1">
        <f t="array" ref="C394">CleanText(B394)</f>
        <v>another movie where they make the man ken especially feminine and soft to save man all we have is the avengers</v>
      </c>
      <c r="D394">
        <v>1</v>
      </c>
      <c r="E394">
        <v>2</v>
      </c>
      <c r="F394" t="s">
        <v>10</v>
      </c>
      <c r="G394" t="str" cm="1">
        <f t="array" ref="G394">FindCountryName(F394)</f>
        <v>None</v>
      </c>
      <c r="H394" s="3">
        <v>45171.722256944442</v>
      </c>
      <c r="I394" s="3">
        <v>45171.722256944442</v>
      </c>
      <c r="J394" s="3">
        <v>39483.858900462961</v>
      </c>
      <c r="K394" cm="1">
        <f t="array" ref="K394">sentimentCalc(C394)</f>
        <v>2</v>
      </c>
      <c r="L394" t="str" cm="1">
        <f t="array" ref="L394">sentimentCategory(K394)</f>
        <v>Positive</v>
      </c>
    </row>
    <row r="395" spans="1:12" x14ac:dyDescent="0.25">
      <c r="A395" t="s">
        <v>75</v>
      </c>
      <c r="B395" t="s">
        <v>3170</v>
      </c>
      <c r="C395" t="str" cm="1">
        <f t="array" ref="C395">CleanText(B395)</f>
        <v>another satanic hollywood agenda movie repent and turn to jesus he is coming back so very soon</v>
      </c>
      <c r="D395">
        <v>4</v>
      </c>
      <c r="E395">
        <v>10</v>
      </c>
      <c r="F395" t="s">
        <v>10</v>
      </c>
      <c r="G395" t="str" cm="1">
        <f t="array" ref="G395">FindCountryName(F395)</f>
        <v>None</v>
      </c>
      <c r="H395" s="3">
        <v>45152.446631944447</v>
      </c>
      <c r="I395" s="3">
        <v>45152.446631944447</v>
      </c>
      <c r="J395" s="3">
        <v>41537.538657407407</v>
      </c>
      <c r="K395" cm="1">
        <f t="array" ref="K395">sentimentCalc(C395)</f>
        <v>1</v>
      </c>
      <c r="L395" t="str" cm="1">
        <f t="array" ref="L395">sentimentCategory(K395)</f>
        <v>Positive</v>
      </c>
    </row>
    <row r="396" spans="1:12" x14ac:dyDescent="0.25">
      <c r="A396" t="s">
        <v>457</v>
      </c>
      <c r="B396" t="s">
        <v>4461</v>
      </c>
      <c r="C396" t="str" cm="1">
        <f t="array" ref="C396">CleanText(B396)</f>
        <v>anti men propoganda</v>
      </c>
      <c r="D396">
        <v>0</v>
      </c>
      <c r="E396">
        <v>0</v>
      </c>
      <c r="F396" t="s">
        <v>10</v>
      </c>
      <c r="G396" t="str" cm="1">
        <f t="array" ref="G396">FindCountryName(F396)</f>
        <v>None</v>
      </c>
      <c r="H396" s="3">
        <v>45140.143564814818</v>
      </c>
      <c r="I396" s="3">
        <v>45140.143564814818</v>
      </c>
      <c r="J396" s="3">
        <v>43909.245451388888</v>
      </c>
      <c r="K396" cm="1">
        <f t="array" ref="K396">sentimentCalc(C396)</f>
        <v>-1</v>
      </c>
      <c r="L396" t="str" cm="1">
        <f t="array" ref="L396">sentimentCategory(K396)</f>
        <v>Negative</v>
      </c>
    </row>
    <row r="397" spans="1:12" x14ac:dyDescent="0.25">
      <c r="A397" t="s">
        <v>15</v>
      </c>
      <c r="B397" t="s">
        <v>3984</v>
      </c>
      <c r="C397" t="str" cm="1">
        <f t="array" ref="C397">CleanText(B397)</f>
        <v>antimale woke garbage</v>
      </c>
      <c r="D397">
        <v>0</v>
      </c>
      <c r="E397">
        <v>2</v>
      </c>
      <c r="F397" t="s">
        <v>10</v>
      </c>
      <c r="G397" t="str" cm="1">
        <f t="array" ref="G397">FindCountryName(F397)</f>
        <v>None</v>
      </c>
      <c r="H397" s="3">
        <v>45144.004479166666</v>
      </c>
      <c r="I397" s="3">
        <v>45144.004479166666</v>
      </c>
      <c r="J397" s="3">
        <v>44176.18</v>
      </c>
      <c r="K397" cm="1">
        <f t="array" ref="K397">sentimentCalc(C397)</f>
        <v>0</v>
      </c>
      <c r="L397" t="str" cm="1">
        <f t="array" ref="L397">sentimentCategory(K397)</f>
        <v>Neutral</v>
      </c>
    </row>
    <row r="398" spans="1:12" x14ac:dyDescent="0.25">
      <c r="A398" t="s">
        <v>2784</v>
      </c>
      <c r="B398" t="s">
        <v>2785</v>
      </c>
      <c r="C398" t="str" cm="1">
        <f t="array" ref="C398">CleanText(B398)</f>
        <v>any indian here  present lagao</v>
      </c>
      <c r="D398">
        <v>0</v>
      </c>
      <c r="E398">
        <v>0</v>
      </c>
      <c r="F398" t="s">
        <v>10</v>
      </c>
      <c r="G398" t="str" cm="1">
        <f t="array" ref="G398">FindCountryName(F398)</f>
        <v>None</v>
      </c>
      <c r="H398" s="3">
        <v>45157.979432870372</v>
      </c>
      <c r="I398" s="3">
        <v>45157.979432870372</v>
      </c>
      <c r="J398" s="3">
        <v>43557.331377314818</v>
      </c>
      <c r="K398" cm="1">
        <f t="array" ref="K398">sentimentCalc(C398)</f>
        <v>0</v>
      </c>
      <c r="L398" t="str" cm="1">
        <f t="array" ref="L398">sentimentCategory(K398)</f>
        <v>Neutral</v>
      </c>
    </row>
    <row r="399" spans="1:12" x14ac:dyDescent="0.25">
      <c r="A399" t="s">
        <v>307</v>
      </c>
      <c r="B399" t="s">
        <v>3583</v>
      </c>
      <c r="C399" t="str" cm="1">
        <f t="array" ref="C399">CleanText(B399)</f>
        <v>any man who was hounded into watching this trash is henpecked and puywhipped</v>
      </c>
      <c r="D399">
        <v>0</v>
      </c>
      <c r="E399">
        <v>2</v>
      </c>
      <c r="F399" t="s">
        <v>10</v>
      </c>
      <c r="G399" t="str" cm="1">
        <f t="array" ref="G399">FindCountryName(F399)</f>
        <v>None</v>
      </c>
      <c r="H399" s="3">
        <v>45147.428495370368</v>
      </c>
      <c r="I399" s="3">
        <v>45147.428495370368</v>
      </c>
      <c r="J399" s="3">
        <v>41997.565324074072</v>
      </c>
      <c r="K399" cm="1">
        <f t="array" ref="K399">sentimentCalc(C399)</f>
        <v>0</v>
      </c>
      <c r="L399" t="str" cm="1">
        <f t="array" ref="L399">sentimentCategory(K399)</f>
        <v>Neutral</v>
      </c>
    </row>
    <row r="400" spans="1:12" x14ac:dyDescent="0.25">
      <c r="A400" t="s">
        <v>2216</v>
      </c>
      <c r="B400" t="s">
        <v>2217</v>
      </c>
      <c r="C400" t="str" cm="1">
        <f t="array" ref="C400">CleanText(B400)</f>
        <v>anyone calling this a masterpiece is thoroughly deluded</v>
      </c>
      <c r="D400">
        <v>3</v>
      </c>
      <c r="E400">
        <v>7</v>
      </c>
      <c r="F400" t="s">
        <v>10</v>
      </c>
      <c r="G400" t="str" cm="1">
        <f t="array" ref="G400">FindCountryName(F400)</f>
        <v>None</v>
      </c>
      <c r="H400" s="3">
        <v>45175.505486111113</v>
      </c>
      <c r="I400" s="3">
        <v>45175.505486111113</v>
      </c>
      <c r="J400" s="3">
        <v>43832.477824074071</v>
      </c>
      <c r="K400" cm="1">
        <f t="array" ref="K400">sentimentCalc(C400)</f>
        <v>4</v>
      </c>
      <c r="L400" t="str" cm="1">
        <f t="array" ref="L400">sentimentCategory(K400)</f>
        <v>Positive</v>
      </c>
    </row>
    <row r="401" spans="1:12" x14ac:dyDescent="0.25">
      <c r="A401" t="s">
        <v>92</v>
      </c>
      <c r="B401" t="s">
        <v>2711</v>
      </c>
      <c r="C401" t="str" cm="1">
        <f t="array" ref="C401">CleanText(B401)</f>
        <v>anyone know the song title near the very end</v>
      </c>
      <c r="D401">
        <v>0</v>
      </c>
      <c r="E401">
        <v>0</v>
      </c>
      <c r="F401" t="s">
        <v>10</v>
      </c>
      <c r="G401" t="str" cm="1">
        <f t="array" ref="G401">FindCountryName(F401)</f>
        <v>None</v>
      </c>
      <c r="H401" s="3">
        <v>45159.45008101852</v>
      </c>
      <c r="I401" s="3">
        <v>45159.45008101852</v>
      </c>
      <c r="J401" s="3">
        <v>41386.941296296296</v>
      </c>
      <c r="K401" cm="1">
        <f t="array" ref="K401">sentimentCalc(C401)</f>
        <v>0</v>
      </c>
      <c r="L401" t="str" cm="1">
        <f t="array" ref="L401">sentimentCategory(K401)</f>
        <v>Neutral</v>
      </c>
    </row>
    <row r="402" spans="1:12" x14ac:dyDescent="0.25">
      <c r="A402" t="s">
        <v>1647</v>
      </c>
      <c r="B402" t="s">
        <v>4369</v>
      </c>
      <c r="C402" t="str" cm="1">
        <f t="array" ref="C402">CleanText(B402)</f>
        <v>anyone know when its coming to youtube though preorder doesnt give a date</v>
      </c>
      <c r="D402">
        <v>0</v>
      </c>
      <c r="E402">
        <v>0</v>
      </c>
      <c r="F402" t="s">
        <v>1151</v>
      </c>
      <c r="G402" t="str" cm="1">
        <f t="array" ref="G402">FindCountryName(F402)</f>
        <v>United Kingdom of Great Britain and Northern Ireland (the)</v>
      </c>
      <c r="H402" s="3">
        <v>45140.61</v>
      </c>
      <c r="I402" s="3">
        <v>45140.61</v>
      </c>
      <c r="J402" s="3">
        <v>40807.695185185185</v>
      </c>
      <c r="K402" cm="1">
        <f t="array" ref="K402">sentimentCalc(C402)</f>
        <v>0</v>
      </c>
      <c r="L402" t="str" cm="1">
        <f t="array" ref="L402">sentimentCategory(K402)</f>
        <v>Neutral</v>
      </c>
    </row>
    <row r="403" spans="1:12" x14ac:dyDescent="0.25">
      <c r="A403" t="s">
        <v>571</v>
      </c>
      <c r="B403" t="s">
        <v>3319</v>
      </c>
      <c r="C403" t="str" cm="1">
        <f t="array" ref="C403">CleanText(B403)</f>
        <v>anyone tell them about opephimer</v>
      </c>
      <c r="D403">
        <v>1</v>
      </c>
      <c r="E403">
        <v>0</v>
      </c>
      <c r="F403" t="s">
        <v>10</v>
      </c>
      <c r="G403" t="str" cm="1">
        <f t="array" ref="G403">FindCountryName(F403)</f>
        <v>None</v>
      </c>
      <c r="H403" s="3">
        <v>45150.38853009259</v>
      </c>
      <c r="I403" s="3">
        <v>45150.38853009259</v>
      </c>
      <c r="J403" s="3">
        <v>44371.084513888891</v>
      </c>
      <c r="K403" cm="1">
        <f t="array" ref="K403">sentimentCalc(C403)</f>
        <v>0</v>
      </c>
      <c r="L403" t="str" cm="1">
        <f t="array" ref="L403">sentimentCategory(K403)</f>
        <v>Neutral</v>
      </c>
    </row>
    <row r="404" spans="1:12" x14ac:dyDescent="0.25">
      <c r="A404" t="s">
        <v>684</v>
      </c>
      <c r="B404" t="s">
        <v>1675</v>
      </c>
      <c r="C404" t="str" cm="1">
        <f t="array" ref="C404">CleanText(B404)</f>
        <v>n</v>
      </c>
      <c r="D404">
        <v>1</v>
      </c>
      <c r="E404">
        <v>0</v>
      </c>
      <c r="F404" t="s">
        <v>10</v>
      </c>
      <c r="G404" t="str" cm="1">
        <f t="array" ref="G404">FindCountryName(F404)</f>
        <v>None</v>
      </c>
      <c r="H404" s="3">
        <v>45203.324502314812</v>
      </c>
      <c r="I404" s="3">
        <v>45203.324502314812</v>
      </c>
      <c r="J404" s="3">
        <v>44060.642280092594</v>
      </c>
      <c r="K404" cm="1">
        <f t="array" ref="K404">sentimentCalc(C404)</f>
        <v>0</v>
      </c>
      <c r="L404" t="str" cm="1">
        <f t="array" ref="L404">sentimentCategory(K404)</f>
        <v>Neutral</v>
      </c>
    </row>
    <row r="405" spans="1:12" x14ac:dyDescent="0.25">
      <c r="A405" t="s">
        <v>2514</v>
      </c>
      <c r="B405" t="s">
        <v>2515</v>
      </c>
      <c r="C405" t="str" cm="1">
        <f t="array" ref="C405">CleanText(B405)</f>
        <v>yep im the ken of this scenario  mastering the art of being perfectly imperfect  kenlife barbielandadventures</v>
      </c>
      <c r="D405">
        <v>0</v>
      </c>
      <c r="E405">
        <v>0</v>
      </c>
      <c r="F405" t="s">
        <v>628</v>
      </c>
      <c r="G405" t="str" cm="1">
        <f t="array" ref="G405">FindCountryName(F405)</f>
        <v>Canada</v>
      </c>
      <c r="H405" s="3">
        <v>45164.615671296298</v>
      </c>
      <c r="I405" s="3">
        <v>45164.615671296298</v>
      </c>
      <c r="J405" s="3">
        <v>44917.500844907408</v>
      </c>
      <c r="K405" cm="1">
        <f t="array" ref="K405">sentimentCalc(C405)</f>
        <v>1</v>
      </c>
      <c r="L405" t="str" cm="1">
        <f t="array" ref="L405">sentimentCategory(K405)</f>
        <v>Positive</v>
      </c>
    </row>
    <row r="406" spans="1:12" x14ac:dyDescent="0.25">
      <c r="A406" t="s">
        <v>304</v>
      </c>
      <c r="B406" t="s">
        <v>2866</v>
      </c>
      <c r="C406" t="str" cm="1">
        <f t="array" ref="C406">CleanText(B406)</f>
        <v>m sorry i thought this movie sucked the beginning was cute but thats it</v>
      </c>
      <c r="D406">
        <v>0</v>
      </c>
      <c r="E406">
        <v>0</v>
      </c>
      <c r="F406" t="s">
        <v>10</v>
      </c>
      <c r="G406" t="str" cm="1">
        <f t="array" ref="G406">FindCountryName(F406)</f>
        <v>None</v>
      </c>
      <c r="H406" s="3">
        <v>45156.667546296296</v>
      </c>
      <c r="I406" s="3">
        <v>45156.667546296296</v>
      </c>
      <c r="J406" s="3">
        <v>44749.345185185186</v>
      </c>
      <c r="K406" cm="1">
        <f t="array" ref="K406">sentimentCalc(C406)</f>
        <v>1</v>
      </c>
      <c r="L406" t="str" cm="1">
        <f t="array" ref="L406">sentimentCategory(K406)</f>
        <v>Positive</v>
      </c>
    </row>
    <row r="407" spans="1:12" x14ac:dyDescent="0.25">
      <c r="A407" t="s">
        <v>609</v>
      </c>
      <c r="B407" t="s">
        <v>2198</v>
      </c>
      <c r="C407" t="str" cm="1">
        <f t="array" ref="C407">CleanText(B407)</f>
        <v>n</v>
      </c>
      <c r="D407">
        <v>0</v>
      </c>
      <c r="E407">
        <v>0</v>
      </c>
      <c r="F407" t="s">
        <v>10</v>
      </c>
      <c r="G407" t="str" cm="1">
        <f t="array" ref="G407">FindCountryName(F407)</f>
        <v>None</v>
      </c>
      <c r="H407" s="3">
        <v>45176.068680555552</v>
      </c>
      <c r="I407" s="3">
        <v>45176.068680555552</v>
      </c>
      <c r="J407" s="3">
        <v>43642.908773148149</v>
      </c>
      <c r="K407" cm="1">
        <f t="array" ref="K407">sentimentCalc(C407)</f>
        <v>0</v>
      </c>
      <c r="L407" t="str" cm="1">
        <f t="array" ref="L407">sentimentCategory(K407)</f>
        <v>Neutral</v>
      </c>
    </row>
    <row r="408" spans="1:12" x14ac:dyDescent="0.25">
      <c r="A408" t="s">
        <v>1845</v>
      </c>
      <c r="B408" t="s">
        <v>3613</v>
      </c>
      <c r="C408" t="str" cm="1">
        <f t="array" ref="C408">CleanText(B408)</f>
        <v>aqua song is perfect for barby it gives us ghoosbumps</v>
      </c>
      <c r="D408">
        <v>0</v>
      </c>
      <c r="E408">
        <v>0</v>
      </c>
      <c r="F408" t="s">
        <v>1073</v>
      </c>
      <c r="G408" t="str" cm="1">
        <f t="array" ref="G408">FindCountryName(F408)</f>
        <v>India</v>
      </c>
      <c r="H408" s="3">
        <v>45147.10255787037</v>
      </c>
      <c r="I408" s="3">
        <v>45147.102546296293</v>
      </c>
      <c r="J408" s="3">
        <v>41679.941967592589</v>
      </c>
      <c r="K408" cm="1">
        <f t="array" ref="K408">sentimentCalc(C408)</f>
        <v>3</v>
      </c>
      <c r="L408" t="str" cm="1">
        <f t="array" ref="L408">sentimentCategory(K408)</f>
        <v>Positive</v>
      </c>
    </row>
    <row r="409" spans="1:12" x14ac:dyDescent="0.25">
      <c r="A409" t="s">
        <v>1503</v>
      </c>
      <c r="B409" t="s">
        <v>2023</v>
      </c>
      <c r="C409" t="str" cm="1">
        <f t="array" ref="C409">CleanText(B409)</f>
        <v>aquaman the lost kingdom looks much better than this garbage its funny because these barbie women in the movie are much more corrupt than amber so i rather watch amber</v>
      </c>
      <c r="D409">
        <v>1</v>
      </c>
      <c r="E409">
        <v>1</v>
      </c>
      <c r="F409" t="s">
        <v>10</v>
      </c>
      <c r="G409" t="str" cm="1">
        <f t="array" ref="G409">FindCountryName(F409)</f>
        <v>None</v>
      </c>
      <c r="H409" s="3">
        <v>45183.920752314814</v>
      </c>
      <c r="I409" s="3">
        <v>45183.921018518522</v>
      </c>
      <c r="J409" s="3">
        <v>44434.060636574075</v>
      </c>
      <c r="K409" cm="1">
        <f t="array" ref="K409">sentimentCalc(C409)</f>
        <v>3</v>
      </c>
      <c r="L409" t="str" cm="1">
        <f t="array" ref="L409">sentimentCategory(K409)</f>
        <v>Positive</v>
      </c>
    </row>
    <row r="410" spans="1:12" x14ac:dyDescent="0.25">
      <c r="A410" t="s">
        <v>1300</v>
      </c>
      <c r="B410" t="s">
        <v>1301</v>
      </c>
      <c r="C410" t="str" cm="1">
        <f t="array" ref="C410">CleanText(B410)</f>
        <v>aquascope</v>
      </c>
      <c r="D410">
        <v>0</v>
      </c>
      <c r="E410">
        <v>0</v>
      </c>
      <c r="F410" t="s">
        <v>10</v>
      </c>
      <c r="G410" t="str" cm="1">
        <f t="array" ref="G410">FindCountryName(F410)</f>
        <v>None</v>
      </c>
      <c r="H410" s="3">
        <v>45253.392118055555</v>
      </c>
      <c r="I410" s="3">
        <v>45253.392118055555</v>
      </c>
      <c r="J410" s="3">
        <v>41404.642199074071</v>
      </c>
      <c r="K410" cm="1">
        <f t="array" ref="K410">sentimentCalc(C410)</f>
        <v>0</v>
      </c>
      <c r="L410" t="str" cm="1">
        <f t="array" ref="L410">sentimentCategory(K410)</f>
        <v>Neutral</v>
      </c>
    </row>
    <row r="411" spans="1:12" x14ac:dyDescent="0.25">
      <c r="A411" t="s">
        <v>675</v>
      </c>
      <c r="B411" t="s">
        <v>676</v>
      </c>
      <c r="C411" t="str" cm="1">
        <f t="array" ref="C411">CleanText(B411)</f>
        <v>arkadalar bence samadr ama zevkli bir filmdir izlemek isteyenler izlesin</v>
      </c>
      <c r="D411">
        <v>0</v>
      </c>
      <c r="E411">
        <v>0</v>
      </c>
      <c r="F411" t="s">
        <v>10</v>
      </c>
      <c r="G411" t="str" cm="1">
        <f t="array" ref="G411">FindCountryName(F411)</f>
        <v>None</v>
      </c>
      <c r="H411" s="3">
        <v>45314.27239583333</v>
      </c>
      <c r="I411" s="3">
        <v>45314.27239583333</v>
      </c>
      <c r="J411" s="3">
        <v>44079.213599537034</v>
      </c>
      <c r="K411" cm="1">
        <f t="array" ref="K411">sentimentCalc(C411)</f>
        <v>0</v>
      </c>
      <c r="L411" t="str" cm="1">
        <f t="array" ref="L411">sentimentCategory(K411)</f>
        <v>Neutral</v>
      </c>
    </row>
    <row r="412" spans="1:12" x14ac:dyDescent="0.25">
      <c r="A412" t="s">
        <v>1752</v>
      </c>
      <c r="B412" t="s">
        <v>3938</v>
      </c>
      <c r="C412" t="str" cm="1">
        <f t="array" ref="C412">CleanText(B412)</f>
        <v>as a guy i dont feel like the movie is antimen feminist i feel like it shows how though societally men have had the power women have had their own distinct psychological advantage over men it shows how women have advanced in society through a feminine charm that masculinity has overlookedessentially everyone has their strengths and weaknesses regardless of gender looks or personality</v>
      </c>
      <c r="D412">
        <v>6</v>
      </c>
      <c r="E412">
        <v>1</v>
      </c>
      <c r="F412" t="s">
        <v>10</v>
      </c>
      <c r="G412" t="str" cm="1">
        <f t="array" ref="G412">FindCountryName(F412)</f>
        <v>None</v>
      </c>
      <c r="H412" s="3">
        <v>45144.399386574078</v>
      </c>
      <c r="I412" s="3">
        <v>45144.399386574078</v>
      </c>
      <c r="J412" s="3">
        <v>43949.856678240743</v>
      </c>
      <c r="K412" cm="1">
        <f t="array" ref="K412">sentimentCalc(C412)</f>
        <v>10</v>
      </c>
      <c r="L412" t="str" cm="1">
        <f t="array" ref="L412">sentimentCategory(K412)</f>
        <v>Positive</v>
      </c>
    </row>
    <row r="413" spans="1:12" x14ac:dyDescent="0.25">
      <c r="A413" t="s">
        <v>514</v>
      </c>
      <c r="B413" t="s">
        <v>3731</v>
      </c>
      <c r="C413" t="str" cm="1">
        <f t="array" ref="C413">CleanText(B413)</f>
        <v>as a man who dose steroids and weight trains i must say im going to go see this</v>
      </c>
      <c r="D413">
        <v>0</v>
      </c>
      <c r="E413">
        <v>0</v>
      </c>
      <c r="F413" t="s">
        <v>10</v>
      </c>
      <c r="G413" t="str" cm="1">
        <f t="array" ref="G413">FindCountryName(F413)</f>
        <v>None</v>
      </c>
      <c r="H413" s="3">
        <v>45145.970590277779</v>
      </c>
      <c r="I413" s="3">
        <v>45145.970590277779</v>
      </c>
      <c r="J413" s="3">
        <v>41866.891365740739</v>
      </c>
      <c r="K413" cm="1">
        <f t="array" ref="K413">sentimentCalc(C413)</f>
        <v>0</v>
      </c>
      <c r="L413" t="str" cm="1">
        <f t="array" ref="L413">sentimentCategory(K413)</f>
        <v>Neutral</v>
      </c>
    </row>
    <row r="414" spans="1:12" x14ac:dyDescent="0.25">
      <c r="A414" t="s">
        <v>707</v>
      </c>
      <c r="B414" t="s">
        <v>1255</v>
      </c>
      <c r="C414" t="str" cm="1">
        <f t="array" ref="C414">CleanText(B414)</f>
        <v>as a man i will wait until im home alone to watch this ill watch it in a dark closet and nobody will ever know</v>
      </c>
      <c r="D414">
        <v>0</v>
      </c>
      <c r="E414">
        <v>0</v>
      </c>
      <c r="F414" t="s">
        <v>10</v>
      </c>
      <c r="G414" t="str" cm="1">
        <f t="array" ref="G414">FindCountryName(F414)</f>
        <v>None</v>
      </c>
      <c r="H414" s="3">
        <v>45266.70208333333</v>
      </c>
      <c r="I414" s="3">
        <v>45266.70208333333</v>
      </c>
      <c r="J414" s="3">
        <v>41340.915335648147</v>
      </c>
      <c r="K414" cm="1">
        <f t="array" ref="K414">sentimentCalc(C414)</f>
        <v>-4</v>
      </c>
      <c r="L414" t="str" cm="1">
        <f t="array" ref="L414">sentimentCategory(K414)</f>
        <v>Negative</v>
      </c>
    </row>
    <row r="415" spans="1:12" x14ac:dyDescent="0.25">
      <c r="A415" t="s">
        <v>804</v>
      </c>
      <c r="B415" t="s">
        <v>3057</v>
      </c>
      <c r="C415" t="str" cm="1">
        <f t="array" ref="C415">CleanText(B415)</f>
        <v>as a straight men cant stand thislol</v>
      </c>
      <c r="D415">
        <v>1</v>
      </c>
      <c r="E415">
        <v>1</v>
      </c>
      <c r="F415" t="s">
        <v>2066</v>
      </c>
      <c r="G415" t="str" cm="1">
        <f t="array" ref="G415">FindCountryName(F415)</f>
        <v>Argentina</v>
      </c>
      <c r="H415" s="3">
        <v>45153.949687499997</v>
      </c>
      <c r="I415" s="3">
        <v>45153.949687499997</v>
      </c>
      <c r="J415" s="3">
        <v>42942.708229166667</v>
      </c>
      <c r="K415" cm="1">
        <f t="array" ref="K415">sentimentCalc(C415)</f>
        <v>1</v>
      </c>
      <c r="L415" t="str" cm="1">
        <f t="array" ref="L415">sentimentCategory(K415)</f>
        <v>Positive</v>
      </c>
    </row>
    <row r="416" spans="1:12" x14ac:dyDescent="0.25">
      <c r="A416" t="s">
        <v>2537</v>
      </c>
      <c r="B416" t="s">
        <v>2538</v>
      </c>
      <c r="C416" t="str" cm="1">
        <f t="array" ref="C416">CleanText(B416)</f>
        <v>as an aussie who is gonna watch this today itisnotsummerno hate</v>
      </c>
      <c r="D416">
        <v>0</v>
      </c>
      <c r="E416">
        <v>0</v>
      </c>
      <c r="F416" t="s">
        <v>10</v>
      </c>
      <c r="G416" t="str" cm="1">
        <f t="array" ref="G416">FindCountryName(F416)</f>
        <v>None</v>
      </c>
      <c r="H416" s="3">
        <v>45163.914687500001</v>
      </c>
      <c r="I416" s="3">
        <v>45163.914675925924</v>
      </c>
      <c r="J416" s="3">
        <v>44974.192870370367</v>
      </c>
      <c r="K416" cm="1">
        <f t="array" ref="K416">sentimentCalc(C416)</f>
        <v>-3</v>
      </c>
      <c r="L416" t="str" cm="1">
        <f t="array" ref="L416">sentimentCategory(K416)</f>
        <v>Negative</v>
      </c>
    </row>
    <row r="417" spans="1:12" x14ac:dyDescent="0.25">
      <c r="A417" t="s">
        <v>25</v>
      </c>
      <c r="B417" t="s">
        <v>26</v>
      </c>
      <c r="C417" t="str" cm="1">
        <f t="array" ref="C417">CleanText(B417)</f>
        <v>as for this movie loved all the pink and the young woman who portrayed barbie and i hope she wins something for playing the part what was the point of the little girl in the movie was beyond me she was misplaced and out of place the movie was very good in the beginning in barbies world until she stepped off into the real world and meeting this mean girl at school which didnt have anything to do with her and why she didnt like playing with dolls and kids just dont talk that way it was always ken and barbie when the made him and barbie has always liked ken what is happening with this chick flick i really dont know but maybe a do over i liked legally blonde and it could have been a perfect barbie movie</v>
      </c>
      <c r="D417">
        <v>1</v>
      </c>
      <c r="E417">
        <v>0</v>
      </c>
      <c r="F417" t="s">
        <v>10</v>
      </c>
      <c r="G417" t="str" cm="1">
        <f t="array" ref="G417">FindCountryName(F417)</f>
        <v>None</v>
      </c>
      <c r="H417" s="3">
        <v>45348.332395833335</v>
      </c>
      <c r="I417" s="3">
        <v>45348.332395833335</v>
      </c>
      <c r="J417" s="3">
        <v>42895.280266203707</v>
      </c>
      <c r="K417" cm="1">
        <f t="array" ref="K417">sentimentCalc(C417)</f>
        <v>22</v>
      </c>
      <c r="L417" t="str" cm="1">
        <f t="array" ref="L417">sentimentCategory(K417)</f>
        <v>Positive</v>
      </c>
    </row>
    <row r="418" spans="1:12" x14ac:dyDescent="0.25">
      <c r="A418" t="s">
        <v>188</v>
      </c>
      <c r="B418" t="s">
        <v>2551</v>
      </c>
      <c r="C418" t="str" cm="1">
        <f t="array" ref="C418">CleanText(B418)</f>
        <v>as men we always do not care about your nonsense all we care about is our loved ones and making a change in the world in the end we are people of action not shows and talk but the problem here is that you touch the minds of children in a disgusting way so i apologize men but i have to say it women mostly in your society they feel inferior incompetent and not making a change in the world unlike men so instead of making a greater effort cooperation and thinking about how to present what is useful to the world you went to try to distort and diminish the image of the man in a pathetic way until he becomes at the same low level as you to feel satisfied this in short what you are trying to do from time to time of course nothing will change and we do not care but since you are tired of trying and now you are heading to the children here people should stop you because this will affect peoples lives in the future the smart one will know what i am talking about</v>
      </c>
      <c r="D418">
        <v>3</v>
      </c>
      <c r="E418">
        <v>1</v>
      </c>
      <c r="F418" t="s">
        <v>10</v>
      </c>
      <c r="G418" t="str" cm="1">
        <f t="array" ref="G418">FindCountryName(F418)</f>
        <v>None</v>
      </c>
      <c r="H418" s="3">
        <v>45163.590416666666</v>
      </c>
      <c r="I418" s="3">
        <v>45163.590416666666</v>
      </c>
      <c r="J418" s="3">
        <v>41701.408819444441</v>
      </c>
      <c r="K418" cm="1">
        <f t="array" ref="K418">sentimentCalc(C418)</f>
        <v>-2</v>
      </c>
      <c r="L418" t="str" cm="1">
        <f t="array" ref="L418">sentimentCategory(K418)</f>
        <v>Negative</v>
      </c>
    </row>
    <row r="419" spans="1:12" x14ac:dyDescent="0.25">
      <c r="A419" t="s">
        <v>197</v>
      </c>
      <c r="B419" t="s">
        <v>1606</v>
      </c>
      <c r="C419" t="str" cm="1">
        <f t="array" ref="C419">CleanText(B419)</f>
        <v>as much as it exaggerated its points which made me roll my eyes several times i still enjoyed it overall</v>
      </c>
      <c r="D419">
        <v>0</v>
      </c>
      <c r="E419">
        <v>0</v>
      </c>
      <c r="F419" t="s">
        <v>10</v>
      </c>
      <c r="G419" t="str" cm="1">
        <f t="array" ref="G419">FindCountryName(F419)</f>
        <v>None</v>
      </c>
      <c r="H419" s="3">
        <v>45209.036099537036</v>
      </c>
      <c r="I419" s="3">
        <v>45209.036099537036</v>
      </c>
      <c r="J419" s="3">
        <v>44288.207395833335</v>
      </c>
      <c r="K419" cm="1">
        <f t="array" ref="K419">sentimentCalc(C419)</f>
        <v>-2</v>
      </c>
      <c r="L419" t="str" cm="1">
        <f t="array" ref="L419">sentimentCategory(K419)</f>
        <v>Negative</v>
      </c>
    </row>
    <row r="420" spans="1:12" x14ac:dyDescent="0.25">
      <c r="A420" t="s">
        <v>618</v>
      </c>
      <c r="B420" t="s">
        <v>1948</v>
      </c>
      <c r="C420" t="str" cm="1">
        <f t="array" ref="C420">CleanText(B420)</f>
        <v>as politically and philosophically powerful as the matrix</v>
      </c>
      <c r="D420">
        <v>2</v>
      </c>
      <c r="E420">
        <v>1</v>
      </c>
      <c r="F420" t="s">
        <v>10</v>
      </c>
      <c r="G420" t="str" cm="1">
        <f t="array" ref="G420">FindCountryName(F420)</f>
        <v>None</v>
      </c>
      <c r="H420" s="3">
        <v>45186.853194444448</v>
      </c>
      <c r="I420" s="3">
        <v>45186.853194444448</v>
      </c>
      <c r="J420" s="3">
        <v>42832.416828703703</v>
      </c>
      <c r="K420" cm="1">
        <f t="array" ref="K420">sentimentCalc(C420)</f>
        <v>2</v>
      </c>
      <c r="L420" t="str" cm="1">
        <f t="array" ref="L420">sentimentCategory(K420)</f>
        <v>Positive</v>
      </c>
    </row>
    <row r="421" spans="1:12" x14ac:dyDescent="0.25">
      <c r="A421" t="s">
        <v>2327</v>
      </c>
      <c r="B421" t="s">
        <v>2328</v>
      </c>
      <c r="C421" t="str" cm="1">
        <f t="array" ref="C421">CleanText(B421)</f>
        <v>as someone who has hated barbies even when i was younger i kinda want to watch the movie lol</v>
      </c>
      <c r="D421">
        <v>0</v>
      </c>
      <c r="E421">
        <v>0</v>
      </c>
      <c r="F421" t="s">
        <v>10</v>
      </c>
      <c r="G421" t="str" cm="1">
        <f t="array" ref="G421">FindCountryName(F421)</f>
        <v>None</v>
      </c>
      <c r="H421" s="3">
        <v>45171.894606481481</v>
      </c>
      <c r="I421" s="3">
        <v>45171.894606481481</v>
      </c>
      <c r="J421" s="3">
        <v>43781.911608796298</v>
      </c>
      <c r="K421" cm="1">
        <f t="array" ref="K421">sentimentCalc(C421)</f>
        <v>-2</v>
      </c>
      <c r="L421" t="str" cm="1">
        <f t="array" ref="L421">sentimentCategory(K421)</f>
        <v>Negative</v>
      </c>
    </row>
    <row r="422" spans="1:12" x14ac:dyDescent="0.25">
      <c r="A422" t="s">
        <v>1193</v>
      </c>
      <c r="B422" t="s">
        <v>2083</v>
      </c>
      <c r="C422" t="str" cm="1">
        <f t="array" ref="C422">CleanText(B422)</f>
        <v>asretet with</v>
      </c>
      <c r="D422">
        <v>0</v>
      </c>
      <c r="E422">
        <v>0</v>
      </c>
      <c r="F422" t="s">
        <v>10</v>
      </c>
      <c r="G422" t="str" cm="1">
        <f t="array" ref="G422">FindCountryName(F422)</f>
        <v>None</v>
      </c>
      <c r="H422" s="3">
        <v>45181.321898148148</v>
      </c>
      <c r="I422" s="3">
        <v>45181.321898148148</v>
      </c>
      <c r="J422" s="3">
        <v>45162.149317129632</v>
      </c>
      <c r="K422" cm="1">
        <f t="array" ref="K422">sentimentCalc(C422)</f>
        <v>0</v>
      </c>
      <c r="L422" t="str" cm="1">
        <f t="array" ref="L422">sentimentCategory(K422)</f>
        <v>Neutral</v>
      </c>
    </row>
    <row r="423" spans="1:12" x14ac:dyDescent="0.25">
      <c r="A423" t="s">
        <v>432</v>
      </c>
      <c r="B423" t="s">
        <v>1841</v>
      </c>
      <c r="C423" t="str" cm="1">
        <f t="array" ref="C423">CleanText(B423)</f>
        <v>assistam recomendooo</v>
      </c>
      <c r="D423">
        <v>0</v>
      </c>
      <c r="E423">
        <v>0</v>
      </c>
      <c r="F423" t="s">
        <v>10</v>
      </c>
      <c r="G423" t="str" cm="1">
        <f t="array" ref="G423">FindCountryName(F423)</f>
        <v>None</v>
      </c>
      <c r="H423" s="3">
        <v>45191.383206018516</v>
      </c>
      <c r="I423" s="3">
        <v>45191.383206018516</v>
      </c>
      <c r="J423" s="3">
        <v>43125.526134259257</v>
      </c>
      <c r="K423" cm="1">
        <f t="array" ref="K423">sentimentCalc(C423)</f>
        <v>0</v>
      </c>
      <c r="L423" t="str" cm="1">
        <f t="array" ref="L423">sentimentCategory(K423)</f>
        <v>Neutral</v>
      </c>
    </row>
    <row r="424" spans="1:12" x14ac:dyDescent="0.25">
      <c r="A424" t="s">
        <v>239</v>
      </c>
      <c r="B424" t="s">
        <v>1680</v>
      </c>
      <c r="C424" t="str" cm="1">
        <f t="array" ref="C424">CleanText(B424)</f>
        <v>assisti ontem</v>
      </c>
      <c r="D424">
        <v>1</v>
      </c>
      <c r="E424">
        <v>0</v>
      </c>
      <c r="F424" t="s">
        <v>10</v>
      </c>
      <c r="G424" t="str" cm="1">
        <f t="array" ref="G424">FindCountryName(F424)</f>
        <v>None</v>
      </c>
      <c r="H424" s="3">
        <v>45202.655833333331</v>
      </c>
      <c r="I424" s="3">
        <v>45202.655833333331</v>
      </c>
      <c r="J424" s="3">
        <v>42812.989363425928</v>
      </c>
      <c r="K424" cm="1">
        <f t="array" ref="K424">sentimentCalc(C424)</f>
        <v>0</v>
      </c>
      <c r="L424" t="str" cm="1">
        <f t="array" ref="L424">sentimentCategory(K424)</f>
        <v>Neutral</v>
      </c>
    </row>
    <row r="425" spans="1:12" x14ac:dyDescent="0.25">
      <c r="A425" t="s">
        <v>213</v>
      </c>
      <c r="B425" t="s">
        <v>3207</v>
      </c>
      <c r="C425" t="str" cm="1">
        <f t="array" ref="C425">CleanText(B425)</f>
        <v>at least the actress who played harley quinn from the movie suicide squad did wonderful in this movie</v>
      </c>
      <c r="D425">
        <v>0</v>
      </c>
      <c r="E425">
        <v>0</v>
      </c>
      <c r="F425" t="s">
        <v>10</v>
      </c>
      <c r="G425" t="str" cm="1">
        <f t="array" ref="G425">FindCountryName(F425)</f>
        <v>None</v>
      </c>
      <c r="H425" s="3">
        <v>45151.925381944442</v>
      </c>
      <c r="I425" s="3">
        <v>45151.925381944442</v>
      </c>
      <c r="J425" s="3">
        <v>44749.722268518519</v>
      </c>
      <c r="K425" cm="1">
        <f t="array" ref="K425">sentimentCalc(C425)</f>
        <v>2</v>
      </c>
      <c r="L425" t="str" cm="1">
        <f t="array" ref="L425">sentimentCategory(K425)</f>
        <v>Positive</v>
      </c>
    </row>
    <row r="426" spans="1:12" x14ac:dyDescent="0.25">
      <c r="A426" t="s">
        <v>871</v>
      </c>
      <c r="B426" t="s">
        <v>2127</v>
      </c>
      <c r="C426" t="str" cm="1">
        <f t="array" ref="C426">CleanText(B426)</f>
        <v>at work i emailed it back to see if they were in there in utah to go</v>
      </c>
      <c r="D426">
        <v>0</v>
      </c>
      <c r="E426">
        <v>0</v>
      </c>
      <c r="F426" t="s">
        <v>10</v>
      </c>
      <c r="G426" t="str" cm="1">
        <f t="array" ref="G426">FindCountryName(F426)</f>
        <v>None</v>
      </c>
      <c r="H426" s="3">
        <v>45179.509131944447</v>
      </c>
      <c r="I426" s="3">
        <v>45179.509131944447</v>
      </c>
      <c r="J426" s="3">
        <v>43216.940335648149</v>
      </c>
      <c r="K426" cm="1">
        <f t="array" ref="K426">sentimentCalc(C426)</f>
        <v>0</v>
      </c>
      <c r="L426" t="str" cm="1">
        <f t="array" ref="L426">sentimentCategory(K426)</f>
        <v>Neutral</v>
      </c>
    </row>
    <row r="427" spans="1:12" x14ac:dyDescent="0.25">
      <c r="A427" t="s">
        <v>534</v>
      </c>
      <c r="B427" t="s">
        <v>1877</v>
      </c>
      <c r="C427" t="str" cm="1">
        <f t="array" ref="C427">CleanText(B427)</f>
        <v>ata ki bichhiri barbie movie gulo ki bhalo hoy</v>
      </c>
      <c r="D427">
        <v>0</v>
      </c>
      <c r="E427">
        <v>0</v>
      </c>
      <c r="F427" t="s">
        <v>10</v>
      </c>
      <c r="G427" t="str" cm="1">
        <f t="array" ref="G427">FindCountryName(F427)</f>
        <v>None</v>
      </c>
      <c r="H427" s="3">
        <v>45189.193148148152</v>
      </c>
      <c r="I427" s="3">
        <v>45189.193148148152</v>
      </c>
      <c r="J427" s="3">
        <v>44475.110196759262</v>
      </c>
      <c r="K427" cm="1">
        <f t="array" ref="K427">sentimentCalc(C427)</f>
        <v>0</v>
      </c>
      <c r="L427" t="str" cm="1">
        <f t="array" ref="L427">sentimentCategory(K427)</f>
        <v>Neutral</v>
      </c>
    </row>
    <row r="428" spans="1:12" x14ac:dyDescent="0.25">
      <c r="A428" t="s">
        <v>2388</v>
      </c>
      <c r="B428" t="s">
        <v>3531</v>
      </c>
      <c r="C428" t="str" cm="1">
        <f t="array" ref="C428">CleanText(B428)</f>
        <v>n</v>
      </c>
      <c r="D428">
        <v>0</v>
      </c>
      <c r="E428">
        <v>0</v>
      </c>
      <c r="F428" t="s">
        <v>10</v>
      </c>
      <c r="G428" t="str" cm="1">
        <f t="array" ref="G428">FindCountryName(F428)</f>
        <v>None</v>
      </c>
      <c r="H428" s="3">
        <v>45147.785081018519</v>
      </c>
      <c r="I428" s="3">
        <v>45147.785069444442</v>
      </c>
      <c r="J428" s="3">
        <v>44108.481180555558</v>
      </c>
      <c r="K428" cm="1">
        <f t="array" ref="K428">sentimentCalc(C428)</f>
        <v>0</v>
      </c>
      <c r="L428" t="str" cm="1">
        <f t="array" ref="L428">sentimentCategory(K428)</f>
        <v>Neutral</v>
      </c>
    </row>
    <row r="429" spans="1:12" x14ac:dyDescent="0.25">
      <c r="A429" t="s">
        <v>186</v>
      </c>
      <c r="B429" t="s">
        <v>2211</v>
      </c>
      <c r="C429" t="str" cm="1">
        <f t="array" ref="C429">CleanText(B429)</f>
        <v>n</v>
      </c>
      <c r="D429">
        <v>3</v>
      </c>
      <c r="E429">
        <v>0</v>
      </c>
      <c r="F429" t="s">
        <v>10</v>
      </c>
      <c r="G429" t="str" cm="1">
        <f t="array" ref="G429">FindCountryName(F429)</f>
        <v>None</v>
      </c>
      <c r="H429" s="3">
        <v>45175.755555555559</v>
      </c>
      <c r="I429" s="3">
        <v>45175.755543981482</v>
      </c>
      <c r="J429" s="3">
        <v>41668.794305555559</v>
      </c>
      <c r="K429" cm="1">
        <f t="array" ref="K429">sentimentCalc(C429)</f>
        <v>0</v>
      </c>
      <c r="L429" t="str" cm="1">
        <f t="array" ref="L429">sentimentCategory(K429)</f>
        <v>Neutral</v>
      </c>
    </row>
    <row r="430" spans="1:12" x14ac:dyDescent="0.25">
      <c r="A430" t="s">
        <v>600</v>
      </c>
      <c r="B430" t="s">
        <v>4361</v>
      </c>
      <c r="C430" t="str" cm="1">
        <f t="array" ref="C430">CleanText(B430)</f>
        <v>available on netflix</v>
      </c>
      <c r="D430">
        <v>0</v>
      </c>
      <c r="E430">
        <v>0</v>
      </c>
      <c r="F430" t="s">
        <v>10</v>
      </c>
      <c r="G430" t="str" cm="1">
        <f t="array" ref="G430">FindCountryName(F430)</f>
        <v>None</v>
      </c>
      <c r="H430" s="3">
        <v>45140.666875000003</v>
      </c>
      <c r="I430" s="3">
        <v>45140.666875000003</v>
      </c>
      <c r="J430" s="3">
        <v>44379.601134259261</v>
      </c>
      <c r="K430" cm="1">
        <f t="array" ref="K430">sentimentCalc(C430)</f>
        <v>0</v>
      </c>
      <c r="L430" t="str" cm="1">
        <f t="array" ref="L430">sentimentCategory(K430)</f>
        <v>Neutral</v>
      </c>
    </row>
    <row r="431" spans="1:12" x14ac:dyDescent="0.25">
      <c r="A431" t="s">
        <v>432</v>
      </c>
      <c r="B431" t="s">
        <v>1475</v>
      </c>
      <c r="C431" t="str" cm="1">
        <f t="array" ref="C431">CleanText(B431)</f>
        <v>average</v>
      </c>
      <c r="D431">
        <v>0</v>
      </c>
      <c r="E431">
        <v>0</v>
      </c>
      <c r="F431" t="s">
        <v>10</v>
      </c>
      <c r="G431" t="str" cm="1">
        <f t="array" ref="G431">FindCountryName(F431)</f>
        <v>None</v>
      </c>
      <c r="H431" s="3">
        <v>45225.3594212963</v>
      </c>
      <c r="I431" s="3">
        <v>45225.3594212963</v>
      </c>
      <c r="J431" s="3">
        <v>43087.224675925929</v>
      </c>
      <c r="K431" cm="1">
        <f t="array" ref="K431">sentimentCalc(C431)</f>
        <v>0</v>
      </c>
      <c r="L431" t="str" cm="1">
        <f t="array" ref="L431">sentimentCategory(K431)</f>
        <v>Neutral</v>
      </c>
    </row>
    <row r="432" spans="1:12" x14ac:dyDescent="0.25">
      <c r="A432" t="s">
        <v>432</v>
      </c>
      <c r="B432" t="s">
        <v>1674</v>
      </c>
      <c r="C432" t="str" cm="1">
        <f t="array" ref="C432">CleanText(B432)</f>
        <v>average flick</v>
      </c>
      <c r="D432">
        <v>0</v>
      </c>
      <c r="E432">
        <v>0</v>
      </c>
      <c r="F432" t="s">
        <v>10</v>
      </c>
      <c r="G432" t="str" cm="1">
        <f t="array" ref="G432">FindCountryName(F432)</f>
        <v>None</v>
      </c>
      <c r="H432" s="3">
        <v>45203.378032407411</v>
      </c>
      <c r="I432" s="3">
        <v>45203.378032407411</v>
      </c>
      <c r="J432" s="3">
        <v>43087.224675925929</v>
      </c>
      <c r="K432" cm="1">
        <f t="array" ref="K432">sentimentCalc(C432)</f>
        <v>0</v>
      </c>
      <c r="L432" t="str" cm="1">
        <f t="array" ref="L432">sentimentCategory(K432)</f>
        <v>Neutral</v>
      </c>
    </row>
    <row r="433" spans="1:12" x14ac:dyDescent="0.25">
      <c r="A433" t="s">
        <v>275</v>
      </c>
      <c r="B433" t="s">
        <v>1021</v>
      </c>
      <c r="C433" t="str" cm="1">
        <f t="array" ref="C433">CleanText(B433)</f>
        <v>awesome movie</v>
      </c>
      <c r="D433">
        <v>0</v>
      </c>
      <c r="E433">
        <v>0</v>
      </c>
      <c r="F433" t="s">
        <v>10</v>
      </c>
      <c r="G433" t="str" cm="1">
        <f t="array" ref="G433">FindCountryName(F433)</f>
        <v>None</v>
      </c>
      <c r="H433" s="3">
        <v>45299.250868055555</v>
      </c>
      <c r="I433" s="3">
        <v>45299.250868055555</v>
      </c>
      <c r="J433" s="3">
        <v>44467.654282407406</v>
      </c>
      <c r="K433" cm="1">
        <f t="array" ref="K433">sentimentCalc(C433)</f>
        <v>4</v>
      </c>
      <c r="L433" t="str" cm="1">
        <f t="array" ref="L433">sentimentCategory(K433)</f>
        <v>Positive</v>
      </c>
    </row>
    <row r="434" spans="1:12" x14ac:dyDescent="0.25">
      <c r="A434" t="s">
        <v>1940</v>
      </c>
      <c r="B434" t="s">
        <v>2637</v>
      </c>
      <c r="C434" t="str" cm="1">
        <f t="array" ref="C434">CleanText(B434)</f>
        <v>awesome our family loved watching this</v>
      </c>
      <c r="D434">
        <v>6</v>
      </c>
      <c r="E434">
        <v>0</v>
      </c>
      <c r="F434" t="s">
        <v>1151</v>
      </c>
      <c r="G434" t="str" cm="1">
        <f t="array" ref="G434">FindCountryName(F434)</f>
        <v>United Kingdom of Great Britain and Northern Ireland (the)</v>
      </c>
      <c r="H434" s="3">
        <v>45161.125451388885</v>
      </c>
      <c r="I434" s="3">
        <v>45161.125451388885</v>
      </c>
      <c r="J434" s="3">
        <v>41903.653599537036</v>
      </c>
      <c r="K434" cm="1">
        <f t="array" ref="K434">sentimentCalc(C434)</f>
        <v>7</v>
      </c>
      <c r="L434" t="str" cm="1">
        <f t="array" ref="L434">sentimentCategory(K434)</f>
        <v>Positive</v>
      </c>
    </row>
    <row r="435" spans="1:12" x14ac:dyDescent="0.25">
      <c r="A435" t="s">
        <v>1055</v>
      </c>
      <c r="B435" t="s">
        <v>1056</v>
      </c>
      <c r="C435" t="str" cm="1">
        <f t="array" ref="C435">CleanText(B435)</f>
        <v>awful movie inclusion at its best and bad castingim glad i didnt go to watch the theaters</v>
      </c>
      <c r="D435">
        <v>0</v>
      </c>
      <c r="E435">
        <v>2</v>
      </c>
      <c r="F435" t="s">
        <v>227</v>
      </c>
      <c r="G435" t="str" cm="1">
        <f t="array" ref="G435">FindCountryName(F435)</f>
        <v>United States of America (the)</v>
      </c>
      <c r="H435" s="3">
        <v>45296.955567129633</v>
      </c>
      <c r="I435" s="3">
        <v>45296.955567129633</v>
      </c>
      <c r="J435" s="3">
        <v>42788.161145833335</v>
      </c>
      <c r="K435" cm="1">
        <f t="array" ref="K435">sentimentCalc(C435)</f>
        <v>0</v>
      </c>
      <c r="L435" t="str" cm="1">
        <f t="array" ref="L435">sentimentCategory(K435)</f>
        <v>Neutral</v>
      </c>
    </row>
    <row r="436" spans="1:12" x14ac:dyDescent="0.25">
      <c r="A436" t="s">
        <v>30</v>
      </c>
      <c r="B436" t="s">
        <v>1467</v>
      </c>
      <c r="C436" t="str" cm="1">
        <f t="array" ref="C436">CleanText(B436)</f>
        <v>aww i love barbie but i really wanna watch it</v>
      </c>
      <c r="D436">
        <v>0</v>
      </c>
      <c r="E436">
        <v>0</v>
      </c>
      <c r="F436" t="s">
        <v>10</v>
      </c>
      <c r="G436" t="str" cm="1">
        <f t="array" ref="G436">FindCountryName(F436)</f>
        <v>None</v>
      </c>
      <c r="H436" s="3">
        <v>45226.298078703701</v>
      </c>
      <c r="I436" s="3">
        <v>45226.298078703701</v>
      </c>
      <c r="J436" s="3">
        <v>44482.933310185188</v>
      </c>
      <c r="K436" cm="1">
        <f t="array" ref="K436">sentimentCalc(C436)</f>
        <v>3</v>
      </c>
      <c r="L436" t="str" cm="1">
        <f t="array" ref="L436">sentimentCategory(K436)</f>
        <v>Positive</v>
      </c>
    </row>
    <row r="437" spans="1:12" x14ac:dyDescent="0.25">
      <c r="A437" t="s">
        <v>315</v>
      </c>
      <c r="B437" t="s">
        <v>794</v>
      </c>
      <c r="C437" t="str" cm="1">
        <f t="array" ref="C437">CleanText(B437)</f>
        <v>ahane</v>
      </c>
      <c r="D437">
        <v>0</v>
      </c>
      <c r="E437">
        <v>0</v>
      </c>
      <c r="F437" t="s">
        <v>10</v>
      </c>
      <c r="G437" t="str" cm="1">
        <f t="array" ref="G437">FindCountryName(F437)</f>
        <v>None</v>
      </c>
      <c r="H437" s="3">
        <v>45308.252129629633</v>
      </c>
      <c r="I437" s="3">
        <v>45308.252129629633</v>
      </c>
      <c r="J437" s="3">
        <v>41810.480868055558</v>
      </c>
      <c r="K437" cm="1">
        <f t="array" ref="K437">sentimentCalc(C437)</f>
        <v>0</v>
      </c>
      <c r="L437" t="str" cm="1">
        <f t="array" ref="L437">sentimentCategory(K437)</f>
        <v>Neutral</v>
      </c>
    </row>
    <row r="438" spans="1:12" x14ac:dyDescent="0.25">
      <c r="A438" t="s">
        <v>737</v>
      </c>
      <c r="B438" t="s">
        <v>3553</v>
      </c>
      <c r="C438" t="str" cm="1">
        <f t="array" ref="C438">CleanText(B438)</f>
        <v>erefsiz aalk pislik ahlaksz inansz yaantnza lanet olsunamerika tam bir terr lkesidireminimki islam kltr olan lkeler bu pislik filmi yasaklayacaktrcann cehenneme america</v>
      </c>
      <c r="D438">
        <v>0</v>
      </c>
      <c r="E438">
        <v>0</v>
      </c>
      <c r="F438" t="s">
        <v>10</v>
      </c>
      <c r="G438" t="str" cm="1">
        <f t="array" ref="G438">FindCountryName(F438)</f>
        <v>None</v>
      </c>
      <c r="H438" s="3">
        <v>45147.579583333332</v>
      </c>
      <c r="I438" s="3">
        <v>45147.579583333332</v>
      </c>
      <c r="J438" s="3">
        <v>45133.433263888888</v>
      </c>
      <c r="K438" cm="1">
        <f t="array" ref="K438">sentimentCalc(C438)</f>
        <v>0</v>
      </c>
      <c r="L438" t="str" cm="1">
        <f t="array" ref="L438">sentimentCategory(K438)</f>
        <v>Neutral</v>
      </c>
    </row>
    <row r="439" spans="1:12" x14ac:dyDescent="0.25">
      <c r="A439" t="s">
        <v>3168</v>
      </c>
      <c r="B439" t="s">
        <v>3169</v>
      </c>
      <c r="C439" t="str" cm="1">
        <f t="array" ref="C439">CleanText(B439)</f>
        <v>n</v>
      </c>
      <c r="D439">
        <v>6</v>
      </c>
      <c r="E439">
        <v>3</v>
      </c>
      <c r="F439" t="s">
        <v>10</v>
      </c>
      <c r="G439" t="str" cm="1">
        <f t="array" ref="G439">FindCountryName(F439)</f>
        <v>None</v>
      </c>
      <c r="H439" s="3">
        <v>45152.471759259257</v>
      </c>
      <c r="I439" s="3">
        <v>45152.471759259257</v>
      </c>
      <c r="J439" s="3">
        <v>43519.53502314815</v>
      </c>
      <c r="K439" cm="1">
        <f t="array" ref="K439">sentimentCalc(C439)</f>
        <v>0</v>
      </c>
      <c r="L439" t="str" cm="1">
        <f t="array" ref="L439">sentimentCategory(K439)</f>
        <v>Neutral</v>
      </c>
    </row>
    <row r="440" spans="1:12" x14ac:dyDescent="0.25">
      <c r="A440" t="s">
        <v>45</v>
      </c>
      <c r="B440" t="s">
        <v>4335</v>
      </c>
      <c r="C440" t="str" cm="1">
        <f t="array" ref="C440">CleanText(B440)</f>
        <v>n</v>
      </c>
      <c r="D440">
        <v>1</v>
      </c>
      <c r="E440">
        <v>2</v>
      </c>
      <c r="F440" t="s">
        <v>10</v>
      </c>
      <c r="G440" t="str" cm="1">
        <f t="array" ref="G440">FindCountryName(F440)</f>
        <v>None</v>
      </c>
      <c r="H440" s="3">
        <v>45140.861597222225</v>
      </c>
      <c r="I440" s="3">
        <v>45140.861597222225</v>
      </c>
      <c r="J440" s="3">
        <v>41318.739861111113</v>
      </c>
      <c r="K440" cm="1">
        <f t="array" ref="K440">sentimentCalc(C440)</f>
        <v>0</v>
      </c>
      <c r="L440" t="str" cm="1">
        <f t="array" ref="L440">sentimentCategory(K440)</f>
        <v>Neutral</v>
      </c>
    </row>
    <row r="441" spans="1:12" x14ac:dyDescent="0.25">
      <c r="A441" t="s">
        <v>296</v>
      </c>
      <c r="B441" t="s">
        <v>3979</v>
      </c>
      <c r="C441" t="str" cm="1">
        <f t="array" ref="C441">CleanText(B441)</f>
        <v>n</v>
      </c>
      <c r="D441">
        <v>1</v>
      </c>
      <c r="E441">
        <v>0</v>
      </c>
      <c r="F441" t="s">
        <v>10</v>
      </c>
      <c r="G441" t="str" cm="1">
        <f t="array" ref="G441">FindCountryName(F441)</f>
        <v>None</v>
      </c>
      <c r="H441" s="3">
        <v>45144.065138888887</v>
      </c>
      <c r="I441" s="3">
        <v>45144.065138888887</v>
      </c>
      <c r="J441" s="3">
        <v>42377.266574074078</v>
      </c>
      <c r="K441" cm="1">
        <f t="array" ref="K441">sentimentCalc(C441)</f>
        <v>0</v>
      </c>
      <c r="L441" t="str" cm="1">
        <f t="array" ref="L441">sentimentCategory(K441)</f>
        <v>Neutral</v>
      </c>
    </row>
    <row r="442" spans="1:12" x14ac:dyDescent="0.25">
      <c r="A442" t="s">
        <v>3913</v>
      </c>
      <c r="B442" t="s">
        <v>3914</v>
      </c>
      <c r="C442" t="str" cm="1">
        <f t="array" ref="C442">CleanText(B442)</f>
        <v>n</v>
      </c>
      <c r="D442">
        <v>0</v>
      </c>
      <c r="E442">
        <v>0</v>
      </c>
      <c r="F442" t="s">
        <v>2894</v>
      </c>
      <c r="G442" t="str" cm="1">
        <f t="array" ref="G442">FindCountryName(F442)</f>
        <v>Japan</v>
      </c>
      <c r="H442" s="3">
        <v>45144.559062499997</v>
      </c>
      <c r="I442" s="3">
        <v>45144.565300925926</v>
      </c>
      <c r="J442" s="3">
        <v>43863.736319444448</v>
      </c>
      <c r="K442" cm="1">
        <f t="array" ref="K442">sentimentCalc(C442)</f>
        <v>0</v>
      </c>
      <c r="L442" t="str" cm="1">
        <f t="array" ref="L442">sentimentCategory(K442)</f>
        <v>Neutral</v>
      </c>
    </row>
    <row r="443" spans="1:12" x14ac:dyDescent="0.25">
      <c r="A443" t="s">
        <v>365</v>
      </c>
      <c r="B443" t="s">
        <v>516</v>
      </c>
      <c r="C443" t="str" cm="1">
        <f t="array" ref="C443">CleanText(B443)</f>
        <v>byleyici bir film kac defa da izlesem sklmam</v>
      </c>
      <c r="D443">
        <v>0</v>
      </c>
      <c r="E443">
        <v>0</v>
      </c>
      <c r="F443" t="s">
        <v>10</v>
      </c>
      <c r="G443" t="str" cm="1">
        <f t="array" ref="G443">FindCountryName(F443)</f>
        <v>None</v>
      </c>
      <c r="H443" s="3">
        <v>45317.372557870367</v>
      </c>
      <c r="I443" s="3">
        <v>45317.372557870367</v>
      </c>
      <c r="J443" s="3">
        <v>44802.710949074077</v>
      </c>
      <c r="K443" cm="1">
        <f t="array" ref="K443">sentimentCalc(C443)</f>
        <v>0</v>
      </c>
      <c r="L443" t="str" cm="1">
        <f t="array" ref="L443">sentimentCategory(K443)</f>
        <v>Neutral</v>
      </c>
    </row>
    <row r="444" spans="1:12" x14ac:dyDescent="0.25">
      <c r="A444" t="s">
        <v>451</v>
      </c>
      <c r="B444" t="s">
        <v>755</v>
      </c>
      <c r="C444" t="str" cm="1">
        <f t="array" ref="C444">CleanText(B444)</f>
        <v>baarl</v>
      </c>
      <c r="D444">
        <v>0</v>
      </c>
      <c r="E444">
        <v>0</v>
      </c>
      <c r="F444" t="s">
        <v>10</v>
      </c>
      <c r="G444" t="str" cm="1">
        <f t="array" ref="G444">FindCountryName(F444)</f>
        <v>None</v>
      </c>
      <c r="H444" s="3">
        <v>45310.25104166667</v>
      </c>
      <c r="I444" s="3">
        <v>45310.25104166667</v>
      </c>
      <c r="J444" s="3">
        <v>44324.676145833335</v>
      </c>
      <c r="K444" cm="1">
        <f t="array" ref="K444">sentimentCalc(C444)</f>
        <v>0</v>
      </c>
      <c r="L444" t="str" cm="1">
        <f t="array" ref="L444">sentimentCategory(K444)</f>
        <v>Neutral</v>
      </c>
    </row>
    <row r="445" spans="1:12" x14ac:dyDescent="0.25">
      <c r="A445" t="s">
        <v>103</v>
      </c>
      <c r="B445" t="s">
        <v>552</v>
      </c>
      <c r="C445" t="str" cm="1">
        <f t="array" ref="C445">CleanText(B445)</f>
        <v>baarl bir yapm</v>
      </c>
      <c r="D445">
        <v>0</v>
      </c>
      <c r="E445">
        <v>0</v>
      </c>
      <c r="F445" t="s">
        <v>10</v>
      </c>
      <c r="G445" t="str" cm="1">
        <f t="array" ref="G445">FindCountryName(F445)</f>
        <v>None</v>
      </c>
      <c r="H445" s="3">
        <v>45317.274745370371</v>
      </c>
      <c r="I445" s="3">
        <v>45317.274745370371</v>
      </c>
      <c r="J445" s="3">
        <v>42876.992199074077</v>
      </c>
      <c r="K445" cm="1">
        <f t="array" ref="K445">sentimentCalc(C445)</f>
        <v>0</v>
      </c>
      <c r="L445" t="str" cm="1">
        <f t="array" ref="L445">sentimentCategory(K445)</f>
        <v>Neutral</v>
      </c>
    </row>
    <row r="446" spans="1:12" x14ac:dyDescent="0.25">
      <c r="A446" t="s">
        <v>442</v>
      </c>
      <c r="B446" t="s">
        <v>910</v>
      </c>
      <c r="C446" t="str" cm="1">
        <f t="array" ref="C446">CleanText(B446)</f>
        <v>barol gerek bir gzellik srekleyici ve ho film izlemeye deer</v>
      </c>
      <c r="D446">
        <v>0</v>
      </c>
      <c r="E446">
        <v>0</v>
      </c>
      <c r="F446" t="s">
        <v>10</v>
      </c>
      <c r="G446" t="str" cm="1">
        <f t="array" ref="G446">FindCountryName(F446)</f>
        <v>None</v>
      </c>
      <c r="H446" s="3">
        <v>45299.281678240739</v>
      </c>
      <c r="I446" s="3">
        <v>45299.281678240739</v>
      </c>
      <c r="J446" s="3">
        <v>44130.253506944442</v>
      </c>
      <c r="K446" cm="1">
        <f t="array" ref="K446">sentimentCalc(C446)</f>
        <v>0</v>
      </c>
      <c r="L446" t="str" cm="1">
        <f t="array" ref="L446">sentimentCategory(K446)</f>
        <v>Neutral</v>
      </c>
    </row>
    <row r="447" spans="1:12" x14ac:dyDescent="0.25">
      <c r="A447" t="s">
        <v>90</v>
      </c>
      <c r="B447" t="s">
        <v>109</v>
      </c>
      <c r="C447" t="str" cm="1">
        <f t="array" ref="C447">CleanText(B447)</f>
        <v>barollerin show yapt efsane bir film</v>
      </c>
      <c r="D447">
        <v>0</v>
      </c>
      <c r="E447">
        <v>0</v>
      </c>
      <c r="F447" t="s">
        <v>10</v>
      </c>
      <c r="G447" t="str" cm="1">
        <f t="array" ref="G447">FindCountryName(F447)</f>
        <v>None</v>
      </c>
      <c r="H447" s="3">
        <v>45337.489745370367</v>
      </c>
      <c r="I447" s="3">
        <v>45337.489745370367</v>
      </c>
      <c r="J447" s="3">
        <v>44736.691053240742</v>
      </c>
      <c r="K447" cm="1">
        <f t="array" ref="K447">sentimentCalc(C447)</f>
        <v>0</v>
      </c>
      <c r="L447" t="str" cm="1">
        <f t="array" ref="L447">sentimentCategory(K447)</f>
        <v>Neutral</v>
      </c>
    </row>
    <row r="448" spans="1:12" x14ac:dyDescent="0.25">
      <c r="A448" t="s">
        <v>871</v>
      </c>
      <c r="B448" t="s">
        <v>2126</v>
      </c>
      <c r="C448" t="str" cm="1">
        <f t="array" ref="C448">CleanText(B448)</f>
        <v>babie it was just like you and the boys and girls keep</v>
      </c>
      <c r="D448">
        <v>1</v>
      </c>
      <c r="E448">
        <v>0</v>
      </c>
      <c r="F448" t="s">
        <v>10</v>
      </c>
      <c r="G448" t="str" cm="1">
        <f t="array" ref="G448">FindCountryName(F448)</f>
        <v>None</v>
      </c>
      <c r="H448" s="3">
        <v>45179.511192129627</v>
      </c>
      <c r="I448" s="3">
        <v>45179.511192129627</v>
      </c>
      <c r="J448" s="3">
        <v>43216.940335648149</v>
      </c>
      <c r="K448" cm="1">
        <f t="array" ref="K448">sentimentCalc(C448)</f>
        <v>2</v>
      </c>
      <c r="L448" t="str" cm="1">
        <f t="array" ref="L448">sentimentCategory(K448)</f>
        <v>Positive</v>
      </c>
    </row>
    <row r="449" spans="1:12" x14ac:dyDescent="0.25">
      <c r="A449" t="s">
        <v>105</v>
      </c>
      <c r="B449" t="s">
        <v>3290</v>
      </c>
      <c r="C449" t="str" cm="1">
        <f t="array" ref="C449">CleanText(B449)</f>
        <v>bad</v>
      </c>
      <c r="D449">
        <v>1</v>
      </c>
      <c r="E449">
        <v>0</v>
      </c>
      <c r="F449" t="s">
        <v>10</v>
      </c>
      <c r="G449" t="str" cm="1">
        <f t="array" ref="G449">FindCountryName(F449)</f>
        <v>None</v>
      </c>
      <c r="H449" s="3">
        <v>45150.689085648148</v>
      </c>
      <c r="I449" s="3">
        <v>45150.689085648148</v>
      </c>
      <c r="J449" s="3">
        <v>43270.808923611112</v>
      </c>
      <c r="K449" cm="1">
        <f t="array" ref="K449">sentimentCalc(C449)</f>
        <v>-3</v>
      </c>
      <c r="L449" t="str" cm="1">
        <f t="array" ref="L449">sentimentCategory(K449)</f>
        <v>Negative</v>
      </c>
    </row>
    <row r="450" spans="1:12" x14ac:dyDescent="0.25">
      <c r="A450" t="s">
        <v>54</v>
      </c>
      <c r="B450" t="s">
        <v>2625</v>
      </c>
      <c r="C450" t="str" cm="1">
        <f t="array" ref="C450">CleanText(B450)</f>
        <v>bad movie</v>
      </c>
      <c r="D450">
        <v>1</v>
      </c>
      <c r="E450">
        <v>0</v>
      </c>
      <c r="F450" t="s">
        <v>10</v>
      </c>
      <c r="G450" t="str" cm="1">
        <f t="array" ref="G450">FindCountryName(F450)</f>
        <v>None</v>
      </c>
      <c r="H450" s="3">
        <v>45161.483668981484</v>
      </c>
      <c r="I450" s="3">
        <v>45161.483668981484</v>
      </c>
      <c r="J450" s="3">
        <v>44605.369710648149</v>
      </c>
      <c r="K450" cm="1">
        <f t="array" ref="K450">sentimentCalc(C450)</f>
        <v>-3</v>
      </c>
      <c r="L450" t="str" cm="1">
        <f t="array" ref="L450">sentimentCategory(K450)</f>
        <v>Negative</v>
      </c>
    </row>
    <row r="451" spans="1:12" x14ac:dyDescent="0.25">
      <c r="A451" t="s">
        <v>2932</v>
      </c>
      <c r="B451" t="s">
        <v>2933</v>
      </c>
      <c r="C451" t="str" cm="1">
        <f t="array" ref="C451">CleanText(B451)</f>
        <v>bait and switch the trailer certainly doesnt say this movie is the most unwavering feminist summer blockbuster ever to exist for its messaging about the patriarchy and gender roles millions of mothers took their daughters to this movie and i dont believe they wanted their daughters to become vapid man hating harpies nobody would see the movie if it wore its feminism on its sleeve credit to matt walsh</v>
      </c>
      <c r="D451">
        <v>0</v>
      </c>
      <c r="E451">
        <v>4</v>
      </c>
      <c r="F451" t="s">
        <v>10</v>
      </c>
      <c r="G451" t="str" cm="1">
        <f t="array" ref="G451">FindCountryName(F451)</f>
        <v>None</v>
      </c>
      <c r="H451" s="3">
        <v>45155.711388888885</v>
      </c>
      <c r="I451" s="3">
        <v>45155.711388888885</v>
      </c>
      <c r="J451" s="3">
        <v>40416.910798611112</v>
      </c>
      <c r="K451" cm="1">
        <f t="array" ref="K451">sentimentCalc(C451)</f>
        <v>0</v>
      </c>
      <c r="L451" t="str" cm="1">
        <f t="array" ref="L451">sentimentCategory(K451)</f>
        <v>Neutral</v>
      </c>
    </row>
    <row r="452" spans="1:12" x14ac:dyDescent="0.25">
      <c r="A452" t="s">
        <v>322</v>
      </c>
      <c r="B452" t="s">
        <v>1889</v>
      </c>
      <c r="C452" t="str" cm="1">
        <f t="array" ref="C452">CleanText(B452)</f>
        <v>barbe soocote</v>
      </c>
      <c r="D452">
        <v>0</v>
      </c>
      <c r="E452">
        <v>0</v>
      </c>
      <c r="F452" t="s">
        <v>10</v>
      </c>
      <c r="G452" t="str" cm="1">
        <f t="array" ref="G452">FindCountryName(F452)</f>
        <v>None</v>
      </c>
      <c r="H452" s="3">
        <v>45188.696030092593</v>
      </c>
      <c r="I452" s="3">
        <v>45188.696030092593</v>
      </c>
      <c r="J452" s="3">
        <v>42098.73841435185</v>
      </c>
      <c r="K452" cm="1">
        <f t="array" ref="K452">sentimentCalc(C452)</f>
        <v>0</v>
      </c>
      <c r="L452" t="str" cm="1">
        <f t="array" ref="L452">sentimentCategory(K452)</f>
        <v>Neutral</v>
      </c>
    </row>
    <row r="453" spans="1:12" x14ac:dyDescent="0.25">
      <c r="A453" t="s">
        <v>553</v>
      </c>
      <c r="B453" t="s">
        <v>2265</v>
      </c>
      <c r="C453" t="str" cm="1">
        <f t="array" ref="C453">CleanText(B453)</f>
        <v>barbi babe petty barbi stupid barbi barbi gog must barbi removed in the world</v>
      </c>
      <c r="D453">
        <v>0</v>
      </c>
      <c r="E453">
        <v>1</v>
      </c>
      <c r="F453" t="s">
        <v>10</v>
      </c>
      <c r="G453" t="str" cm="1">
        <f t="array" ref="G453">FindCountryName(F453)</f>
        <v>None</v>
      </c>
      <c r="H453" s="3">
        <v>45173.272685185184</v>
      </c>
      <c r="I453" s="3">
        <v>45173.272685185184</v>
      </c>
      <c r="J453" s="3">
        <v>44144.079062500001</v>
      </c>
      <c r="K453" cm="1">
        <f t="array" ref="K453">sentimentCalc(C453)</f>
        <v>-2</v>
      </c>
      <c r="L453" t="str" cm="1">
        <f t="array" ref="L453">sentimentCategory(K453)</f>
        <v>Negative</v>
      </c>
    </row>
    <row r="454" spans="1:12" x14ac:dyDescent="0.25">
      <c r="A454" t="s">
        <v>41</v>
      </c>
      <c r="B454" t="s">
        <v>4163</v>
      </c>
      <c r="C454" t="str" cm="1">
        <f t="array" ref="C454">CleanText(B454)</f>
        <v>barbi barbi barbi barbi barbi barbi barbi barbi barbi</v>
      </c>
      <c r="D454">
        <v>1</v>
      </c>
      <c r="E454">
        <v>0</v>
      </c>
      <c r="F454" t="s">
        <v>10</v>
      </c>
      <c r="G454" t="str" cm="1">
        <f t="array" ref="G454">FindCountryName(F454)</f>
        <v>None</v>
      </c>
      <c r="H454" s="3">
        <v>45142.402303240742</v>
      </c>
      <c r="I454" s="3">
        <v>45142.402303240742</v>
      </c>
      <c r="J454" s="3">
        <v>45135.482314814813</v>
      </c>
      <c r="K454" cm="1">
        <f t="array" ref="K454">sentimentCalc(C454)</f>
        <v>0</v>
      </c>
      <c r="L454" t="str" cm="1">
        <f t="array" ref="L454">sentimentCategory(K454)</f>
        <v>Neutral</v>
      </c>
    </row>
    <row r="455" spans="1:12" x14ac:dyDescent="0.25">
      <c r="A455" t="s">
        <v>197</v>
      </c>
      <c r="B455" t="s">
        <v>288</v>
      </c>
      <c r="C455" t="str" cm="1">
        <f t="array" ref="C455">CleanText(B455)</f>
        <v>barbi dnyasnn gerek d dnyasnn varoluuluk ile anlatld bir film harika</v>
      </c>
      <c r="D455">
        <v>0</v>
      </c>
      <c r="E455">
        <v>0</v>
      </c>
      <c r="F455" t="s">
        <v>10</v>
      </c>
      <c r="G455" t="str" cm="1">
        <f t="array" ref="G455">FindCountryName(F455)</f>
        <v>None</v>
      </c>
      <c r="H455" s="3">
        <v>45322.443287037036</v>
      </c>
      <c r="I455" s="3">
        <v>45322.443287037036</v>
      </c>
      <c r="J455" s="3">
        <v>42034.429988425924</v>
      </c>
      <c r="K455" cm="1">
        <f t="array" ref="K455">sentimentCalc(C455)</f>
        <v>0</v>
      </c>
      <c r="L455" t="str" cm="1">
        <f t="array" ref="L455">sentimentCategory(K455)</f>
        <v>Neutral</v>
      </c>
    </row>
    <row r="456" spans="1:12" x14ac:dyDescent="0.25">
      <c r="A456" t="s">
        <v>30</v>
      </c>
      <c r="B456" t="s">
        <v>409</v>
      </c>
      <c r="C456" t="str" cm="1">
        <f t="array" ref="C456">CleanText(B456)</f>
        <v>barbi filmi gerekten ok gzel bir film</v>
      </c>
      <c r="D456">
        <v>0</v>
      </c>
      <c r="E456">
        <v>0</v>
      </c>
      <c r="F456" t="s">
        <v>10</v>
      </c>
      <c r="G456" t="str" cm="1">
        <f t="array" ref="G456">FindCountryName(F456)</f>
        <v>None</v>
      </c>
      <c r="H456" s="3">
        <v>45322.272430555553</v>
      </c>
      <c r="I456" s="3">
        <v>45322.272430555553</v>
      </c>
      <c r="J456" s="3">
        <v>44047.653564814813</v>
      </c>
      <c r="K456" cm="1">
        <f t="array" ref="K456">sentimentCalc(C456)</f>
        <v>0</v>
      </c>
      <c r="L456" t="str" cm="1">
        <f t="array" ref="L456">sentimentCategory(K456)</f>
        <v>Neutral</v>
      </c>
    </row>
    <row r="457" spans="1:12" x14ac:dyDescent="0.25">
      <c r="A457" t="s">
        <v>481</v>
      </c>
      <c r="B457" t="s">
        <v>1070</v>
      </c>
      <c r="C457" t="str" cm="1">
        <f t="array" ref="C457">CleanText(B457)</f>
        <v>barbich</v>
      </c>
      <c r="D457">
        <v>0</v>
      </c>
      <c r="E457">
        <v>0</v>
      </c>
      <c r="F457" t="s">
        <v>10</v>
      </c>
      <c r="G457" t="str" cm="1">
        <f t="array" ref="G457">FindCountryName(F457)</f>
        <v>None</v>
      </c>
      <c r="H457" s="3">
        <v>45294.611990740741</v>
      </c>
      <c r="I457" s="3">
        <v>45294.611990740741</v>
      </c>
      <c r="J457" s="3">
        <v>44349.780277777776</v>
      </c>
      <c r="K457" cm="1">
        <f t="array" ref="K457">sentimentCalc(C457)</f>
        <v>0</v>
      </c>
      <c r="L457" t="str" cm="1">
        <f t="array" ref="L457">sentimentCategory(K457)</f>
        <v>Neutral</v>
      </c>
    </row>
    <row r="458" spans="1:12" x14ac:dyDescent="0.25">
      <c r="A458" t="s">
        <v>195</v>
      </c>
      <c r="B458" t="s">
        <v>1962</v>
      </c>
      <c r="C458" t="str" cm="1">
        <f t="array" ref="C458">CleanText(B458)</f>
        <v>barbie</v>
      </c>
      <c r="D458">
        <v>0</v>
      </c>
      <c r="E458">
        <v>0</v>
      </c>
      <c r="F458" t="s">
        <v>10</v>
      </c>
      <c r="G458" t="str" cm="1">
        <f t="array" ref="G458">FindCountryName(F458)</f>
        <v>None</v>
      </c>
      <c r="H458" s="3">
        <v>45186.422465277778</v>
      </c>
      <c r="I458" s="3">
        <v>45186.422465277778</v>
      </c>
      <c r="J458" s="3">
        <v>41769.534513888888</v>
      </c>
      <c r="K458" cm="1">
        <f t="array" ref="K458">sentimentCalc(C458)</f>
        <v>0</v>
      </c>
      <c r="L458" t="str" cm="1">
        <f t="array" ref="L458">sentimentCategory(K458)</f>
        <v>Neutral</v>
      </c>
    </row>
    <row r="459" spans="1:12" x14ac:dyDescent="0.25">
      <c r="A459" t="s">
        <v>1112</v>
      </c>
      <c r="B459" t="s">
        <v>3049</v>
      </c>
      <c r="C459" t="str" cm="1">
        <f t="array" ref="C459">CleanText(B459)</f>
        <v>barbie  money for nothing  no job but a lot o easy money real world s work and sacrifice</v>
      </c>
      <c r="D459">
        <v>1</v>
      </c>
      <c r="E459">
        <v>0</v>
      </c>
      <c r="F459" t="s">
        <v>10</v>
      </c>
      <c r="G459" t="str" cm="1">
        <f t="array" ref="G459">FindCountryName(F459)</f>
        <v>None</v>
      </c>
      <c r="H459" s="3">
        <v>45154.040335648147</v>
      </c>
      <c r="I459" s="3">
        <v>45154.828993055555</v>
      </c>
      <c r="J459" s="3">
        <v>42363.617476851854</v>
      </c>
      <c r="K459" cm="1">
        <f t="array" ref="K459">sentimentCalc(C459)</f>
        <v>0</v>
      </c>
      <c r="L459" t="str" cm="1">
        <f t="array" ref="L459">sentimentCategory(K459)</f>
        <v>Neutral</v>
      </c>
    </row>
    <row r="460" spans="1:12" x14ac:dyDescent="0.25">
      <c r="A460" t="s">
        <v>182</v>
      </c>
      <c r="B460" t="s">
        <v>183</v>
      </c>
      <c r="C460" t="str" cm="1">
        <f t="array" ref="C460">CleanText(B460)</f>
        <v>barbie closer i am fiiiiine closer i am fiii ahhhhhhhhhhhhh</v>
      </c>
      <c r="D460">
        <v>0</v>
      </c>
      <c r="E460">
        <v>0</v>
      </c>
      <c r="F460" t="s">
        <v>10</v>
      </c>
      <c r="G460" t="str" cm="1">
        <f t="array" ref="G460">FindCountryName(F460)</f>
        <v>None</v>
      </c>
      <c r="H460" s="3">
        <v>45335.756458333337</v>
      </c>
      <c r="I460" s="3">
        <v>45335.756458333337</v>
      </c>
      <c r="J460" s="3">
        <v>41832.122997685183</v>
      </c>
      <c r="K460" cm="1">
        <f t="array" ref="K460">sentimentCalc(C460)</f>
        <v>0</v>
      </c>
      <c r="L460" t="str" cm="1">
        <f t="array" ref="L460">sentimentCategory(K460)</f>
        <v>Neutral</v>
      </c>
    </row>
    <row r="461" spans="1:12" x14ac:dyDescent="0.25">
      <c r="A461" t="s">
        <v>205</v>
      </c>
      <c r="B461" t="s">
        <v>1265</v>
      </c>
      <c r="C461" t="str" cm="1">
        <f t="array" ref="C461">CleanText(B461)</f>
        <v>barbie  director greta gerwig filming dates march    july   release date july   mpaa rating pg parents strongly cautioned runtime  hr  min  min</v>
      </c>
      <c r="D461">
        <v>2</v>
      </c>
      <c r="E461">
        <v>1</v>
      </c>
      <c r="F461" t="s">
        <v>227</v>
      </c>
      <c r="G461" t="str" cm="1">
        <f t="array" ref="G461">FindCountryName(F461)</f>
        <v>United States of America (the)</v>
      </c>
      <c r="H461" s="3">
        <v>45263.249942129631</v>
      </c>
      <c r="I461" s="3">
        <v>45263.249942129631</v>
      </c>
      <c r="J461" s="3">
        <v>43088.749756944446</v>
      </c>
      <c r="K461" cm="1">
        <f t="array" ref="K461">sentimentCalc(C461)</f>
        <v>0</v>
      </c>
      <c r="L461" t="str" cm="1">
        <f t="array" ref="L461">sentimentCategory(K461)</f>
        <v>Neutral</v>
      </c>
    </row>
    <row r="462" spans="1:12" x14ac:dyDescent="0.25">
      <c r="A462" t="s">
        <v>735</v>
      </c>
      <c r="B462" t="s">
        <v>3518</v>
      </c>
      <c r="C462" t="str" cm="1">
        <f t="array" ref="C462">CleanText(B462)</f>
        <v>barbie castmain role margot robbie as barbie ryan gosling as kensupport role will ferrell as mattel ceo of mattel america ferrera as gloria mattels employee kate mckinnon as weird barbie issa rae as president barbie simu lim as tourist ken michael cera as allan rhea perlman as ruth handler cofounder of mattelspecial guest john cena as kenmaid merman ken dua lipa as mermaid barbies</v>
      </c>
      <c r="D462">
        <v>0</v>
      </c>
      <c r="E462">
        <v>0</v>
      </c>
      <c r="F462" t="s">
        <v>10</v>
      </c>
      <c r="G462" t="str" cm="1">
        <f t="array" ref="G462">FindCountryName(F462)</f>
        <v>None</v>
      </c>
      <c r="H462" s="3">
        <v>45147.965416666666</v>
      </c>
      <c r="I462" s="3">
        <v>45147.965416666666</v>
      </c>
      <c r="J462" s="3">
        <v>43319.327025462961</v>
      </c>
      <c r="K462" cm="1">
        <f t="array" ref="K462">sentimentCalc(C462)</f>
        <v>-2</v>
      </c>
      <c r="L462" t="str" cm="1">
        <f t="array" ref="L462">sentimentCategory(K462)</f>
        <v>Negative</v>
      </c>
    </row>
    <row r="463" spans="1:12" x14ac:dyDescent="0.25">
      <c r="A463" t="s">
        <v>209</v>
      </c>
      <c r="B463" t="s">
        <v>2008</v>
      </c>
      <c r="C463" t="str" cm="1">
        <f t="array" ref="C463">CleanText(B463)</f>
        <v>barbie  sucesso dos cinemas</v>
      </c>
      <c r="D463">
        <v>0</v>
      </c>
      <c r="E463">
        <v>0</v>
      </c>
      <c r="F463" t="s">
        <v>10</v>
      </c>
      <c r="G463" t="str" cm="1">
        <f t="array" ref="G463">FindCountryName(F463)</f>
        <v>None</v>
      </c>
      <c r="H463" s="3">
        <v>45184.634143518517</v>
      </c>
      <c r="I463" s="3">
        <v>45184.634143518517</v>
      </c>
      <c r="J463" s="3">
        <v>40798.79005787037</v>
      </c>
      <c r="K463" cm="1">
        <f t="array" ref="K463">sentimentCalc(C463)</f>
        <v>0</v>
      </c>
      <c r="L463" t="str" cm="1">
        <f t="array" ref="L463">sentimentCategory(K463)</f>
        <v>Neutral</v>
      </c>
    </row>
    <row r="464" spans="1:12" x14ac:dyDescent="0.25">
      <c r="A464" t="s">
        <v>643</v>
      </c>
      <c r="B464" t="s">
        <v>644</v>
      </c>
      <c r="C464" t="str" cm="1">
        <f t="array" ref="C464">CleanText(B464)</f>
        <v>barbie  oppenheimer</v>
      </c>
      <c r="D464">
        <v>0</v>
      </c>
      <c r="E464">
        <v>0</v>
      </c>
      <c r="F464" t="s">
        <v>10</v>
      </c>
      <c r="G464" t="str" cm="1">
        <f t="array" ref="G464">FindCountryName(F464)</f>
        <v>None</v>
      </c>
      <c r="H464" s="3">
        <v>45314.380752314813</v>
      </c>
      <c r="I464" s="3">
        <v>45314.380752314813</v>
      </c>
      <c r="J464" s="3">
        <v>41943.709953703707</v>
      </c>
      <c r="K464" cm="1">
        <f t="array" ref="K464">sentimentCalc(C464)</f>
        <v>0</v>
      </c>
      <c r="L464" t="str" cm="1">
        <f t="array" ref="L464">sentimentCategory(K464)</f>
        <v>Neutral</v>
      </c>
    </row>
    <row r="465" spans="1:12" x14ac:dyDescent="0.25">
      <c r="A465" t="s">
        <v>434</v>
      </c>
      <c r="B465" t="s">
        <v>1312</v>
      </c>
      <c r="C465" t="str" cm="1">
        <f t="array" ref="C465">CleanText(B465)</f>
        <v>barbie  thee same way with betty boopjessica rabbit and olive oil theyre all hanging together is ah good idea for the next one get who play barbie in this movie toh play barbie again thee other  should be played by new actress who look and sound like them toh match theyre characters they all should be born in july</v>
      </c>
      <c r="D465">
        <v>1</v>
      </c>
      <c r="E465">
        <v>0</v>
      </c>
      <c r="F465" t="s">
        <v>10</v>
      </c>
      <c r="G465" t="str" cm="1">
        <f t="array" ref="G465">FindCountryName(F465)</f>
        <v>None</v>
      </c>
      <c r="H465" s="3">
        <v>45248.702627314815</v>
      </c>
      <c r="I465" s="3">
        <v>45248.702627314815</v>
      </c>
      <c r="J465" s="3">
        <v>42922.603217592594</v>
      </c>
      <c r="K465" cm="1">
        <f t="array" ref="K465">sentimentCalc(C465)</f>
        <v>5</v>
      </c>
      <c r="L465" t="str" cm="1">
        <f t="array" ref="L465">sentimentCategory(K465)</f>
        <v>Positive</v>
      </c>
    </row>
    <row r="466" spans="1:12" x14ac:dyDescent="0.25">
      <c r="A466" t="s">
        <v>4108</v>
      </c>
      <c r="B466" t="s">
        <v>4109</v>
      </c>
      <c r="C466" t="str" cm="1">
        <f t="array" ref="C466">CleanText(B466)</f>
        <v>barbie  uae dubai  canada alberta pg</v>
      </c>
      <c r="D466">
        <v>0</v>
      </c>
      <c r="E466">
        <v>0</v>
      </c>
      <c r="F466" t="s">
        <v>10</v>
      </c>
      <c r="G466" t="str" cm="1">
        <f t="array" ref="G466">FindCountryName(F466)</f>
        <v>None</v>
      </c>
      <c r="H466" s="3">
        <v>45142.827615740738</v>
      </c>
      <c r="I466" s="3">
        <v>45341.934664351851</v>
      </c>
      <c r="J466" s="3">
        <v>39790.828194444446</v>
      </c>
      <c r="K466" cm="1">
        <f t="array" ref="K466">sentimentCalc(C466)</f>
        <v>0</v>
      </c>
      <c r="L466" t="str" cm="1">
        <f t="array" ref="L466">sentimentCategory(K466)</f>
        <v>Neutral</v>
      </c>
    </row>
    <row r="467" spans="1:12" x14ac:dyDescent="0.25">
      <c r="A467" t="s">
        <v>613</v>
      </c>
      <c r="B467" t="s">
        <v>3837</v>
      </c>
      <c r="C467" t="str" cm="1">
        <f t="array" ref="C467">CleanText(B467)</f>
        <v>barbie y old fans think that b cringe movie beats oppenheimer  rated and better than barbie  rated</v>
      </c>
      <c r="D467">
        <v>1</v>
      </c>
      <c r="E467">
        <v>0</v>
      </c>
      <c r="F467" t="s">
        <v>10</v>
      </c>
      <c r="G467" t="str" cm="1">
        <f t="array" ref="G467">FindCountryName(F467)</f>
        <v>None</v>
      </c>
      <c r="H467" s="3">
        <v>45145.106423611112</v>
      </c>
      <c r="I467" s="3">
        <v>45145.106423611112</v>
      </c>
      <c r="J467" s="3">
        <v>45039.547939814816</v>
      </c>
      <c r="K467" cm="1">
        <f t="array" ref="K467">sentimentCalc(C467)</f>
        <v>2</v>
      </c>
      <c r="L467" t="str" cm="1">
        <f t="array" ref="L467">sentimentCategory(K467)</f>
        <v>Positive</v>
      </c>
    </row>
    <row r="468" spans="1:12" x14ac:dyDescent="0.25">
      <c r="A468" t="s">
        <v>589</v>
      </c>
      <c r="B468" t="s">
        <v>590</v>
      </c>
      <c r="C468" t="str" cm="1">
        <f t="array" ref="C468">CleanText(B468)</f>
        <v>barbie ok elenceli bir film zlemek iin sabrszlanyorum</v>
      </c>
      <c r="D468">
        <v>0</v>
      </c>
      <c r="E468">
        <v>0</v>
      </c>
      <c r="F468" t="s">
        <v>139</v>
      </c>
      <c r="G468" t="str" cm="1">
        <f t="array" ref="G468">FindCountryName(F468)</f>
        <v>Turkey</v>
      </c>
      <c r="H468" s="3">
        <v>45317.271377314813</v>
      </c>
      <c r="I468" s="3">
        <v>45317.271377314813</v>
      </c>
      <c r="J468" s="3">
        <v>42668.153587962966</v>
      </c>
      <c r="K468" cm="1">
        <f t="array" ref="K468">sentimentCalc(C468)</f>
        <v>0</v>
      </c>
      <c r="L468" t="str" cm="1">
        <f t="array" ref="L468">sentimentCategory(K468)</f>
        <v>Neutral</v>
      </c>
    </row>
    <row r="469" spans="1:12" x14ac:dyDescent="0.25">
      <c r="A469" t="s">
        <v>514</v>
      </c>
      <c r="B469" t="s">
        <v>1954</v>
      </c>
      <c r="C469" t="str" cm="1">
        <f t="array" ref="C469">CleanText(B469)</f>
        <v>barbie  um filme que saiu um pouco do convencional</v>
      </c>
      <c r="D469">
        <v>0</v>
      </c>
      <c r="E469">
        <v>0</v>
      </c>
      <c r="F469" t="s">
        <v>1350</v>
      </c>
      <c r="G469" t="str" cm="1">
        <f t="array" ref="G469">FindCountryName(F469)</f>
        <v>Brazil</v>
      </c>
      <c r="H469" s="3">
        <v>45186.561689814815</v>
      </c>
      <c r="I469" s="3">
        <v>45186.561689814815</v>
      </c>
      <c r="J469" s="3">
        <v>44496.865694444445</v>
      </c>
      <c r="K469" cm="1">
        <f t="array" ref="K469">sentimentCalc(C469)</f>
        <v>0</v>
      </c>
      <c r="L469" t="str" cm="1">
        <f t="array" ref="L469">sentimentCategory(K469)</f>
        <v>Neutral</v>
      </c>
    </row>
    <row r="470" spans="1:12" x14ac:dyDescent="0.25">
      <c r="A470" t="s">
        <v>90</v>
      </c>
      <c r="B470" t="s">
        <v>91</v>
      </c>
      <c r="C470" t="str" cm="1">
        <f t="array" ref="C470">CleanText(B470)</f>
        <v>barbie american dad security family guy</v>
      </c>
      <c r="D470">
        <v>0</v>
      </c>
      <c r="E470">
        <v>0</v>
      </c>
      <c r="F470" t="s">
        <v>10</v>
      </c>
      <c r="G470" t="str" cm="1">
        <f t="array" ref="G470">FindCountryName(F470)</f>
        <v>None</v>
      </c>
      <c r="H470" s="3">
        <v>45338.149328703701</v>
      </c>
      <c r="I470" s="3">
        <v>45338.149328703701</v>
      </c>
      <c r="J470" s="3">
        <v>41262.133611111109</v>
      </c>
      <c r="K470" cm="1">
        <f t="array" ref="K470">sentimentCalc(C470)</f>
        <v>0</v>
      </c>
      <c r="L470" t="str" cm="1">
        <f t="array" ref="L470">sentimentCategory(K470)</f>
        <v>Neutral</v>
      </c>
    </row>
    <row r="471" spans="1:12" x14ac:dyDescent="0.25">
      <c r="A471" t="s">
        <v>118</v>
      </c>
      <c r="B471" t="s">
        <v>2555</v>
      </c>
      <c r="C471" t="str" cm="1">
        <f t="array" ref="C471">CleanText(B471)</f>
        <v>barbie and ken are so nice</v>
      </c>
      <c r="D471">
        <v>1</v>
      </c>
      <c r="E471">
        <v>0</v>
      </c>
      <c r="F471" t="s">
        <v>10</v>
      </c>
      <c r="G471" t="str" cm="1">
        <f t="array" ref="G471">FindCountryName(F471)</f>
        <v>None</v>
      </c>
      <c r="H471" s="3">
        <v>45163.504270833335</v>
      </c>
      <c r="I471" s="3">
        <v>45163.504270833335</v>
      </c>
      <c r="J471" s="3">
        <v>44038.640173611115</v>
      </c>
      <c r="K471" cm="1">
        <f t="array" ref="K471">sentimentCalc(C471)</f>
        <v>3</v>
      </c>
      <c r="L471" t="str" cm="1">
        <f t="array" ref="L471">sentimentCategory(K471)</f>
        <v>Positive</v>
      </c>
    </row>
    <row r="472" spans="1:12" x14ac:dyDescent="0.25">
      <c r="A472" t="s">
        <v>387</v>
      </c>
      <c r="B472" t="s">
        <v>2424</v>
      </c>
      <c r="C472" t="str" cm="1">
        <f t="array" ref="C472">CleanText(B472)</f>
        <v>barbie and ken are the only ones that are dolls in the movie</v>
      </c>
      <c r="D472">
        <v>0</v>
      </c>
      <c r="E472">
        <v>0</v>
      </c>
      <c r="F472" t="s">
        <v>10</v>
      </c>
      <c r="G472" t="str" cm="1">
        <f t="array" ref="G472">FindCountryName(F472)</f>
        <v>None</v>
      </c>
      <c r="H472" s="3">
        <v>45167.884039351855</v>
      </c>
      <c r="I472" s="3">
        <v>45167.884039351855</v>
      </c>
      <c r="J472" s="3">
        <v>41389.8753125</v>
      </c>
      <c r="K472" cm="1">
        <f t="array" ref="K472">sentimentCalc(C472)</f>
        <v>0</v>
      </c>
      <c r="L472" t="str" cm="1">
        <f t="array" ref="L472">sentimentCategory(K472)</f>
        <v>Neutral</v>
      </c>
    </row>
    <row r="473" spans="1:12" x14ac:dyDescent="0.25">
      <c r="A473" t="s">
        <v>2168</v>
      </c>
      <c r="B473" t="s">
        <v>2169</v>
      </c>
      <c r="C473" t="str" cm="1">
        <f t="array" ref="C473">CleanText(B473)</f>
        <v>barbie and ken were not old wrinkle bags lol at the men who have watched this retarded movie</v>
      </c>
      <c r="D473">
        <v>1</v>
      </c>
      <c r="E473">
        <v>5</v>
      </c>
      <c r="F473" t="s">
        <v>10</v>
      </c>
      <c r="G473" t="str" cm="1">
        <f t="array" ref="G473">FindCountryName(F473)</f>
        <v>None</v>
      </c>
      <c r="H473" s="3">
        <v>45177.331122685187</v>
      </c>
      <c r="I473" s="3">
        <v>45177.392013888886</v>
      </c>
      <c r="J473" s="3">
        <v>44770.440393518518</v>
      </c>
      <c r="K473" cm="1">
        <f t="array" ref="K473">sentimentCalc(C473)</f>
        <v>0</v>
      </c>
      <c r="L473" t="str" cm="1">
        <f t="array" ref="L473">sentimentCategory(K473)</f>
        <v>Neutral</v>
      </c>
    </row>
    <row r="474" spans="1:12" x14ac:dyDescent="0.25">
      <c r="A474" t="s">
        <v>3884</v>
      </c>
      <c r="B474" t="s">
        <v>3885</v>
      </c>
      <c r="C474" t="str" cm="1">
        <f t="array" ref="C474">CleanText(B474)</f>
        <v>barbie and oppenheimer mashup into one film aaand go</v>
      </c>
      <c r="D474">
        <v>0</v>
      </c>
      <c r="E474">
        <v>0</v>
      </c>
      <c r="F474" t="s">
        <v>10</v>
      </c>
      <c r="G474" t="str" cm="1">
        <f t="array" ref="G474">FindCountryName(F474)</f>
        <v>None</v>
      </c>
      <c r="H474" s="3">
        <v>45144.733067129629</v>
      </c>
      <c r="I474" s="3">
        <v>45144.733067129629</v>
      </c>
      <c r="J474" s="3">
        <v>41620.902337962965</v>
      </c>
      <c r="K474" cm="1">
        <f t="array" ref="K474">sentimentCalc(C474)</f>
        <v>0</v>
      </c>
      <c r="L474" t="str" cm="1">
        <f t="array" ref="L474">sentimentCategory(K474)</f>
        <v>Neutral</v>
      </c>
    </row>
    <row r="475" spans="1:12" x14ac:dyDescent="0.25">
      <c r="A475" t="s">
        <v>98</v>
      </c>
      <c r="B475" t="s">
        <v>99</v>
      </c>
      <c r="C475" t="str" cm="1">
        <f t="array" ref="C475">CleanText(B475)</f>
        <v>barbie and the most extreme battle of the sexes</v>
      </c>
      <c r="D475">
        <v>0</v>
      </c>
      <c r="E475">
        <v>0</v>
      </c>
      <c r="F475" t="s">
        <v>10</v>
      </c>
      <c r="G475" t="str" cm="1">
        <f t="array" ref="G475">FindCountryName(F475)</f>
        <v>None</v>
      </c>
      <c r="H475" s="3">
        <v>45337.924502314818</v>
      </c>
      <c r="I475" s="3">
        <v>45337.924502314818</v>
      </c>
      <c r="J475" s="3">
        <v>44608.858576388891</v>
      </c>
      <c r="K475" cm="1">
        <f t="array" ref="K475">sentimentCalc(C475)</f>
        <v>-1</v>
      </c>
      <c r="L475" t="str" cm="1">
        <f t="array" ref="L475">sentimentCategory(K475)</f>
        <v>Negative</v>
      </c>
    </row>
    <row r="476" spans="1:12" x14ac:dyDescent="0.25">
      <c r="A476" t="s">
        <v>205</v>
      </c>
      <c r="B476" t="s">
        <v>2702</v>
      </c>
      <c r="C476" t="str" cm="1">
        <f t="array" ref="C476">CleanText(B476)</f>
        <v>barbie be likeyou guys ever think about dying</v>
      </c>
      <c r="D476">
        <v>0</v>
      </c>
      <c r="E476">
        <v>0</v>
      </c>
      <c r="F476" t="s">
        <v>10</v>
      </c>
      <c r="G476" t="str" cm="1">
        <f t="array" ref="G476">FindCountryName(F476)</f>
        <v>None</v>
      </c>
      <c r="H476" s="3">
        <v>45159.559594907405</v>
      </c>
      <c r="I476" s="3">
        <v>45159.560162037036</v>
      </c>
      <c r="J476" s="3">
        <v>44759.281446759262</v>
      </c>
      <c r="K476" cm="1">
        <f t="array" ref="K476">sentimentCalc(C476)</f>
        <v>0</v>
      </c>
      <c r="L476" t="str" cm="1">
        <f t="array" ref="L476">sentimentCategory(K476)</f>
        <v>Neutral</v>
      </c>
    </row>
    <row r="477" spans="1:12" x14ac:dyDescent="0.25">
      <c r="A477" t="s">
        <v>154</v>
      </c>
      <c r="B477" t="s">
        <v>155</v>
      </c>
      <c r="C477" t="str" cm="1">
        <f t="array" ref="C477">CleanText(B477)</f>
        <v>barbie bebek bayldm</v>
      </c>
      <c r="D477">
        <v>0</v>
      </c>
      <c r="E477">
        <v>0</v>
      </c>
      <c r="F477" t="s">
        <v>10</v>
      </c>
      <c r="G477" t="str" cm="1">
        <f t="array" ref="G477">FindCountryName(F477)</f>
        <v>None</v>
      </c>
      <c r="H477" s="3">
        <v>45337.459837962961</v>
      </c>
      <c r="I477" s="3">
        <v>45337.459837962961</v>
      </c>
      <c r="J477" s="3">
        <v>45226.733680555553</v>
      </c>
      <c r="K477" cm="1">
        <f t="array" ref="K477">sentimentCalc(C477)</f>
        <v>0</v>
      </c>
      <c r="L477" t="str" cm="1">
        <f t="array" ref="L477">sentimentCategory(K477)</f>
        <v>Neutral</v>
      </c>
    </row>
    <row r="478" spans="1:12" x14ac:dyDescent="0.25">
      <c r="A478" t="s">
        <v>3232</v>
      </c>
      <c r="B478" t="s">
        <v>3233</v>
      </c>
      <c r="C478" t="str" cm="1">
        <f t="array" ref="C478">CleanText(B478)</f>
        <v>barbie comes with gi joe she fakes it with ken</v>
      </c>
      <c r="D478">
        <v>1</v>
      </c>
      <c r="E478">
        <v>0</v>
      </c>
      <c r="F478" t="s">
        <v>10</v>
      </c>
      <c r="G478" t="str" cm="1">
        <f t="array" ref="G478">FindCountryName(F478)</f>
        <v>None</v>
      </c>
      <c r="H478" s="3">
        <v>45151.476423611108</v>
      </c>
      <c r="I478" s="3">
        <v>45151.476423611108</v>
      </c>
      <c r="J478" s="3">
        <v>44713.866701388892</v>
      </c>
      <c r="K478" cm="1">
        <f t="array" ref="K478">sentimentCalc(C478)</f>
        <v>-3</v>
      </c>
      <c r="L478" t="str" cm="1">
        <f t="array" ref="L478">sentimentCategory(K478)</f>
        <v>Negative</v>
      </c>
    </row>
    <row r="479" spans="1:12" x14ac:dyDescent="0.25">
      <c r="A479" t="s">
        <v>156</v>
      </c>
      <c r="B479" t="s">
        <v>2952</v>
      </c>
      <c r="C479" t="str" cm="1">
        <f t="array" ref="C479">CleanText(B479)</f>
        <v>barbie cute but  harley quinn joker  i love you harley quinn  but barbie cute and beautiful  margot robbie</v>
      </c>
      <c r="D479">
        <v>0</v>
      </c>
      <c r="E479">
        <v>0</v>
      </c>
      <c r="F479" t="s">
        <v>10</v>
      </c>
      <c r="G479" t="str" cm="1">
        <f t="array" ref="G479">FindCountryName(F479)</f>
        <v>None</v>
      </c>
      <c r="H479" s="3">
        <v>45155.511817129627</v>
      </c>
      <c r="I479" s="3">
        <v>45155.511817129627</v>
      </c>
      <c r="J479" s="3">
        <v>44918.341145833336</v>
      </c>
      <c r="K479" cm="1">
        <f t="array" ref="K479">sentimentCalc(C479)</f>
        <v>10</v>
      </c>
      <c r="L479" t="str" cm="1">
        <f t="array" ref="L479">sentimentCategory(K479)</f>
        <v>Positive</v>
      </c>
    </row>
    <row r="480" spans="1:12" x14ac:dyDescent="0.25">
      <c r="A480" t="s">
        <v>400</v>
      </c>
      <c r="B480" t="s">
        <v>3039</v>
      </c>
      <c r="C480" t="str" cm="1">
        <f t="array" ref="C480">CleanText(B480)</f>
        <v>barbie deo gi</v>
      </c>
      <c r="D480">
        <v>0</v>
      </c>
      <c r="E480">
        <v>0</v>
      </c>
      <c r="F480" t="s">
        <v>10</v>
      </c>
      <c r="G480" t="str" cm="1">
        <f t="array" ref="G480">FindCountryName(F480)</f>
        <v>None</v>
      </c>
      <c r="H480" s="3">
        <v>45154.170763888891</v>
      </c>
      <c r="I480" s="3">
        <v>45154.170763888891</v>
      </c>
      <c r="J480" s="3">
        <v>44212.939421296294</v>
      </c>
      <c r="K480" cm="1">
        <f t="array" ref="K480">sentimentCalc(C480)</f>
        <v>0</v>
      </c>
      <c r="L480" t="str" cm="1">
        <f t="array" ref="L480">sentimentCategory(K480)</f>
        <v>Neutral</v>
      </c>
    </row>
    <row r="481" spans="1:12" x14ac:dyDescent="0.25">
      <c r="A481" t="s">
        <v>2481</v>
      </c>
      <c r="B481" t="s">
        <v>2482</v>
      </c>
      <c r="C481" t="str" cm="1">
        <f t="array" ref="C481">CleanText(B481)</f>
        <v>barbie directly propartional to pinkinessss</v>
      </c>
      <c r="D481">
        <v>0</v>
      </c>
      <c r="E481">
        <v>0</v>
      </c>
      <c r="F481" t="s">
        <v>10</v>
      </c>
      <c r="G481" t="str" cm="1">
        <f t="array" ref="G481">FindCountryName(F481)</f>
        <v>None</v>
      </c>
      <c r="H481" s="3">
        <v>45165.524085648147</v>
      </c>
      <c r="I481" s="3">
        <v>45165.524074074077</v>
      </c>
      <c r="J481" s="3">
        <v>45113.84815972222</v>
      </c>
      <c r="K481" cm="1">
        <f t="array" ref="K481">sentimentCalc(C481)</f>
        <v>0</v>
      </c>
      <c r="L481" t="str" cm="1">
        <f t="array" ref="L481">sentimentCategory(K481)</f>
        <v>Neutral</v>
      </c>
    </row>
    <row r="482" spans="1:12" x14ac:dyDescent="0.25">
      <c r="A482" t="s">
        <v>3509</v>
      </c>
      <c r="B482" t="s">
        <v>3510</v>
      </c>
      <c r="C482" t="str" cm="1">
        <f t="array" ref="C482">CleanText(B482)</f>
        <v>barbie do u guys ever think about dyingeveryone</v>
      </c>
      <c r="D482">
        <v>0</v>
      </c>
      <c r="E482">
        <v>0</v>
      </c>
      <c r="F482" t="s">
        <v>10</v>
      </c>
      <c r="G482" t="str" cm="1">
        <f t="array" ref="G482">FindCountryName(F482)</f>
        <v>None</v>
      </c>
      <c r="H482" s="3">
        <v>45148.159224537034</v>
      </c>
      <c r="I482" s="3">
        <v>45148.159224537034</v>
      </c>
      <c r="J482" s="3">
        <v>45133.645104166666</v>
      </c>
      <c r="K482" cm="1">
        <f t="array" ref="K482">sentimentCalc(C482)</f>
        <v>0</v>
      </c>
      <c r="L482" t="str" cm="1">
        <f t="array" ref="L482">sentimentCategory(K482)</f>
        <v>Neutral</v>
      </c>
    </row>
    <row r="483" spans="1:12" x14ac:dyDescent="0.25">
      <c r="A483" t="s">
        <v>2009</v>
      </c>
      <c r="B483" t="s">
        <v>2010</v>
      </c>
      <c r="C483" t="str" cm="1">
        <f t="array" ref="C483">CleanText(B483)</f>
        <v>barbie dont looking barbie</v>
      </c>
      <c r="D483">
        <v>1</v>
      </c>
      <c r="E483">
        <v>0</v>
      </c>
      <c r="F483" t="s">
        <v>10</v>
      </c>
      <c r="G483" t="str" cm="1">
        <f t="array" ref="G483">FindCountryName(F483)</f>
        <v>None</v>
      </c>
      <c r="H483" s="3">
        <v>45184.600729166668</v>
      </c>
      <c r="I483" s="3">
        <v>45184.600729166668</v>
      </c>
      <c r="J483" s="3">
        <v>45024.150949074072</v>
      </c>
      <c r="K483" cm="1">
        <f t="array" ref="K483">sentimentCalc(C483)</f>
        <v>0</v>
      </c>
      <c r="L483" t="str" cm="1">
        <f t="array" ref="L483">sentimentCategory(K483)</f>
        <v>Neutral</v>
      </c>
    </row>
    <row r="484" spans="1:12" x14ac:dyDescent="0.25">
      <c r="A484" t="s">
        <v>400</v>
      </c>
      <c r="B484" t="s">
        <v>3265</v>
      </c>
      <c r="C484" t="str" cm="1">
        <f t="array" ref="C484">CleanText(B484)</f>
        <v>barbie dream house toy barbie you can try it to find</v>
      </c>
      <c r="D484">
        <v>1</v>
      </c>
      <c r="E484">
        <v>0</v>
      </c>
      <c r="F484" t="s">
        <v>10</v>
      </c>
      <c r="G484" t="str" cm="1">
        <f t="array" ref="G484">FindCountryName(F484)</f>
        <v>None</v>
      </c>
      <c r="H484" s="3">
        <v>45151.124837962961</v>
      </c>
      <c r="I484" s="3">
        <v>45151.124837962961</v>
      </c>
      <c r="J484" s="3">
        <v>44317.06958333333</v>
      </c>
      <c r="K484" cm="1">
        <f t="array" ref="K484">sentimentCalc(C484)</f>
        <v>1</v>
      </c>
      <c r="L484" t="str" cm="1">
        <f t="array" ref="L484">sentimentCategory(K484)</f>
        <v>Positive</v>
      </c>
    </row>
    <row r="485" spans="1:12" x14ac:dyDescent="0.25">
      <c r="A485" t="s">
        <v>400</v>
      </c>
      <c r="B485" t="s">
        <v>1852</v>
      </c>
      <c r="C485" t="str" cm="1">
        <f t="array" ref="C485">CleanText(B485)</f>
        <v>barbie oppenheimeroppenheimer is the best movie in the world</v>
      </c>
      <c r="D485">
        <v>3</v>
      </c>
      <c r="E485">
        <v>3</v>
      </c>
      <c r="F485" t="s">
        <v>10</v>
      </c>
      <c r="G485" t="str" cm="1">
        <f t="array" ref="G485">FindCountryName(F485)</f>
        <v>None</v>
      </c>
      <c r="H485" s="3">
        <v>45190.828831018516</v>
      </c>
      <c r="I485" s="3">
        <v>45190.828831018516</v>
      </c>
      <c r="J485" s="3">
        <v>44729.238854166666</v>
      </c>
      <c r="K485" cm="1">
        <f t="array" ref="K485">sentimentCalc(C485)</f>
        <v>3</v>
      </c>
      <c r="L485" t="str" cm="1">
        <f t="array" ref="L485">sentimentCategory(K485)</f>
        <v>Positive</v>
      </c>
    </row>
    <row r="486" spans="1:12" x14ac:dyDescent="0.25">
      <c r="A486" t="s">
        <v>94</v>
      </c>
      <c r="B486" t="s">
        <v>95</v>
      </c>
      <c r="C486" t="str" cm="1">
        <f t="array" ref="C486">CleanText(B486)</f>
        <v>barbie evreni ok farkl</v>
      </c>
      <c r="D486">
        <v>0</v>
      </c>
      <c r="E486">
        <v>0</v>
      </c>
      <c r="F486" t="s">
        <v>10</v>
      </c>
      <c r="G486" t="str" cm="1">
        <f t="array" ref="G486">FindCountryName(F486)</f>
        <v>None</v>
      </c>
      <c r="H486" s="3">
        <v>45338.129606481481</v>
      </c>
      <c r="I486" s="3">
        <v>45338.129606481481</v>
      </c>
      <c r="J486" s="3">
        <v>42487.722569444442</v>
      </c>
      <c r="K486" cm="1">
        <f t="array" ref="K486">sentimentCalc(C486)</f>
        <v>0</v>
      </c>
      <c r="L486" t="str" cm="1">
        <f t="array" ref="L486">sentimentCategory(K486)</f>
        <v>Neutral</v>
      </c>
    </row>
    <row r="487" spans="1:12" x14ac:dyDescent="0.25">
      <c r="A487" t="s">
        <v>3725</v>
      </c>
      <c r="B487" t="s">
        <v>3776</v>
      </c>
      <c r="C487" t="str" cm="1">
        <f t="array" ref="C487">CleanText(B487)</f>
        <v>barbie fans  hope yall give the same energy and excitement to sound of freedom its a pretty cute and bubbly movie as well</v>
      </c>
      <c r="D487">
        <v>5</v>
      </c>
      <c r="E487">
        <v>2</v>
      </c>
      <c r="F487" t="s">
        <v>10</v>
      </c>
      <c r="G487" t="str" cm="1">
        <f t="array" ref="G487">FindCountryName(F487)</f>
        <v>None</v>
      </c>
      <c r="H487" s="3">
        <v>45145.567615740743</v>
      </c>
      <c r="I487" s="3">
        <v>45145.567615740743</v>
      </c>
      <c r="J487" s="3">
        <v>41591.415590277778</v>
      </c>
      <c r="K487" cm="1">
        <f t="array" ref="K487">sentimentCalc(C487)</f>
        <v>10</v>
      </c>
      <c r="L487" t="str" cm="1">
        <f t="array" ref="L487">sentimentCategory(K487)</f>
        <v>Positive</v>
      </c>
    </row>
    <row r="488" spans="1:12" x14ac:dyDescent="0.25">
      <c r="A488" t="s">
        <v>300</v>
      </c>
      <c r="B488" t="s">
        <v>301</v>
      </c>
      <c r="C488" t="str" cm="1">
        <f t="array" ref="C488">CleanText(B488)</f>
        <v>barbie filmi henz izlemedim gzel grnyor</v>
      </c>
      <c r="D488">
        <v>0</v>
      </c>
      <c r="E488">
        <v>0</v>
      </c>
      <c r="F488" t="s">
        <v>139</v>
      </c>
      <c r="G488" t="str" cm="1">
        <f t="array" ref="G488">FindCountryName(F488)</f>
        <v>Turkey</v>
      </c>
      <c r="H488" s="3">
        <v>45322.375277777777</v>
      </c>
      <c r="I488" s="3">
        <v>45322.375277777777</v>
      </c>
      <c r="J488" s="3">
        <v>44314.500625000001</v>
      </c>
      <c r="K488" cm="1">
        <f t="array" ref="K488">sentimentCalc(C488)</f>
        <v>0</v>
      </c>
      <c r="L488" t="str" cm="1">
        <f t="array" ref="L488">sentimentCategory(K488)</f>
        <v>Neutral</v>
      </c>
    </row>
    <row r="489" spans="1:12" x14ac:dyDescent="0.25">
      <c r="A489" t="s">
        <v>1031</v>
      </c>
      <c r="B489" t="s">
        <v>1032</v>
      </c>
      <c r="C489" t="str" cm="1">
        <f t="array" ref="C489">CleanText(B489)</f>
        <v>barbie filmi yaplabilecek en iyi filmler arasnda</v>
      </c>
      <c r="D489">
        <v>0</v>
      </c>
      <c r="E489">
        <v>0</v>
      </c>
      <c r="F489" t="s">
        <v>10</v>
      </c>
      <c r="G489" t="str" cm="1">
        <f t="array" ref="G489">FindCountryName(F489)</f>
        <v>None</v>
      </c>
      <c r="H489" s="3">
        <v>45299.249907407408</v>
      </c>
      <c r="I489" s="3">
        <v>45299.249907407408</v>
      </c>
      <c r="J489" s="3">
        <v>45299.249884259261</v>
      </c>
      <c r="K489" cm="1">
        <f t="array" ref="K489">sentimentCalc(C489)</f>
        <v>0</v>
      </c>
      <c r="L489" t="str" cm="1">
        <f t="array" ref="L489">sentimentCategory(K489)</f>
        <v>Neutral</v>
      </c>
    </row>
    <row r="490" spans="1:12" x14ac:dyDescent="0.25">
      <c r="A490" t="s">
        <v>192</v>
      </c>
      <c r="B490" t="s">
        <v>341</v>
      </c>
      <c r="C490" t="str" cm="1">
        <f t="array" ref="C490">CleanText(B490)</f>
        <v>barbie filmini izlemek iin gideceim cok iyi gzkyor</v>
      </c>
      <c r="D490">
        <v>0</v>
      </c>
      <c r="E490">
        <v>0</v>
      </c>
      <c r="F490" t="s">
        <v>10</v>
      </c>
      <c r="G490" t="str" cm="1">
        <f t="array" ref="G490">FindCountryName(F490)</f>
        <v>None</v>
      </c>
      <c r="H490" s="3">
        <v>45322.27921296296</v>
      </c>
      <c r="I490" s="3">
        <v>45322.27921296296</v>
      </c>
      <c r="J490" s="3">
        <v>45322.256145833337</v>
      </c>
      <c r="K490" cm="1">
        <f t="array" ref="K490">sentimentCalc(C490)</f>
        <v>0</v>
      </c>
      <c r="L490" t="str" cm="1">
        <f t="array" ref="L490">sentimentCategory(K490)</f>
        <v>Neutral</v>
      </c>
    </row>
    <row r="491" spans="1:12" x14ac:dyDescent="0.25">
      <c r="A491" t="s">
        <v>1244</v>
      </c>
      <c r="B491" t="s">
        <v>2506</v>
      </c>
      <c r="C491" t="str" cm="1">
        <f t="array" ref="C491">CleanText(B491)</f>
        <v>barbie got into jail because she protected herself from the ohio booty tickling bandit</v>
      </c>
      <c r="D491">
        <v>1</v>
      </c>
      <c r="E491">
        <v>0</v>
      </c>
      <c r="F491" t="s">
        <v>10</v>
      </c>
      <c r="G491" t="str" cm="1">
        <f t="array" ref="G491">FindCountryName(F491)</f>
        <v>None</v>
      </c>
      <c r="H491" s="3">
        <v>45164.852256944447</v>
      </c>
      <c r="I491" s="3">
        <v>45164.852256944447</v>
      </c>
      <c r="J491" s="3">
        <v>44835.981712962966</v>
      </c>
      <c r="K491" cm="1">
        <f t="array" ref="K491">sentimentCalc(C491)</f>
        <v>1</v>
      </c>
      <c r="L491" t="str" cm="1">
        <f t="array" ref="L491">sentimentCategory(K491)</f>
        <v>Positive</v>
      </c>
    </row>
    <row r="492" spans="1:12" x14ac:dyDescent="0.25">
      <c r="A492" t="s">
        <v>338</v>
      </c>
      <c r="B492" t="s">
        <v>4302</v>
      </c>
      <c r="C492" t="str" cm="1">
        <f t="array" ref="C492">CleanText(B492)</f>
        <v>barbie gotta escape the matrix big time here</v>
      </c>
      <c r="D492">
        <v>0</v>
      </c>
      <c r="E492">
        <v>0</v>
      </c>
      <c r="F492" t="s">
        <v>10</v>
      </c>
      <c r="G492" t="str" cm="1">
        <f t="array" ref="G492">FindCountryName(F492)</f>
        <v>None</v>
      </c>
      <c r="H492" s="3">
        <v>45141.124293981484</v>
      </c>
      <c r="I492" s="3">
        <v>45141.124293981484</v>
      </c>
      <c r="J492" s="3">
        <v>42975.195972222224</v>
      </c>
      <c r="K492" cm="1">
        <f t="array" ref="K492">sentimentCalc(C492)</f>
        <v>0</v>
      </c>
      <c r="L492" t="str" cm="1">
        <f t="array" ref="L492">sentimentCategory(K492)</f>
        <v>Neutral</v>
      </c>
    </row>
    <row r="493" spans="1:12" x14ac:dyDescent="0.25">
      <c r="A493" t="s">
        <v>225</v>
      </c>
      <c r="B493" t="s">
        <v>2111</v>
      </c>
      <c r="C493" t="str" cm="1">
        <f t="array" ref="C493">CleanText(B493)</f>
        <v>barbie harley quuin</v>
      </c>
      <c r="D493">
        <v>0</v>
      </c>
      <c r="E493">
        <v>0</v>
      </c>
      <c r="F493" t="s">
        <v>10</v>
      </c>
      <c r="G493" t="str" cm="1">
        <f t="array" ref="G493">FindCountryName(F493)</f>
        <v>None</v>
      </c>
      <c r="H493" s="3">
        <v>45180.243287037039</v>
      </c>
      <c r="I493" s="3">
        <v>45180.243287037039</v>
      </c>
      <c r="J493" s="3">
        <v>44274.660416666666</v>
      </c>
      <c r="K493" cm="1">
        <f t="array" ref="K493">sentimentCalc(C493)</f>
        <v>0</v>
      </c>
      <c r="L493" t="str" cm="1">
        <f t="array" ref="L493">sentimentCategory(K493)</f>
        <v>Neutral</v>
      </c>
    </row>
    <row r="494" spans="1:12" x14ac:dyDescent="0.25">
      <c r="A494" t="s">
        <v>313</v>
      </c>
      <c r="B494" t="s">
        <v>1483</v>
      </c>
      <c r="C494" t="str" cm="1">
        <f t="array" ref="C494">CleanText(B494)</f>
        <v>barbie has a beautiful lively smile i wish i could bring everyone happiness like her</v>
      </c>
      <c r="D494">
        <v>1</v>
      </c>
      <c r="E494">
        <v>0</v>
      </c>
      <c r="F494" t="s">
        <v>10</v>
      </c>
      <c r="G494" t="str" cm="1">
        <f t="array" ref="G494">FindCountryName(F494)</f>
        <v>None</v>
      </c>
      <c r="H494" s="3">
        <v>45223.65148148148</v>
      </c>
      <c r="I494" s="3">
        <v>45223.65148148148</v>
      </c>
      <c r="J494" s="3">
        <v>45223.651458333334</v>
      </c>
      <c r="K494" cm="1">
        <f t="array" ref="K494">sentimentCalc(C494)</f>
        <v>13</v>
      </c>
      <c r="L494" t="str" cm="1">
        <f t="array" ref="L494">sentimentCategory(K494)</f>
        <v>Positive</v>
      </c>
    </row>
    <row r="495" spans="1:12" x14ac:dyDescent="0.25">
      <c r="A495" t="s">
        <v>633</v>
      </c>
      <c r="B495" t="s">
        <v>634</v>
      </c>
      <c r="C495" t="str" cm="1">
        <f t="array" ref="C495">CleanText(B495)</f>
        <v>barbie has existentialistic crisis is like when an american actually learn about the life outside their first class perfect world</v>
      </c>
      <c r="D495">
        <v>0</v>
      </c>
      <c r="E495">
        <v>0</v>
      </c>
      <c r="F495" t="s">
        <v>10</v>
      </c>
      <c r="G495" t="str" cm="1">
        <f t="array" ref="G495">FindCountryName(F495)</f>
        <v>None</v>
      </c>
      <c r="H495" s="3">
        <v>45314.542303240742</v>
      </c>
      <c r="I495" s="3">
        <v>45314.542303240742</v>
      </c>
      <c r="J495" s="3">
        <v>44684.400671296295</v>
      </c>
      <c r="K495" cm="1">
        <f t="array" ref="K495">sentimentCalc(C495)</f>
        <v>2</v>
      </c>
      <c r="L495" t="str" cm="1">
        <f t="array" ref="L495">sentimentCategory(K495)</f>
        <v>Positive</v>
      </c>
    </row>
    <row r="496" spans="1:12" x14ac:dyDescent="0.25">
      <c r="A496" t="s">
        <v>1535</v>
      </c>
      <c r="B496" t="s">
        <v>1536</v>
      </c>
      <c r="C496" t="str" cm="1">
        <f t="array" ref="C496">CleanText(B496)</f>
        <v>barbie here</v>
      </c>
      <c r="D496">
        <v>0</v>
      </c>
      <c r="E496">
        <v>0</v>
      </c>
      <c r="F496" t="s">
        <v>10</v>
      </c>
      <c r="G496" t="str" cm="1">
        <f t="array" ref="G496">FindCountryName(F496)</f>
        <v>None</v>
      </c>
      <c r="H496" s="3">
        <v>45215.045844907407</v>
      </c>
      <c r="I496" s="3">
        <v>45215.045844907407</v>
      </c>
      <c r="J496" s="3">
        <v>40830.203611111108</v>
      </c>
      <c r="K496" cm="1">
        <f t="array" ref="K496">sentimentCalc(C496)</f>
        <v>0</v>
      </c>
      <c r="L496" t="str" cm="1">
        <f t="array" ref="L496">sentimentCategory(K496)</f>
        <v>Neutral</v>
      </c>
    </row>
    <row r="497" spans="1:12" x14ac:dyDescent="0.25">
      <c r="A497" t="s">
        <v>1316</v>
      </c>
      <c r="B497" t="s">
        <v>2839</v>
      </c>
      <c r="C497" t="str" cm="1">
        <f t="array" ref="C497">CleanText(B497)</f>
        <v>barbie i love the movie</v>
      </c>
      <c r="D497">
        <v>3</v>
      </c>
      <c r="E497">
        <v>0</v>
      </c>
      <c r="F497" t="s">
        <v>10</v>
      </c>
      <c r="G497" t="str" cm="1">
        <f t="array" ref="G497">FindCountryName(F497)</f>
        <v>None</v>
      </c>
      <c r="H497" s="3">
        <v>45156.957766203705</v>
      </c>
      <c r="I497" s="3">
        <v>45156.957766203705</v>
      </c>
      <c r="J497" s="3">
        <v>41310.130856481483</v>
      </c>
      <c r="K497" cm="1">
        <f t="array" ref="K497">sentimentCalc(C497)</f>
        <v>3</v>
      </c>
      <c r="L497" t="str" cm="1">
        <f t="array" ref="L497">sentimentCategory(K497)</f>
        <v>Positive</v>
      </c>
    </row>
    <row r="498" spans="1:12" x14ac:dyDescent="0.25">
      <c r="A498" t="s">
        <v>3187</v>
      </c>
      <c r="B498" t="s">
        <v>3188</v>
      </c>
      <c r="C498" t="str" cm="1">
        <f t="array" ref="C498">CleanText(B498)</f>
        <v>barbie in real world</v>
      </c>
      <c r="D498">
        <v>0</v>
      </c>
      <c r="E498">
        <v>0</v>
      </c>
      <c r="F498" t="s">
        <v>1073</v>
      </c>
      <c r="G498" t="str" cm="1">
        <f t="array" ref="G498">FindCountryName(F498)</f>
        <v>India</v>
      </c>
      <c r="H498" s="3">
        <v>45152.142048611109</v>
      </c>
      <c r="I498" s="3">
        <v>45152.142048611109</v>
      </c>
      <c r="J498" s="3">
        <v>43024.310659722221</v>
      </c>
      <c r="K498" cm="1">
        <f t="array" ref="K498">sentimentCalc(C498)</f>
        <v>0</v>
      </c>
      <c r="L498" t="str" cm="1">
        <f t="array" ref="L498">sentimentCategory(K498)</f>
        <v>Neutral</v>
      </c>
    </row>
    <row r="499" spans="1:12" x14ac:dyDescent="0.25">
      <c r="A499" t="s">
        <v>2722</v>
      </c>
      <c r="B499" t="s">
        <v>2723</v>
      </c>
      <c r="C499" t="str" cm="1">
        <f t="array" ref="C499">CleanText(B499)</f>
        <v>barbie is a  american fantasy comedy film directed by greta gerwig from a screenplay she wrote with noah baumbach</v>
      </c>
      <c r="D499">
        <v>0</v>
      </c>
      <c r="E499">
        <v>0</v>
      </c>
      <c r="F499" t="s">
        <v>227</v>
      </c>
      <c r="G499" t="str" cm="1">
        <f t="array" ref="G499">FindCountryName(F499)</f>
        <v>United States of America (the)</v>
      </c>
      <c r="H499" s="3">
        <v>45159.223437499997</v>
      </c>
      <c r="I499" s="3">
        <v>45159.223425925928</v>
      </c>
      <c r="J499" s="3">
        <v>45148.454386574071</v>
      </c>
      <c r="K499" cm="1">
        <f t="array" ref="K499">sentimentCalc(C499)</f>
        <v>1</v>
      </c>
      <c r="L499" t="str" cm="1">
        <f t="array" ref="L499">sentimentCategory(K499)</f>
        <v>Positive</v>
      </c>
    </row>
    <row r="500" spans="1:12" x14ac:dyDescent="0.25">
      <c r="A500" t="s">
        <v>447</v>
      </c>
      <c r="B500" t="s">
        <v>2062</v>
      </c>
      <c r="C500" t="str" cm="1">
        <f t="array" ref="C500">CleanText(B500)</f>
        <v>barbie is basically the live action version of toy story and the lego movie</v>
      </c>
      <c r="D500">
        <v>1</v>
      </c>
      <c r="E500">
        <v>0</v>
      </c>
      <c r="F500" t="s">
        <v>10</v>
      </c>
      <c r="G500" t="str" cm="1">
        <f t="array" ref="G500">FindCountryName(F500)</f>
        <v>None</v>
      </c>
      <c r="H500" s="3">
        <v>45182.453333333331</v>
      </c>
      <c r="I500" s="3">
        <v>45182.453333333331</v>
      </c>
      <c r="J500" s="3">
        <v>44204.114120370374</v>
      </c>
      <c r="K500" cm="1">
        <f t="array" ref="K500">sentimentCalc(C500)</f>
        <v>0</v>
      </c>
      <c r="L500" t="str" cm="1">
        <f t="array" ref="L500">sentimentCategory(K500)</f>
        <v>Neutral</v>
      </c>
    </row>
    <row r="501" spans="1:12" x14ac:dyDescent="0.25">
      <c r="A501" t="s">
        <v>169</v>
      </c>
      <c r="B501" t="s">
        <v>2804</v>
      </c>
      <c r="C501" t="str" cm="1">
        <f t="array" ref="C501">CleanText(B501)</f>
        <v>barbie is good but ken is too old</v>
      </c>
      <c r="D501">
        <v>0</v>
      </c>
      <c r="E501">
        <v>0</v>
      </c>
      <c r="F501" t="s">
        <v>10</v>
      </c>
      <c r="G501" t="str" cm="1">
        <f t="array" ref="G501">FindCountryName(F501)</f>
        <v>None</v>
      </c>
      <c r="H501" s="3">
        <v>45157.63208333333</v>
      </c>
      <c r="I501" s="3">
        <v>45157.63208333333</v>
      </c>
      <c r="J501" s="3">
        <v>43639.45103009259</v>
      </c>
      <c r="K501" cm="1">
        <f t="array" ref="K501">sentimentCalc(C501)</f>
        <v>3</v>
      </c>
      <c r="L501" t="str" cm="1">
        <f t="array" ref="L501">sentimentCategory(K501)</f>
        <v>Positive</v>
      </c>
    </row>
    <row r="502" spans="1:12" x14ac:dyDescent="0.25">
      <c r="A502" t="s">
        <v>2741</v>
      </c>
      <c r="B502" t="s">
        <v>2742</v>
      </c>
      <c r="C502" t="str" cm="1">
        <f t="array" ref="C502">CleanText(B502)</f>
        <v>barbie is litterally harley quinn</v>
      </c>
      <c r="D502">
        <v>0</v>
      </c>
      <c r="E502">
        <v>1</v>
      </c>
      <c r="F502" t="s">
        <v>10</v>
      </c>
      <c r="G502" t="str" cm="1">
        <f t="array" ref="G502">FindCountryName(F502)</f>
        <v>None</v>
      </c>
      <c r="H502" s="3">
        <v>45158.780659722222</v>
      </c>
      <c r="I502" s="3">
        <v>45158.780659722222</v>
      </c>
      <c r="J502" s="3">
        <v>43840.760810185187</v>
      </c>
      <c r="K502" cm="1">
        <f t="array" ref="K502">sentimentCalc(C502)</f>
        <v>0</v>
      </c>
      <c r="L502" t="str" cm="1">
        <f t="array" ref="L502">sentimentCategory(K502)</f>
        <v>Neutral</v>
      </c>
    </row>
    <row r="503" spans="1:12" x14ac:dyDescent="0.25">
      <c r="A503" t="s">
        <v>90</v>
      </c>
      <c r="B503" t="s">
        <v>108</v>
      </c>
      <c r="C503" t="str" cm="1">
        <f t="array" ref="C503">CleanText(B503)</f>
        <v>barbie is my favorite cartoon i need to watch this immediately</v>
      </c>
      <c r="D503">
        <v>0</v>
      </c>
      <c r="E503">
        <v>0</v>
      </c>
      <c r="F503" t="s">
        <v>10</v>
      </c>
      <c r="G503" t="str" cm="1">
        <f t="array" ref="G503">FindCountryName(F503)</f>
        <v>None</v>
      </c>
      <c r="H503" s="3">
        <v>45337.492245370369</v>
      </c>
      <c r="I503" s="3">
        <v>45337.492245370369</v>
      </c>
      <c r="J503" s="3">
        <v>43034.55982638889</v>
      </c>
      <c r="K503" cm="1">
        <f t="array" ref="K503">sentimentCalc(C503)</f>
        <v>2</v>
      </c>
      <c r="L503" t="str" cm="1">
        <f t="array" ref="L503">sentimentCategory(K503)</f>
        <v>Positive</v>
      </c>
    </row>
    <row r="504" spans="1:12" x14ac:dyDescent="0.25">
      <c r="A504" t="s">
        <v>1142</v>
      </c>
      <c r="B504" t="s">
        <v>2746</v>
      </c>
      <c r="C504" t="str" cm="1">
        <f t="array" ref="C504">CleanText(B504)</f>
        <v>barbie is now in india guys</v>
      </c>
      <c r="D504">
        <v>6</v>
      </c>
      <c r="E504">
        <v>2</v>
      </c>
      <c r="F504" t="s">
        <v>10</v>
      </c>
      <c r="G504" t="str" cm="1">
        <f t="array" ref="G504">FindCountryName(F504)</f>
        <v>None</v>
      </c>
      <c r="H504" s="3">
        <v>45158.729745370372</v>
      </c>
      <c r="I504" s="3">
        <v>45158.729745370372</v>
      </c>
      <c r="J504" s="3">
        <v>42547.108541666668</v>
      </c>
      <c r="K504" cm="1">
        <f t="array" ref="K504">sentimentCalc(C504)</f>
        <v>0</v>
      </c>
      <c r="L504" t="str" cm="1">
        <f t="array" ref="L504">sentimentCategory(K504)</f>
        <v>Neutral</v>
      </c>
    </row>
    <row r="505" spans="1:12" x14ac:dyDescent="0.25">
      <c r="A505" t="s">
        <v>2200</v>
      </c>
      <c r="B505" t="s">
        <v>3792</v>
      </c>
      <c r="C505" t="str" cm="1">
        <f t="array" ref="C505">CleanText(B505)</f>
        <v>barbie is so iconic</v>
      </c>
      <c r="D505">
        <v>1</v>
      </c>
      <c r="E505">
        <v>0</v>
      </c>
      <c r="F505" t="s">
        <v>10</v>
      </c>
      <c r="G505" t="str" cm="1">
        <f t="array" ref="G505">FindCountryName(F505)</f>
        <v>None</v>
      </c>
      <c r="H505" s="3">
        <v>45145.456990740742</v>
      </c>
      <c r="I505" s="3">
        <v>45145.456990740742</v>
      </c>
      <c r="J505" s="3">
        <v>44638.367222222223</v>
      </c>
      <c r="K505" cm="1">
        <f t="array" ref="K505">sentimentCalc(C505)</f>
        <v>0</v>
      </c>
      <c r="L505" t="str" cm="1">
        <f t="array" ref="L505">sentimentCategory(K505)</f>
        <v>Neutral</v>
      </c>
    </row>
    <row r="506" spans="1:12" x14ac:dyDescent="0.25">
      <c r="A506" t="s">
        <v>192</v>
      </c>
      <c r="B506" t="s">
        <v>1465</v>
      </c>
      <c r="C506" t="str" cm="1">
        <f t="array" ref="C506">CleanText(B506)</f>
        <v>barbie is the best</v>
      </c>
      <c r="D506">
        <v>0</v>
      </c>
      <c r="E506">
        <v>0</v>
      </c>
      <c r="F506" t="s">
        <v>10</v>
      </c>
      <c r="G506" t="str" cm="1">
        <f t="array" ref="G506">FindCountryName(F506)</f>
        <v>None</v>
      </c>
      <c r="H506" s="3">
        <v>45226.355798611112</v>
      </c>
      <c r="I506" s="3">
        <v>45226.355798611112</v>
      </c>
      <c r="J506" s="3">
        <v>45226.355775462966</v>
      </c>
      <c r="K506" cm="1">
        <f t="array" ref="K506">sentimentCalc(C506)</f>
        <v>3</v>
      </c>
      <c r="L506" t="str" cm="1">
        <f t="array" ref="L506">sentimentCategory(K506)</f>
        <v>Positive</v>
      </c>
    </row>
    <row r="507" spans="1:12" x14ac:dyDescent="0.25">
      <c r="A507" t="s">
        <v>387</v>
      </c>
      <c r="B507" t="s">
        <v>4129</v>
      </c>
      <c r="C507" t="str" cm="1">
        <f t="array" ref="C507">CleanText(B507)</f>
        <v>barbie is the best doll</v>
      </c>
      <c r="D507">
        <v>0</v>
      </c>
      <c r="E507">
        <v>0</v>
      </c>
      <c r="F507" t="s">
        <v>10</v>
      </c>
      <c r="G507" t="str" cm="1">
        <f t="array" ref="G507">FindCountryName(F507)</f>
        <v>None</v>
      </c>
      <c r="H507" s="3">
        <v>45142.631840277776</v>
      </c>
      <c r="I507" s="3">
        <v>45142.631840277776</v>
      </c>
      <c r="J507" s="3">
        <v>42028.362835648149</v>
      </c>
      <c r="K507" cm="1">
        <f t="array" ref="K507">sentimentCalc(C507)</f>
        <v>3</v>
      </c>
      <c r="L507" t="str" cm="1">
        <f t="array" ref="L507">sentimentCategory(K507)</f>
        <v>Positive</v>
      </c>
    </row>
    <row r="508" spans="1:12" x14ac:dyDescent="0.25">
      <c r="A508" t="s">
        <v>3929</v>
      </c>
      <c r="B508" t="s">
        <v>3930</v>
      </c>
      <c r="C508" t="str" cm="1">
        <f t="array" ref="C508">CleanText(B508)</f>
        <v>barbie is unprepossessing though</v>
      </c>
      <c r="D508">
        <v>0</v>
      </c>
      <c r="E508">
        <v>0</v>
      </c>
      <c r="F508" t="s">
        <v>10</v>
      </c>
      <c r="G508" t="str" cm="1">
        <f t="array" ref="G508">FindCountryName(F508)</f>
        <v>None</v>
      </c>
      <c r="H508" s="3">
        <v>45144.447812500002</v>
      </c>
      <c r="I508" s="3">
        <v>45144.447812500002</v>
      </c>
      <c r="J508" s="3">
        <v>39455.626377314817</v>
      </c>
      <c r="K508" cm="1">
        <f t="array" ref="K508">sentimentCalc(C508)</f>
        <v>0</v>
      </c>
      <c r="L508" t="str" cm="1">
        <f t="array" ref="L508">sentimentCategory(K508)</f>
        <v>Neutral</v>
      </c>
    </row>
    <row r="509" spans="1:12" x14ac:dyDescent="0.25">
      <c r="A509" t="s">
        <v>284</v>
      </c>
      <c r="B509" t="s">
        <v>2359</v>
      </c>
      <c r="C509" t="str" cm="1">
        <f t="array" ref="C509">CleanText(B509)</f>
        <v>barbie joins the dharma initiative at the end</v>
      </c>
      <c r="D509">
        <v>0</v>
      </c>
      <c r="E509">
        <v>0</v>
      </c>
      <c r="F509" t="s">
        <v>10</v>
      </c>
      <c r="G509" t="str" cm="1">
        <f t="array" ref="G509">FindCountryName(F509)</f>
        <v>None</v>
      </c>
      <c r="H509" s="3">
        <v>45170.890011574076</v>
      </c>
      <c r="I509" s="3">
        <v>45170.890011574076</v>
      </c>
      <c r="J509" s="3">
        <v>39148.619143518517</v>
      </c>
      <c r="K509" cm="1">
        <f t="array" ref="K509">sentimentCalc(C509)</f>
        <v>0</v>
      </c>
      <c r="L509" t="str" cm="1">
        <f t="array" ref="L509">sentimentCategory(K509)</f>
        <v>Neutral</v>
      </c>
    </row>
    <row r="510" spans="1:12" x14ac:dyDescent="0.25">
      <c r="A510" t="s">
        <v>2189</v>
      </c>
      <c r="B510" t="s">
        <v>2190</v>
      </c>
      <c r="C510" t="str" cm="1">
        <f t="array" ref="C510">CleanText(B510)</f>
        <v>barbie landbarbie queendom</v>
      </c>
      <c r="D510">
        <v>0</v>
      </c>
      <c r="E510">
        <v>0</v>
      </c>
      <c r="F510" t="s">
        <v>10</v>
      </c>
      <c r="G510" t="str" cm="1">
        <f t="array" ref="G510">FindCountryName(F510)</f>
        <v>None</v>
      </c>
      <c r="H510" s="3">
        <v>45176.542199074072</v>
      </c>
      <c r="I510" s="3">
        <v>45176.542199074072</v>
      </c>
      <c r="J510" s="3">
        <v>43976.434004629627</v>
      </c>
      <c r="K510" cm="1">
        <f t="array" ref="K510">sentimentCalc(C510)</f>
        <v>0</v>
      </c>
      <c r="L510" t="str" cm="1">
        <f t="array" ref="L510">sentimentCategory(K510)</f>
        <v>Neutral</v>
      </c>
    </row>
    <row r="511" spans="1:12" x14ac:dyDescent="0.25">
      <c r="A511" t="s">
        <v>372</v>
      </c>
      <c r="B511" t="s">
        <v>2631</v>
      </c>
      <c r="C511" t="str" cm="1">
        <f t="array" ref="C511">CleanText(B511)</f>
        <v>barbie launched in japanoppenheimer finish the sentence</v>
      </c>
      <c r="D511">
        <v>1</v>
      </c>
      <c r="E511">
        <v>0</v>
      </c>
      <c r="F511" t="s">
        <v>10</v>
      </c>
      <c r="G511" t="str" cm="1">
        <f t="array" ref="G511">FindCountryName(F511)</f>
        <v>None</v>
      </c>
      <c r="H511" s="3">
        <v>45161.376875000002</v>
      </c>
      <c r="I511" s="3">
        <v>45161.376863425925</v>
      </c>
      <c r="J511" s="3">
        <v>40816.972974537035</v>
      </c>
      <c r="K511" cm="1">
        <f t="array" ref="K511">sentimentCalc(C511)</f>
        <v>-1</v>
      </c>
      <c r="L511" t="str" cm="1">
        <f t="array" ref="L511">sentimentCategory(K511)</f>
        <v>Negative</v>
      </c>
    </row>
    <row r="512" spans="1:12" x14ac:dyDescent="0.25">
      <c r="A512" t="s">
        <v>292</v>
      </c>
      <c r="B512" t="s">
        <v>2374</v>
      </c>
      <c r="C512" t="str" cm="1">
        <f t="array" ref="C512">CleanText(B512)</f>
        <v>barbie looks just like jaime lee presley even sounds like her</v>
      </c>
      <c r="D512">
        <v>0</v>
      </c>
      <c r="E512">
        <v>0</v>
      </c>
      <c r="F512" t="s">
        <v>10</v>
      </c>
      <c r="G512" t="str" cm="1">
        <f t="array" ref="G512">FindCountryName(F512)</f>
        <v>None</v>
      </c>
      <c r="H512" s="3">
        <v>45169.863113425927</v>
      </c>
      <c r="I512" s="3">
        <v>45169.863113425927</v>
      </c>
      <c r="J512" s="3">
        <v>41050.926157407404</v>
      </c>
      <c r="K512" cm="1">
        <f t="array" ref="K512">sentimentCalc(C512)</f>
        <v>4</v>
      </c>
      <c r="L512" t="str" cm="1">
        <f t="array" ref="L512">sentimentCategory(K512)</f>
        <v>Positive</v>
      </c>
    </row>
    <row r="513" spans="1:12" x14ac:dyDescent="0.25">
      <c r="A513" t="s">
        <v>105</v>
      </c>
      <c r="B513" t="s">
        <v>2178</v>
      </c>
      <c r="C513" t="str" cm="1">
        <f t="array" ref="C513">CleanText(B513)</f>
        <v>barbie love</v>
      </c>
      <c r="D513">
        <v>0</v>
      </c>
      <c r="E513">
        <v>0</v>
      </c>
      <c r="F513" t="s">
        <v>10</v>
      </c>
      <c r="G513" t="str" cm="1">
        <f t="array" ref="G513">FindCountryName(F513)</f>
        <v>None</v>
      </c>
      <c r="H513" s="3">
        <v>45176.895648148151</v>
      </c>
      <c r="I513" s="3">
        <v>45176.895636574074</v>
      </c>
      <c r="J513" s="3">
        <v>45176.895624999997</v>
      </c>
      <c r="K513" cm="1">
        <f t="array" ref="K513">sentimentCalc(C513)</f>
        <v>3</v>
      </c>
      <c r="L513" t="str" cm="1">
        <f t="array" ref="L513">sentimentCategory(K513)</f>
        <v>Positive</v>
      </c>
    </row>
    <row r="514" spans="1:12" x14ac:dyDescent="0.25">
      <c r="A514" t="s">
        <v>2405</v>
      </c>
      <c r="B514" t="s">
        <v>2406</v>
      </c>
      <c r="C514" t="str" cm="1">
        <f t="array" ref="C514">CleanText(B514)</f>
        <v>barbie love you</v>
      </c>
      <c r="D514">
        <v>0</v>
      </c>
      <c r="E514">
        <v>0</v>
      </c>
      <c r="F514" t="s">
        <v>10</v>
      </c>
      <c r="G514" t="str" cm="1">
        <f t="array" ref="G514">FindCountryName(F514)</f>
        <v>None</v>
      </c>
      <c r="H514" s="3">
        <v>45168.538900462961</v>
      </c>
      <c r="I514" s="3">
        <v>45168.538900462961</v>
      </c>
      <c r="J514" s="3">
        <v>45019.387476851851</v>
      </c>
      <c r="K514" cm="1">
        <f t="array" ref="K514">sentimentCalc(C514)</f>
        <v>3</v>
      </c>
      <c r="L514" t="str" cm="1">
        <f t="array" ref="L514">sentimentCategory(K514)</f>
        <v>Positive</v>
      </c>
    </row>
    <row r="515" spans="1:12" x14ac:dyDescent="0.25">
      <c r="A515" t="s">
        <v>1647</v>
      </c>
      <c r="B515" t="s">
        <v>2752</v>
      </c>
      <c r="C515" t="str" cm="1">
        <f t="array" ref="C515">CleanText(B515)</f>
        <v>barbie loves folding</v>
      </c>
      <c r="D515">
        <v>0</v>
      </c>
      <c r="E515">
        <v>0</v>
      </c>
      <c r="F515" t="s">
        <v>10</v>
      </c>
      <c r="G515" t="str" cm="1">
        <f t="array" ref="G515">FindCountryName(F515)</f>
        <v>None</v>
      </c>
      <c r="H515" s="3">
        <v>45158.627893518518</v>
      </c>
      <c r="I515" s="3">
        <v>45158.627893518518</v>
      </c>
      <c r="J515" s="3">
        <v>43166.819085648145</v>
      </c>
      <c r="K515" cm="1">
        <f t="array" ref="K515">sentimentCalc(C515)</f>
        <v>0</v>
      </c>
      <c r="L515" t="str" cm="1">
        <f t="array" ref="L515">sentimentCategory(K515)</f>
        <v>Neutral</v>
      </c>
    </row>
    <row r="516" spans="1:12" x14ac:dyDescent="0.25">
      <c r="A516" t="s">
        <v>331</v>
      </c>
      <c r="B516" t="s">
        <v>2370</v>
      </c>
      <c r="C516" t="str" cm="1">
        <f t="array" ref="C516">CleanText(B516)</f>
        <v>barbie loves ken  this isnt barbie</v>
      </c>
      <c r="D516">
        <v>0</v>
      </c>
      <c r="E516">
        <v>0</v>
      </c>
      <c r="F516" t="s">
        <v>10</v>
      </c>
      <c r="G516" t="str" cm="1">
        <f t="array" ref="G516">FindCountryName(F516)</f>
        <v>None</v>
      </c>
      <c r="H516" s="3">
        <v>45170.270949074074</v>
      </c>
      <c r="I516" s="3">
        <v>45170.270949074074</v>
      </c>
      <c r="J516" s="3">
        <v>44443.611273148148</v>
      </c>
      <c r="K516" cm="1">
        <f t="array" ref="K516">sentimentCalc(C516)</f>
        <v>0</v>
      </c>
      <c r="L516" t="str" cm="1">
        <f t="array" ref="L516">sentimentCategory(K516)</f>
        <v>Neutral</v>
      </c>
    </row>
    <row r="517" spans="1:12" x14ac:dyDescent="0.25">
      <c r="A517" t="s">
        <v>114</v>
      </c>
      <c r="B517" t="s">
        <v>115</v>
      </c>
      <c r="C517" t="str" cm="1">
        <f t="array" ref="C517">CleanText(B517)</f>
        <v>barbie mkemmel bir dizi tavsiye ederim</v>
      </c>
      <c r="D517">
        <v>0</v>
      </c>
      <c r="E517">
        <v>0</v>
      </c>
      <c r="F517" t="s">
        <v>10</v>
      </c>
      <c r="G517" t="str" cm="1">
        <f t="array" ref="G517">FindCountryName(F517)</f>
        <v>None</v>
      </c>
      <c r="H517" s="3">
        <v>45337.480266203704</v>
      </c>
      <c r="I517" s="3">
        <v>45337.480266203704</v>
      </c>
      <c r="J517" s="3">
        <v>43458.638645833336</v>
      </c>
      <c r="K517" cm="1">
        <f t="array" ref="K517">sentimentCalc(C517)</f>
        <v>0</v>
      </c>
      <c r="L517" t="str" cm="1">
        <f t="array" ref="L517">sentimentCategory(K517)</f>
        <v>Neutral</v>
      </c>
    </row>
    <row r="518" spans="1:12" x14ac:dyDescent="0.25">
      <c r="A518" t="s">
        <v>162</v>
      </c>
      <c r="B518" t="s">
        <v>163</v>
      </c>
      <c r="C518" t="str" cm="1">
        <f t="array" ref="C518">CleanText(B518)</f>
        <v>barbie mkemmel bir film izledim gerekten harikayd warner brosu tebrik ederim</v>
      </c>
      <c r="D518">
        <v>0</v>
      </c>
      <c r="E518">
        <v>0</v>
      </c>
      <c r="F518" t="s">
        <v>10</v>
      </c>
      <c r="G518" t="str" cm="1">
        <f t="array" ref="G518">FindCountryName(F518)</f>
        <v>None</v>
      </c>
      <c r="H518" s="3">
        <v>45337.458993055552</v>
      </c>
      <c r="I518" s="3">
        <v>45337.458993055552</v>
      </c>
      <c r="J518" s="3">
        <v>42405.442731481482</v>
      </c>
      <c r="K518" cm="1">
        <f t="array" ref="K518">sentimentCalc(C518)</f>
        <v>0</v>
      </c>
      <c r="L518" t="str" cm="1">
        <f t="array" ref="L518">sentimentCategory(K518)</f>
        <v>Neutral</v>
      </c>
    </row>
    <row r="519" spans="1:12" x14ac:dyDescent="0.25">
      <c r="A519" t="s">
        <v>171</v>
      </c>
      <c r="B519" t="s">
        <v>1378</v>
      </c>
      <c r="C519" t="str" cm="1">
        <f t="array" ref="C519">CleanText(B519)</f>
        <v>barbie made about twice the amount of money than oppenheimer did</v>
      </c>
      <c r="D519">
        <v>3</v>
      </c>
      <c r="E519">
        <v>0</v>
      </c>
      <c r="F519" t="s">
        <v>10</v>
      </c>
      <c r="G519" t="str" cm="1">
        <f t="array" ref="G519">FindCountryName(F519)</f>
        <v>None</v>
      </c>
      <c r="H519" s="3">
        <v>45235.500925925924</v>
      </c>
      <c r="I519" s="3">
        <v>45235.500925925924</v>
      </c>
      <c r="J519" s="3">
        <v>45212.683634259258</v>
      </c>
      <c r="K519" cm="1">
        <f t="array" ref="K519">sentimentCalc(C519)</f>
        <v>0</v>
      </c>
      <c r="L519" t="str" cm="1">
        <f t="array" ref="L519">sentimentCategory(K519)</f>
        <v>Neutral</v>
      </c>
    </row>
    <row r="520" spans="1:12" x14ac:dyDescent="0.25">
      <c r="A520" t="s">
        <v>605</v>
      </c>
      <c r="B520" t="s">
        <v>2188</v>
      </c>
      <c r="C520" t="str" cm="1">
        <f t="array" ref="C520">CleanText(B520)</f>
        <v>barbie movie  a trash movie about politics  femenism and full of woke messages and female empowerment with no actual plotstory babrbie lieves in barbieland  goes to the real world with ken and see how the world really works both go back to barbieland and ken decides that he is more than a puppet to the barbies so he tried to get the respect he deserves by telling the rest of the kens how the real wold works and man are more than just puppets to the babries on the barbieland so he gets houses and cars to himself and other kens  once barbie returns to barbieland and see the changes  barbie descides to take back the control of barbieland among other barbies movie ends with the main barbie pulling a pinocchio story becoming a real woman in the real worldmovie full of woke and femenism with zero plot only showing female empowerment and domesticated man</v>
      </c>
      <c r="D520">
        <v>2</v>
      </c>
      <c r="E520">
        <v>1</v>
      </c>
      <c r="F520" t="s">
        <v>10</v>
      </c>
      <c r="G520" t="str" cm="1">
        <f t="array" ref="G520">FindCountryName(F520)</f>
        <v>None</v>
      </c>
      <c r="H520" s="3">
        <v>45176.592685185184</v>
      </c>
      <c r="I520" s="3">
        <v>45176.592673611114</v>
      </c>
      <c r="J520" s="3">
        <v>41181.440682870372</v>
      </c>
      <c r="K520" cm="1">
        <f t="array" ref="K520">sentimentCalc(C520)</f>
        <v>-1</v>
      </c>
      <c r="L520" t="str" cm="1">
        <f t="array" ref="L520">sentimentCategory(K520)</f>
        <v>Negative</v>
      </c>
    </row>
    <row r="521" spans="1:12" x14ac:dyDescent="0.25">
      <c r="A521" t="s">
        <v>143</v>
      </c>
      <c r="B521" t="s">
        <v>144</v>
      </c>
      <c r="C521" t="str" cm="1">
        <f t="array" ref="C521">CleanText(B521)</f>
        <v>barbie movie is interesting and margot robbies acting is even more wonderful</v>
      </c>
      <c r="D521">
        <v>0</v>
      </c>
      <c r="E521">
        <v>0</v>
      </c>
      <c r="F521" t="s">
        <v>139</v>
      </c>
      <c r="G521" t="str" cm="1">
        <f t="array" ref="G521">FindCountryName(F521)</f>
        <v>Turkey</v>
      </c>
      <c r="H521" s="3">
        <v>45337.461087962962</v>
      </c>
      <c r="I521" s="3">
        <v>45337.461087962962</v>
      </c>
      <c r="J521" s="3">
        <v>44635.628368055557</v>
      </c>
      <c r="K521" cm="1">
        <f t="array" ref="K521">sentimentCalc(C521)</f>
        <v>6</v>
      </c>
      <c r="L521" t="str" cm="1">
        <f t="array" ref="L521">sentimentCategory(K521)</f>
        <v>Positive</v>
      </c>
    </row>
    <row r="522" spans="1:12" x14ac:dyDescent="0.25">
      <c r="A522" t="s">
        <v>459</v>
      </c>
      <c r="B522" t="s">
        <v>1944</v>
      </c>
      <c r="C522" t="str" cm="1">
        <f t="array" ref="C522">CleanText(B522)</f>
        <v>barbie movie is to girls  that free guy is to men</v>
      </c>
      <c r="D522">
        <v>0</v>
      </c>
      <c r="E522">
        <v>0</v>
      </c>
      <c r="F522" t="s">
        <v>10</v>
      </c>
      <c r="G522" t="str" cm="1">
        <f t="array" ref="G522">FindCountryName(F522)</f>
        <v>None</v>
      </c>
      <c r="H522" s="3">
        <v>45187.092638888891</v>
      </c>
      <c r="I522" s="3">
        <v>45187.092638888891</v>
      </c>
      <c r="J522" s="3">
        <v>44769.65960648148</v>
      </c>
      <c r="K522" cm="1">
        <f t="array" ref="K522">sentimentCalc(C522)</f>
        <v>1</v>
      </c>
      <c r="L522" t="str" cm="1">
        <f t="array" ref="L522">sentimentCategory(K522)</f>
        <v>Positive</v>
      </c>
    </row>
    <row r="523" spans="1:12" x14ac:dyDescent="0.25">
      <c r="A523" t="s">
        <v>215</v>
      </c>
      <c r="B523" t="s">
        <v>3592</v>
      </c>
      <c r="C523" t="str" cm="1">
        <f t="array" ref="C523">CleanText(B523)</f>
        <v>barbie outsold</v>
      </c>
      <c r="D523">
        <v>0</v>
      </c>
      <c r="E523">
        <v>0</v>
      </c>
      <c r="F523" t="s">
        <v>10</v>
      </c>
      <c r="G523" t="str" cm="1">
        <f t="array" ref="G523">FindCountryName(F523)</f>
        <v>None</v>
      </c>
      <c r="H523" s="3">
        <v>45147.332812499997</v>
      </c>
      <c r="I523" s="3">
        <v>45147.332812499997</v>
      </c>
      <c r="J523" s="3">
        <v>44497.885127314818</v>
      </c>
      <c r="K523" cm="1">
        <f t="array" ref="K523">sentimentCalc(C523)</f>
        <v>0</v>
      </c>
      <c r="L523" t="str" cm="1">
        <f t="array" ref="L523">sentimentCategory(K523)</f>
        <v>Neutral</v>
      </c>
    </row>
    <row r="524" spans="1:12" x14ac:dyDescent="0.25">
      <c r="A524" t="s">
        <v>241</v>
      </c>
      <c r="B524" t="s">
        <v>3342</v>
      </c>
      <c r="C524" t="str" cm="1">
        <f t="array" ref="C524">CleanText(B524)</f>
        <v>barbie owe dianna and barbie wins the copper penny contest all the jail birds r singing bar bar er anne</v>
      </c>
      <c r="D524">
        <v>0</v>
      </c>
      <c r="E524">
        <v>0</v>
      </c>
      <c r="F524" t="s">
        <v>10</v>
      </c>
      <c r="G524" t="str" cm="1">
        <f t="array" ref="G524">FindCountryName(F524)</f>
        <v>None</v>
      </c>
      <c r="H524" s="3">
        <v>45150.00304398148</v>
      </c>
      <c r="I524" s="3">
        <v>45150.00304398148</v>
      </c>
      <c r="J524" s="3">
        <v>41831.929502314815</v>
      </c>
      <c r="K524" cm="1">
        <f t="array" ref="K524">sentimentCalc(C524)</f>
        <v>4</v>
      </c>
      <c r="L524" t="str" cm="1">
        <f t="array" ref="L524">sentimentCategory(K524)</f>
        <v>Positive</v>
      </c>
    </row>
    <row r="525" spans="1:12" x14ac:dyDescent="0.25">
      <c r="A525" t="s">
        <v>1433</v>
      </c>
      <c r="B525" t="s">
        <v>2185</v>
      </c>
      <c r="C525" t="str" cm="1">
        <f t="array" ref="C525">CleanText(B525)</f>
        <v>barbie resort</v>
      </c>
      <c r="D525">
        <v>0</v>
      </c>
      <c r="E525">
        <v>0</v>
      </c>
      <c r="F525" t="s">
        <v>10</v>
      </c>
      <c r="G525" t="str" cm="1">
        <f t="array" ref="G525">FindCountryName(F525)</f>
        <v>None</v>
      </c>
      <c r="H525" s="3">
        <v>45176.649351851855</v>
      </c>
      <c r="I525" s="3">
        <v>45176.649351851855</v>
      </c>
      <c r="J525" s="3">
        <v>40867.074155092596</v>
      </c>
      <c r="K525" cm="1">
        <f t="array" ref="K525">sentimentCalc(C525)</f>
        <v>0</v>
      </c>
      <c r="L525" t="str" cm="1">
        <f t="array" ref="L525">sentimentCategory(K525)</f>
        <v>Neutral</v>
      </c>
    </row>
    <row r="526" spans="1:12" x14ac:dyDescent="0.25">
      <c r="A526" t="s">
        <v>3327</v>
      </c>
      <c r="B526" t="s">
        <v>3328</v>
      </c>
      <c r="C526" t="str" cm="1">
        <f t="array" ref="C526">CleanText(B526)</f>
        <v>barbie satlar dt tabi ondan byle bir film yaptnz deil mi barbie satlarn arttrmak iinama artk barbie bebekler eskisi kadar gzel deil eskiden hem barbie hem elbiseleri ok gzeldi artk kaliteyi bozdunuz</v>
      </c>
      <c r="D526">
        <v>1</v>
      </c>
      <c r="E526">
        <v>0</v>
      </c>
      <c r="F526" t="s">
        <v>10</v>
      </c>
      <c r="G526" t="str" cm="1">
        <f t="array" ref="G526">FindCountryName(F526)</f>
        <v>None</v>
      </c>
      <c r="H526" s="3">
        <v>45150.280868055554</v>
      </c>
      <c r="I526" s="3">
        <v>45150.280868055554</v>
      </c>
      <c r="J526" s="3">
        <v>43900.849398148152</v>
      </c>
      <c r="K526" cm="1">
        <f t="array" ref="K526">sentimentCalc(C526)</f>
        <v>0</v>
      </c>
      <c r="L526" t="str" cm="1">
        <f t="array" ref="L526">sentimentCategory(K526)</f>
        <v>Neutral</v>
      </c>
    </row>
    <row r="527" spans="1:12" x14ac:dyDescent="0.25">
      <c r="A527" t="s">
        <v>1202</v>
      </c>
      <c r="B527" t="s">
        <v>1203</v>
      </c>
      <c r="C527" t="str" cm="1">
        <f t="array" ref="C527">CleanText(B527)</f>
        <v>barbie should be beautiful and looking like a wow but this girl does not look like a doll</v>
      </c>
      <c r="D527">
        <v>1</v>
      </c>
      <c r="E527">
        <v>0</v>
      </c>
      <c r="F527" t="s">
        <v>10</v>
      </c>
      <c r="G527" t="str" cm="1">
        <f t="array" ref="G527">FindCountryName(F527)</f>
        <v>None</v>
      </c>
      <c r="H527" s="3">
        <v>45276.820717592593</v>
      </c>
      <c r="I527" s="3">
        <v>45276.820717592593</v>
      </c>
      <c r="J527" s="3">
        <v>44250.653819444444</v>
      </c>
      <c r="K527" cm="1">
        <f t="array" ref="K527">sentimentCalc(C527)</f>
        <v>11</v>
      </c>
      <c r="L527" t="str" cm="1">
        <f t="array" ref="L527">sentimentCategory(K527)</f>
        <v>Positive</v>
      </c>
    </row>
    <row r="528" spans="1:12" x14ac:dyDescent="0.25">
      <c r="A528" t="s">
        <v>735</v>
      </c>
      <c r="B528" t="s">
        <v>1672</v>
      </c>
      <c r="C528" t="str" cm="1">
        <f t="array" ref="C528">CleanText(B528)</f>
        <v>barbie stop making vidoes my little brother is sing delete right now</v>
      </c>
      <c r="D528">
        <v>0</v>
      </c>
      <c r="E528">
        <v>0</v>
      </c>
      <c r="F528" t="s">
        <v>10</v>
      </c>
      <c r="G528" t="str" cm="1">
        <f t="array" ref="G528">FindCountryName(F528)</f>
        <v>None</v>
      </c>
      <c r="H528" s="3">
        <v>45203.450300925928</v>
      </c>
      <c r="I528" s="3">
        <v>45203.450300925928</v>
      </c>
      <c r="J528" s="3">
        <v>44688.645902777775</v>
      </c>
      <c r="K528" cm="1">
        <f t="array" ref="K528">sentimentCalc(C528)</f>
        <v>-1</v>
      </c>
      <c r="L528" t="str" cm="1">
        <f t="array" ref="L528">sentimentCategory(K528)</f>
        <v>Negative</v>
      </c>
    </row>
    <row r="529" spans="1:12" x14ac:dyDescent="0.25">
      <c r="A529" t="s">
        <v>1248</v>
      </c>
      <c r="B529" t="s">
        <v>1249</v>
      </c>
      <c r="C529" t="str" cm="1">
        <f t="array" ref="C529">CleanText(B529)</f>
        <v>barbie supports  palestine and mao zedong</v>
      </c>
      <c r="D529">
        <v>1</v>
      </c>
      <c r="E529">
        <v>1</v>
      </c>
      <c r="F529" t="s">
        <v>227</v>
      </c>
      <c r="G529" t="str" cm="1">
        <f t="array" ref="G529">FindCountryName(F529)</f>
        <v>United States of America (the)</v>
      </c>
      <c r="H529" s="3">
        <v>45268.659872685188</v>
      </c>
      <c r="I529" s="3">
        <v>45268.659872685188</v>
      </c>
      <c r="J529" s="3">
        <v>44335.624525462961</v>
      </c>
      <c r="K529" cm="1">
        <f t="array" ref="K529">sentimentCalc(C529)</f>
        <v>2</v>
      </c>
      <c r="L529" t="str" cm="1">
        <f t="array" ref="L529">sentimentCategory(K529)</f>
        <v>Positive</v>
      </c>
    </row>
    <row r="530" spans="1:12" x14ac:dyDescent="0.25">
      <c r="A530" t="s">
        <v>158</v>
      </c>
      <c r="B530" t="s">
        <v>973</v>
      </c>
      <c r="C530" t="str" cm="1">
        <f t="array" ref="C530">CleanText(B530)</f>
        <v>barbie tm kiz ocuklarnin ruyasi</v>
      </c>
      <c r="D530">
        <v>0</v>
      </c>
      <c r="E530">
        <v>0</v>
      </c>
      <c r="F530" t="s">
        <v>10</v>
      </c>
      <c r="G530" t="str" cm="1">
        <f t="array" ref="G530">FindCountryName(F530)</f>
        <v>None</v>
      </c>
      <c r="H530" s="3">
        <v>45299.253969907404</v>
      </c>
      <c r="I530" s="3">
        <v>45299.253969907404</v>
      </c>
      <c r="J530" s="3">
        <v>42711.611203703702</v>
      </c>
      <c r="K530" cm="1">
        <f t="array" ref="K530">sentimentCalc(C530)</f>
        <v>0</v>
      </c>
      <c r="L530" t="str" cm="1">
        <f t="array" ref="L530">sentimentCategory(K530)</f>
        <v>Neutral</v>
      </c>
    </row>
    <row r="531" spans="1:12" x14ac:dyDescent="0.25">
      <c r="A531" t="s">
        <v>195</v>
      </c>
      <c r="B531" t="s">
        <v>1961</v>
      </c>
      <c r="C531" t="str" cm="1">
        <f t="array" ref="C531">CleanText(B531)</f>
        <v>barbie taking care of air</v>
      </c>
      <c r="D531">
        <v>0</v>
      </c>
      <c r="E531">
        <v>0</v>
      </c>
      <c r="F531" t="s">
        <v>10</v>
      </c>
      <c r="G531" t="str" cm="1">
        <f t="array" ref="G531">FindCountryName(F531)</f>
        <v>None</v>
      </c>
      <c r="H531" s="3">
        <v>45186.422673611109</v>
      </c>
      <c r="I531" s="3">
        <v>45186.422662037039</v>
      </c>
      <c r="J531" s="3">
        <v>41769.534513888888</v>
      </c>
      <c r="K531" cm="1">
        <f t="array" ref="K531">sentimentCalc(C531)</f>
        <v>2</v>
      </c>
      <c r="L531" t="str" cm="1">
        <f t="array" ref="L531">sentimentCategory(K531)</f>
        <v>Positive</v>
      </c>
    </row>
    <row r="532" spans="1:12" x14ac:dyDescent="0.25">
      <c r="A532" t="s">
        <v>405</v>
      </c>
      <c r="B532" t="s">
        <v>1973</v>
      </c>
      <c r="C532" t="str" cm="1">
        <f t="array" ref="C532">CleanText(B532)</f>
        <v>barbie wants to live in the real world good luck with that</v>
      </c>
      <c r="D532">
        <v>0</v>
      </c>
      <c r="E532">
        <v>0</v>
      </c>
      <c r="F532" t="s">
        <v>10</v>
      </c>
      <c r="G532" t="str" cm="1">
        <f t="array" ref="G532">FindCountryName(F532)</f>
        <v>None</v>
      </c>
      <c r="H532" s="3">
        <v>45185.685902777775</v>
      </c>
      <c r="I532" s="3">
        <v>45185.685902777775</v>
      </c>
      <c r="J532" s="3">
        <v>45089.69091435185</v>
      </c>
      <c r="K532" cm="1">
        <f t="array" ref="K532">sentimentCalc(C532)</f>
        <v>6</v>
      </c>
      <c r="L532" t="str" cm="1">
        <f t="array" ref="L532">sentimentCategory(K532)</f>
        <v>Positive</v>
      </c>
    </row>
    <row r="533" spans="1:12" x14ac:dyDescent="0.25">
      <c r="A533" t="s">
        <v>1842</v>
      </c>
      <c r="B533" t="s">
        <v>2332</v>
      </c>
      <c r="C533" t="str" cm="1">
        <f t="array" ref="C533">CleanText(B533)</f>
        <v>barbie was literally my whole world when i was very young  and im so happy that they made a film in real life about barbie</v>
      </c>
      <c r="D533">
        <v>14</v>
      </c>
      <c r="E533">
        <v>2</v>
      </c>
      <c r="F533" t="s">
        <v>1151</v>
      </c>
      <c r="G533" t="str" cm="1">
        <f t="array" ref="G533">FindCountryName(F533)</f>
        <v>United Kingdom of Great Britain and Northern Ireland (the)</v>
      </c>
      <c r="H533" s="3">
        <v>45171.785787037035</v>
      </c>
      <c r="I533" s="3">
        <v>45171.785787037035</v>
      </c>
      <c r="J533" s="3">
        <v>44002.54892361111</v>
      </c>
      <c r="K533" cm="1">
        <f t="array" ref="K533">sentimentCalc(C533)</f>
        <v>3</v>
      </c>
      <c r="L533" t="str" cm="1">
        <f t="array" ref="L533">sentimentCategory(K533)</f>
        <v>Positive</v>
      </c>
    </row>
    <row r="534" spans="1:12" x14ac:dyDescent="0.25">
      <c r="A534" t="s">
        <v>1292</v>
      </c>
      <c r="B534" t="s">
        <v>1293</v>
      </c>
      <c r="C534" t="str" cm="1">
        <f t="array" ref="C534">CleanText(B534)</f>
        <v>barbie who is the girl to use by barbie is she emma stone</v>
      </c>
      <c r="D534">
        <v>3</v>
      </c>
      <c r="E534">
        <v>0</v>
      </c>
      <c r="F534" t="s">
        <v>10</v>
      </c>
      <c r="G534" t="str" cm="1">
        <f t="array" ref="G534">FindCountryName(F534)</f>
        <v>None</v>
      </c>
      <c r="H534" s="3">
        <v>45256.627071759256</v>
      </c>
      <c r="I534" s="3">
        <v>45256.627071759256</v>
      </c>
      <c r="J534" s="3">
        <v>45160.679965277777</v>
      </c>
      <c r="K534" cm="1">
        <f t="array" ref="K534">sentimentCalc(C534)</f>
        <v>0</v>
      </c>
      <c r="L534" t="str" cm="1">
        <f t="array" ref="L534">sentimentCategory(K534)</f>
        <v>Neutral</v>
      </c>
    </row>
    <row r="535" spans="1:12" x14ac:dyDescent="0.25">
      <c r="A535" t="s">
        <v>1845</v>
      </c>
      <c r="B535" t="s">
        <v>1846</v>
      </c>
      <c r="C535" t="str" cm="1">
        <f t="array" ref="C535">CleanText(B535)</f>
        <v>barbie will earn oscar nominations in the following categoriesbest picture  margot robbie tom ackerley david heyman and robbie brennerbest director  greta gerwigbest actress  margot robbiebest supporting actor  ryan goslingbest original song  billie eilish finneas andrew watt and mark ronsonbest production design  sarah greenwoodbest costume design  jacqueline durran</v>
      </c>
      <c r="D535">
        <v>1</v>
      </c>
      <c r="E535">
        <v>0</v>
      </c>
      <c r="F535" t="s">
        <v>10</v>
      </c>
      <c r="G535" t="str" cm="1">
        <f t="array" ref="G535">FindCountryName(F535)</f>
        <v>None</v>
      </c>
      <c r="H535" s="3">
        <v>45191.001527777778</v>
      </c>
      <c r="I535" s="3">
        <v>45191.001516203702</v>
      </c>
      <c r="J535" s="3">
        <v>44894.491099537037</v>
      </c>
      <c r="K535" cm="1">
        <f t="array" ref="K535">sentimentCalc(C535)</f>
        <v>1</v>
      </c>
      <c r="L535" t="str" cm="1">
        <f t="array" ref="L535">sentimentCategory(K535)</f>
        <v>Positive</v>
      </c>
    </row>
    <row r="536" spans="1:12" x14ac:dyDescent="0.25">
      <c r="A536" t="s">
        <v>211</v>
      </c>
      <c r="B536" t="s">
        <v>2283</v>
      </c>
      <c r="C536" t="str" cm="1">
        <f t="array" ref="C536">CleanText(B536)</f>
        <v>barbie world with pride lust greed wrath envy just like in the real world while all the adults are competing with one another the babieschildren are forgotten</v>
      </c>
      <c r="D536">
        <v>0</v>
      </c>
      <c r="E536">
        <v>0</v>
      </c>
      <c r="F536" t="s">
        <v>10</v>
      </c>
      <c r="G536" t="str" cm="1">
        <f t="array" ref="G536">FindCountryName(F536)</f>
        <v>None</v>
      </c>
      <c r="H536" s="3">
        <v>45172.850023148145</v>
      </c>
      <c r="I536" s="3">
        <v>45172.850023148145</v>
      </c>
      <c r="J536" s="3">
        <v>41458.222905092596</v>
      </c>
      <c r="K536" cm="1">
        <f t="array" ref="K536">sentimentCalc(C536)</f>
        <v>-3</v>
      </c>
      <c r="L536" t="str" cm="1">
        <f t="array" ref="L536">sentimentCategory(K536)</f>
        <v>Negative</v>
      </c>
    </row>
    <row r="537" spans="1:12" x14ac:dyDescent="0.25">
      <c r="A537" t="s">
        <v>372</v>
      </c>
      <c r="B537" t="s">
        <v>4392</v>
      </c>
      <c r="C537" t="str" cm="1">
        <f t="array" ref="C537">CleanText(B537)</f>
        <v>barbie x oppenheimer</v>
      </c>
      <c r="D537">
        <v>0</v>
      </c>
      <c r="E537">
        <v>5</v>
      </c>
      <c r="F537" t="s">
        <v>10</v>
      </c>
      <c r="G537" t="str" cm="1">
        <f t="array" ref="G537">FindCountryName(F537)</f>
        <v>None</v>
      </c>
      <c r="H537" s="3">
        <v>45140.495243055557</v>
      </c>
      <c r="I537" s="3">
        <v>45140.495243055557</v>
      </c>
      <c r="J537" s="3">
        <v>44274.513715277775</v>
      </c>
      <c r="K537" cm="1">
        <f t="array" ref="K537">sentimentCalc(C537)</f>
        <v>0</v>
      </c>
      <c r="L537" t="str" cm="1">
        <f t="array" ref="L537">sentimentCategory(K537)</f>
        <v>Neutral</v>
      </c>
    </row>
    <row r="538" spans="1:12" x14ac:dyDescent="0.25">
      <c r="A538" t="s">
        <v>261</v>
      </c>
      <c r="B538" t="s">
        <v>1691</v>
      </c>
      <c r="C538" t="str" cm="1">
        <f t="array" ref="C538">CleanText(B538)</f>
        <v>barbie x oppenheimerwine pon you x little dark age scene</v>
      </c>
      <c r="D538">
        <v>0</v>
      </c>
      <c r="E538">
        <v>0</v>
      </c>
      <c r="F538" t="s">
        <v>10</v>
      </c>
      <c r="G538" t="str" cm="1">
        <f t="array" ref="G538">FindCountryName(F538)</f>
        <v>None</v>
      </c>
      <c r="H538" s="3">
        <v>45201.57371527778</v>
      </c>
      <c r="I538" s="3">
        <v>45201.57371527778</v>
      </c>
      <c r="J538" s="3">
        <v>45129.592546296299</v>
      </c>
      <c r="K538" cm="1">
        <f t="array" ref="K538">sentimentCalc(C538)</f>
        <v>0</v>
      </c>
      <c r="L538" t="str" cm="1">
        <f t="array" ref="L538">sentimentCategory(K538)</f>
        <v>Neutral</v>
      </c>
    </row>
    <row r="539" spans="1:12" x14ac:dyDescent="0.25">
      <c r="A539" t="s">
        <v>1692</v>
      </c>
      <c r="B539" t="s">
        <v>1694</v>
      </c>
      <c r="C539" t="str" cm="1">
        <f t="array" ref="C539">CleanText(B539)</f>
        <v>barbie your house is so nice pink colour my bast bast bast colour is pink</v>
      </c>
      <c r="D539">
        <v>0</v>
      </c>
      <c r="E539">
        <v>0</v>
      </c>
      <c r="F539" t="s">
        <v>10</v>
      </c>
      <c r="G539" t="str" cm="1">
        <f t="array" ref="G539">FindCountryName(F539)</f>
        <v>None</v>
      </c>
      <c r="H539" s="3">
        <v>45201.346400462964</v>
      </c>
      <c r="I539" s="3">
        <v>45201.346400462964</v>
      </c>
      <c r="J539" s="3">
        <v>45197.171481481484</v>
      </c>
      <c r="K539" cm="1">
        <f t="array" ref="K539">sentimentCalc(C539)</f>
        <v>3</v>
      </c>
      <c r="L539" t="str" cm="1">
        <f t="array" ref="L539">sentimentCategory(K539)</f>
        <v>Positive</v>
      </c>
    </row>
    <row r="540" spans="1:12" x14ac:dyDescent="0.25">
      <c r="A540" t="s">
        <v>351</v>
      </c>
      <c r="B540" t="s">
        <v>352</v>
      </c>
      <c r="C540" t="str" cm="1">
        <f t="array" ref="C540">CleanText(B540)</f>
        <v>barbie i wish i could experience it in the cinema again and its really impressive</v>
      </c>
      <c r="D540">
        <v>0</v>
      </c>
      <c r="E540">
        <v>0</v>
      </c>
      <c r="F540" t="s">
        <v>10</v>
      </c>
      <c r="G540" t="str" cm="1">
        <f t="array" ref="G540">FindCountryName(F540)</f>
        <v>None</v>
      </c>
      <c r="H540" s="3">
        <v>45322.276562500003</v>
      </c>
      <c r="I540" s="3">
        <v>45322.276562500003</v>
      </c>
      <c r="J540" s="3">
        <v>45294.338796296295</v>
      </c>
      <c r="K540" cm="1">
        <f t="array" ref="K540">sentimentCalc(C540)</f>
        <v>4</v>
      </c>
      <c r="L540" t="str" cm="1">
        <f t="array" ref="L540">sentimentCategory(K540)</f>
        <v>Positive</v>
      </c>
    </row>
    <row r="541" spans="1:12" x14ac:dyDescent="0.25">
      <c r="A541" t="s">
        <v>843</v>
      </c>
      <c r="B541" t="s">
        <v>844</v>
      </c>
      <c r="C541" t="str" cm="1">
        <f t="array" ref="C541">CleanText(B541)</f>
        <v>barbie is the first film to ever win the golden globe for cinematic and box office achievement</v>
      </c>
      <c r="D541">
        <v>5</v>
      </c>
      <c r="E541">
        <v>0</v>
      </c>
      <c r="F541" t="s">
        <v>845</v>
      </c>
      <c r="G541" t="str" cm="1">
        <f t="array" ref="G541">FindCountryName(F541)</f>
        <v>Australia</v>
      </c>
      <c r="H541" s="3">
        <v>45301.187106481484</v>
      </c>
      <c r="I541" s="3">
        <v>45301.187106481484</v>
      </c>
      <c r="J541" s="3">
        <v>43982.789409722223</v>
      </c>
      <c r="K541" cm="1">
        <f t="array" ref="K541">sentimentCalc(C541)</f>
        <v>4</v>
      </c>
      <c r="L541" t="str" cm="1">
        <f t="array" ref="L541">sentimentCategory(K541)</f>
        <v>Positive</v>
      </c>
    </row>
    <row r="542" spans="1:12" x14ac:dyDescent="0.25">
      <c r="A542" t="s">
        <v>1267</v>
      </c>
      <c r="B542" t="s">
        <v>3540</v>
      </c>
      <c r="C542" t="str" cm="1">
        <f t="array" ref="C542">CleanText(B542)</f>
        <v>barbie no its name should be pinky</v>
      </c>
      <c r="D542">
        <v>0</v>
      </c>
      <c r="E542">
        <v>0</v>
      </c>
      <c r="F542" t="s">
        <v>10</v>
      </c>
      <c r="G542" t="str" cm="1">
        <f t="array" ref="G542">FindCountryName(F542)</f>
        <v>None</v>
      </c>
      <c r="H542" s="3">
        <v>45147.680717592593</v>
      </c>
      <c r="I542" s="3">
        <v>45147.680717592593</v>
      </c>
      <c r="J542" s="3">
        <v>42274.191296296296</v>
      </c>
      <c r="K542" cm="1">
        <f t="array" ref="K542">sentimentCalc(C542)</f>
        <v>-1</v>
      </c>
      <c r="L542" t="str" cm="1">
        <f t="array" ref="L542">sentimentCategory(K542)</f>
        <v>Negative</v>
      </c>
    </row>
    <row r="543" spans="1:12" x14ac:dyDescent="0.25">
      <c r="A543" t="s">
        <v>1170</v>
      </c>
      <c r="B543" t="s">
        <v>1171</v>
      </c>
      <c r="C543" t="str" cm="1">
        <f t="array" ref="C543">CleanText(B543)</f>
        <v>barbie sucks</v>
      </c>
      <c r="D543">
        <v>2</v>
      </c>
      <c r="E543">
        <v>3</v>
      </c>
      <c r="F543" t="s">
        <v>10</v>
      </c>
      <c r="G543" t="str" cm="1">
        <f t="array" ref="G543">FindCountryName(F543)</f>
        <v>None</v>
      </c>
      <c r="H543" s="3">
        <v>45281.154131944444</v>
      </c>
      <c r="I543" s="3">
        <v>45281.154131944444</v>
      </c>
      <c r="J543" s="3">
        <v>44045.367939814816</v>
      </c>
      <c r="K543" cm="1">
        <f t="array" ref="K543">sentimentCalc(C543)</f>
        <v>-3</v>
      </c>
      <c r="L543" t="str" cm="1">
        <f t="array" ref="L543">sentimentCategory(K543)</f>
        <v>Negative</v>
      </c>
    </row>
    <row r="544" spans="1:12" x14ac:dyDescent="0.25">
      <c r="A544" t="s">
        <v>60</v>
      </c>
      <c r="B544" t="s">
        <v>864</v>
      </c>
      <c r="C544" t="str" cm="1">
        <f t="array" ref="C544">CleanText(B544)</f>
        <v>barbie ok gzel</v>
      </c>
      <c r="D544">
        <v>1</v>
      </c>
      <c r="E544">
        <v>0</v>
      </c>
      <c r="F544" t="s">
        <v>10</v>
      </c>
      <c r="G544" t="str" cm="1">
        <f t="array" ref="G544">FindCountryName(F544)</f>
        <v>None</v>
      </c>
      <c r="H544" s="3">
        <v>45299.636192129627</v>
      </c>
      <c r="I544" s="3">
        <v>45299.636192129627</v>
      </c>
      <c r="J544" s="3">
        <v>42889.712604166663</v>
      </c>
      <c r="K544" cm="1">
        <f t="array" ref="K544">sentimentCalc(C544)</f>
        <v>0</v>
      </c>
      <c r="L544" t="str" cm="1">
        <f t="array" ref="L544">sentimentCategory(K544)</f>
        <v>Neutral</v>
      </c>
    </row>
    <row r="545" spans="1:12" x14ac:dyDescent="0.25">
      <c r="A545" t="s">
        <v>817</v>
      </c>
      <c r="B545" t="s">
        <v>3171</v>
      </c>
      <c r="C545" t="str" cm="1">
        <f t="array" ref="C545">CleanText(B545)</f>
        <v>barbie movie connor hoppy katy perry last vegas play resorts wood</v>
      </c>
      <c r="D545">
        <v>1</v>
      </c>
      <c r="E545">
        <v>0</v>
      </c>
      <c r="F545" t="s">
        <v>10</v>
      </c>
      <c r="G545" t="str" cm="1">
        <f t="array" ref="G545">FindCountryName(F545)</f>
        <v>None</v>
      </c>
      <c r="H545" s="3">
        <v>45152.435810185183</v>
      </c>
      <c r="I545" s="3">
        <v>45152.435798611114</v>
      </c>
      <c r="J545" s="3">
        <v>44159.380902777775</v>
      </c>
      <c r="K545" cm="1">
        <f t="array" ref="K545">sentimentCalc(C545)</f>
        <v>0</v>
      </c>
      <c r="L545" t="str" cm="1">
        <f t="array" ref="L545">sentimentCategory(K545)</f>
        <v>Neutral</v>
      </c>
    </row>
    <row r="546" spans="1:12" x14ac:dyDescent="0.25">
      <c r="A546" t="s">
        <v>213</v>
      </c>
      <c r="B546" t="s">
        <v>3166</v>
      </c>
      <c r="C546" t="str" cm="1">
        <f t="array" ref="C546">CleanText(B546)</f>
        <v>barbie no thanks</v>
      </c>
      <c r="D546">
        <v>1</v>
      </c>
      <c r="E546">
        <v>0</v>
      </c>
      <c r="F546" t="s">
        <v>10</v>
      </c>
      <c r="G546" t="str" cm="1">
        <f t="array" ref="G546">FindCountryName(F546)</f>
        <v>None</v>
      </c>
      <c r="H546" s="3">
        <v>45152.504664351851</v>
      </c>
      <c r="I546" s="3">
        <v>45152.504652777781</v>
      </c>
      <c r="J546" s="3">
        <v>42927.820138888892</v>
      </c>
      <c r="K546" cm="1">
        <f t="array" ref="K546">sentimentCalc(C546)</f>
        <v>1</v>
      </c>
      <c r="L546" t="str" cm="1">
        <f t="array" ref="L546">sentimentCategory(K546)</f>
        <v>Positive</v>
      </c>
    </row>
    <row r="547" spans="1:12" x14ac:dyDescent="0.25">
      <c r="A547" t="s">
        <v>345</v>
      </c>
      <c r="B547" t="s">
        <v>2399</v>
      </c>
      <c r="C547" t="str" cm="1">
        <f t="array" ref="C547">CleanText(B547)</f>
        <v>barbies film reviewtheres more than meets the eye in this wellmade movie the chosen actors were perfect for their roles i loved the protagonist and the kensas opposed to our bible story barbie came first then ken i love that ideain the barbie world everything is perfect pretty and pink but to me it is too plastic and fake barbie and ken travel to explore the real world she becomes disappointed and saddened she experiences emotion a tear appears on her cheek ken on the other hand loves seeing the power and the control that men have over women and brings back these ideas into the barbie worldthe barbies referring to womens lib fight the kens and regain the order of their world barbie however feels different after visiting the real world she asks permission from her creator to go back and become humanat the end of the movie barbie now barbara is back in the world visiting a gynecologist she might be having a baby she has fully accepted the human condition with all its ups and downs and imperfectionsmoral of the storythe movie sends several messages to reconsider american values  theres nothing bad about aiming for perfection we are all different and nobody is perfect but we can aspire to be the best version of ourselves as for the kens they really need to go and find themselves</v>
      </c>
      <c r="D547">
        <v>0</v>
      </c>
      <c r="E547">
        <v>0</v>
      </c>
      <c r="F547" t="s">
        <v>10</v>
      </c>
      <c r="G547" t="str" cm="1">
        <f t="array" ref="G547">FindCountryName(F547)</f>
        <v>None</v>
      </c>
      <c r="H547" s="3">
        <v>45168.79247685185</v>
      </c>
      <c r="I547" s="3">
        <v>45168.79247685185</v>
      </c>
      <c r="J547" s="3">
        <v>41862.823981481481</v>
      </c>
      <c r="K547" cm="1">
        <f t="array" ref="K547">sentimentCalc(C547)</f>
        <v>9</v>
      </c>
      <c r="L547" t="str" cm="1">
        <f t="array" ref="L547">sentimentCategory(K547)</f>
        <v>Positive</v>
      </c>
    </row>
    <row r="548" spans="1:12" x14ac:dyDescent="0.25">
      <c r="A548" t="s">
        <v>32</v>
      </c>
      <c r="B548" t="s">
        <v>33</v>
      </c>
      <c r="C548" t="str" cm="1">
        <f t="array" ref="C548">CleanText(B548)</f>
        <v>barbie</v>
      </c>
      <c r="D548">
        <v>0</v>
      </c>
      <c r="E548">
        <v>0</v>
      </c>
      <c r="F548" t="s">
        <v>10</v>
      </c>
      <c r="G548" t="str" cm="1">
        <f t="array" ref="G548">FindCountryName(F548)</f>
        <v>None</v>
      </c>
      <c r="H548" s="3">
        <v>45347.644571759258</v>
      </c>
      <c r="I548" s="3">
        <v>45347.644571759258</v>
      </c>
      <c r="J548" s="3">
        <v>42788.025590277779</v>
      </c>
      <c r="K548" cm="1">
        <f t="array" ref="K548">sentimentCalc(C548)</f>
        <v>0</v>
      </c>
      <c r="L548" t="str" cm="1">
        <f t="array" ref="L548">sentimentCategory(K548)</f>
        <v>Neutral</v>
      </c>
    </row>
    <row r="549" spans="1:12" x14ac:dyDescent="0.25">
      <c r="A549" t="s">
        <v>1270</v>
      </c>
      <c r="B549" t="s">
        <v>1272</v>
      </c>
      <c r="C549" t="str" cm="1">
        <f t="array" ref="C549">CleanText(B549)</f>
        <v>barbiedo you guys ever think about dyingeveryone stares at herchuckyim already dead so were all thinking about dying</v>
      </c>
      <c r="D549">
        <v>0</v>
      </c>
      <c r="E549">
        <v>0</v>
      </c>
      <c r="F549" t="s">
        <v>10</v>
      </c>
      <c r="G549" t="str" cm="1">
        <f t="array" ref="G549">FindCountryName(F549)</f>
        <v>None</v>
      </c>
      <c r="H549" s="3">
        <v>45261.648263888892</v>
      </c>
      <c r="I549" s="3">
        <v>45261.648263888892</v>
      </c>
      <c r="J549" s="3">
        <v>45102.760787037034</v>
      </c>
      <c r="K549" cm="1">
        <f t="array" ref="K549">sentimentCalc(C549)</f>
        <v>-3</v>
      </c>
      <c r="L549" t="str" cm="1">
        <f t="array" ref="L549">sentimentCategory(K549)</f>
        <v>Negative</v>
      </c>
    </row>
    <row r="550" spans="1:12" x14ac:dyDescent="0.25">
      <c r="A550" t="s">
        <v>114</v>
      </c>
      <c r="B550" t="s">
        <v>2689</v>
      </c>
      <c r="C550" t="str" cm="1">
        <f t="array" ref="C550">CleanText(B550)</f>
        <v>barbie</v>
      </c>
      <c r="D550">
        <v>0</v>
      </c>
      <c r="E550">
        <v>0</v>
      </c>
      <c r="F550" t="s">
        <v>10</v>
      </c>
      <c r="G550" t="str" cm="1">
        <f t="array" ref="G550">FindCountryName(F550)</f>
        <v>None</v>
      </c>
      <c r="H550" s="3">
        <v>45160.103113425925</v>
      </c>
      <c r="I550" s="3">
        <v>45160.103113425925</v>
      </c>
      <c r="J550" s="3">
        <v>44182.40488425926</v>
      </c>
      <c r="K550" cm="1">
        <f t="array" ref="K550">sentimentCalc(C550)</f>
        <v>0</v>
      </c>
      <c r="L550" t="str" cm="1">
        <f t="array" ref="L550">sentimentCategory(K550)</f>
        <v>Neutral</v>
      </c>
    </row>
    <row r="551" spans="1:12" x14ac:dyDescent="0.25">
      <c r="A551" t="s">
        <v>3621</v>
      </c>
      <c r="B551" t="s">
        <v>3622</v>
      </c>
      <c r="C551" t="str" cm="1">
        <f t="array" ref="C551">CleanText(B551)</f>
        <v>barbieopennheimer</v>
      </c>
      <c r="D551">
        <v>0</v>
      </c>
      <c r="E551">
        <v>0</v>
      </c>
      <c r="F551" t="s">
        <v>3623</v>
      </c>
      <c r="G551" t="str" cm="1">
        <f t="array" ref="G551">FindCountryName(F551)</f>
        <v>Belarus</v>
      </c>
      <c r="H551" s="3">
        <v>45147.037303240744</v>
      </c>
      <c r="I551" s="3">
        <v>45147.037303240744</v>
      </c>
      <c r="J551" s="3">
        <v>44588.856365740743</v>
      </c>
      <c r="K551" cm="1">
        <f t="array" ref="K551">sentimentCalc(C551)</f>
        <v>0</v>
      </c>
      <c r="L551" t="str" cm="1">
        <f t="array" ref="L551">sentimentCategory(K551)</f>
        <v>Neutral</v>
      </c>
    </row>
    <row r="552" spans="1:12" x14ac:dyDescent="0.25">
      <c r="A552" t="s">
        <v>2988</v>
      </c>
      <c r="B552" t="s">
        <v>3799</v>
      </c>
      <c r="C552" t="str" cm="1">
        <f t="array" ref="C552">CleanText(B552)</f>
        <v>barbieheimer</v>
      </c>
      <c r="D552">
        <v>3</v>
      </c>
      <c r="E552">
        <v>0</v>
      </c>
      <c r="F552" t="s">
        <v>10</v>
      </c>
      <c r="G552" t="str" cm="1">
        <f t="array" ref="G552">FindCountryName(F552)</f>
        <v>None</v>
      </c>
      <c r="H552" s="3">
        <v>45145.412546296298</v>
      </c>
      <c r="I552" s="3">
        <v>45145.412546296298</v>
      </c>
      <c r="J552" s="3">
        <v>42138.179976851854</v>
      </c>
      <c r="K552" cm="1">
        <f t="array" ref="K552">sentimentCalc(C552)</f>
        <v>0</v>
      </c>
      <c r="L552" t="str" cm="1">
        <f t="array" ref="L552">sentimentCategory(K552)</f>
        <v>Neutral</v>
      </c>
    </row>
    <row r="553" spans="1:12" x14ac:dyDescent="0.25">
      <c r="A553" t="s">
        <v>3881</v>
      </c>
      <c r="B553" t="s">
        <v>3882</v>
      </c>
      <c r="C553" t="str" cm="1">
        <f t="array" ref="C553">CleanText(B553)</f>
        <v>barbieheimer nuke town</v>
      </c>
      <c r="D553">
        <v>1</v>
      </c>
      <c r="E553">
        <v>0</v>
      </c>
      <c r="F553" t="s">
        <v>10</v>
      </c>
      <c r="G553" t="str" cm="1">
        <f t="array" ref="G553">FindCountryName(F553)</f>
        <v>None</v>
      </c>
      <c r="H553" s="3">
        <v>45144.745011574072</v>
      </c>
      <c r="I553" s="3">
        <v>45144.745011574072</v>
      </c>
      <c r="J553" s="3">
        <v>42732.556423611109</v>
      </c>
      <c r="K553" cm="1">
        <f t="array" ref="K553">sentimentCalc(C553)</f>
        <v>0</v>
      </c>
      <c r="L553" t="str" cm="1">
        <f t="array" ref="L553">sentimentCategory(K553)</f>
        <v>Neutral</v>
      </c>
    </row>
    <row r="554" spans="1:12" x14ac:dyDescent="0.25">
      <c r="A554" t="s">
        <v>2850</v>
      </c>
      <c r="B554" t="s">
        <v>2852</v>
      </c>
      <c r="C554" t="str" cm="1">
        <f t="array" ref="C554">CleanText(B554)</f>
        <v>barbiesende el mnim barbime</v>
      </c>
      <c r="D554">
        <v>0</v>
      </c>
      <c r="E554">
        <v>0</v>
      </c>
      <c r="F554" t="s">
        <v>10</v>
      </c>
      <c r="G554" t="str" cm="1">
        <f t="array" ref="G554">FindCountryName(F554)</f>
        <v>None</v>
      </c>
      <c r="H554" s="3">
        <v>45156.843912037039</v>
      </c>
      <c r="I554" s="3">
        <v>45156.843912037039</v>
      </c>
      <c r="J554" s="3">
        <v>45124.740451388891</v>
      </c>
      <c r="K554" cm="1">
        <f t="array" ref="K554">sentimentCalc(C554)</f>
        <v>0</v>
      </c>
      <c r="L554" t="str" cm="1">
        <f t="array" ref="L554">sentimentCategory(K554)</f>
        <v>Neutral</v>
      </c>
    </row>
    <row r="555" spans="1:12" x14ac:dyDescent="0.25">
      <c r="A555" t="s">
        <v>1082</v>
      </c>
      <c r="B555" t="s">
        <v>3616</v>
      </c>
      <c r="C555" t="str" cm="1">
        <f t="array" ref="C555">CleanText(B555)</f>
        <v>barbillion  let the haters hate</v>
      </c>
      <c r="D555">
        <v>2</v>
      </c>
      <c r="E555">
        <v>0</v>
      </c>
      <c r="F555" t="s">
        <v>10</v>
      </c>
      <c r="G555" t="str" cm="1">
        <f t="array" ref="G555">FindCountryName(F555)</f>
        <v>None</v>
      </c>
      <c r="H555" s="3">
        <v>45147.077175925922</v>
      </c>
      <c r="I555" s="3">
        <v>45147.077175925922</v>
      </c>
      <c r="J555" s="3">
        <v>41679.753692129627</v>
      </c>
      <c r="K555" cm="1">
        <f t="array" ref="K555">sentimentCalc(C555)</f>
        <v>-6</v>
      </c>
      <c r="L555" t="str" cm="1">
        <f t="array" ref="L555">sentimentCategory(K555)</f>
        <v>Negative</v>
      </c>
    </row>
    <row r="556" spans="1:12" x14ac:dyDescent="0.25">
      <c r="A556" t="s">
        <v>2052</v>
      </c>
      <c r="B556" t="s">
        <v>2053</v>
      </c>
      <c r="C556" t="str" cm="1">
        <f t="array" ref="C556">CleanText(B556)</f>
        <v>based antifeminist movie it just reached the point that its obviously satire</v>
      </c>
      <c r="D556">
        <v>0</v>
      </c>
      <c r="E556">
        <v>7</v>
      </c>
      <c r="F556" t="s">
        <v>1611</v>
      </c>
      <c r="G556" t="str" cm="1">
        <f t="array" ref="G556">FindCountryName(F556)</f>
        <v>Azerbaijan</v>
      </c>
      <c r="H556" s="3">
        <v>45182.611168981479</v>
      </c>
      <c r="I556" s="3">
        <v>45182.611168981479</v>
      </c>
      <c r="J556" s="3">
        <v>45137.580960648149</v>
      </c>
      <c r="K556" cm="1">
        <f t="array" ref="K556">sentimentCalc(C556)</f>
        <v>1</v>
      </c>
      <c r="L556" t="str" cm="1">
        <f t="array" ref="L556">sentimentCategory(K556)</f>
        <v>Positive</v>
      </c>
    </row>
    <row r="557" spans="1:12" x14ac:dyDescent="0.25">
      <c r="A557" t="s">
        <v>2161</v>
      </c>
      <c r="B557" t="s">
        <v>2162</v>
      </c>
      <c r="C557" t="str" cm="1">
        <f t="array" ref="C557">CleanText(B557)</f>
        <v>based on what ive seen it might have a future in broadway too</v>
      </c>
      <c r="D557">
        <v>1</v>
      </c>
      <c r="E557">
        <v>0</v>
      </c>
      <c r="F557" t="s">
        <v>10</v>
      </c>
      <c r="G557" t="str" cm="1">
        <f t="array" ref="G557">FindCountryName(F557)</f>
        <v>None</v>
      </c>
      <c r="H557" s="3">
        <v>45177.505324074074</v>
      </c>
      <c r="I557" s="3">
        <v>45177.505324074074</v>
      </c>
      <c r="J557" s="3">
        <v>38940.557662037034</v>
      </c>
      <c r="K557" cm="1">
        <f t="array" ref="K557">sentimentCalc(C557)</f>
        <v>0</v>
      </c>
      <c r="L557" t="str" cm="1">
        <f t="array" ref="L557">sentimentCategory(K557)</f>
        <v>Neutral</v>
      </c>
    </row>
    <row r="558" spans="1:12" x14ac:dyDescent="0.25">
      <c r="A558" t="s">
        <v>523</v>
      </c>
      <c r="B558" t="s">
        <v>1773</v>
      </c>
      <c r="C558" t="str" cm="1">
        <f t="array" ref="C558">CleanText(B558)</f>
        <v>bastante pontos positivos no filme que so extremamente importantes</v>
      </c>
      <c r="D558">
        <v>0</v>
      </c>
      <c r="E558">
        <v>0</v>
      </c>
      <c r="F558" t="s">
        <v>10</v>
      </c>
      <c r="G558" t="str" cm="1">
        <f t="array" ref="G558">FindCountryName(F558)</f>
        <v>None</v>
      </c>
      <c r="H558" s="3">
        <v>45196.276944444442</v>
      </c>
      <c r="I558" s="3">
        <v>45196.276944444442</v>
      </c>
      <c r="J558" s="3">
        <v>45195.670706018522</v>
      </c>
      <c r="K558" cm="1">
        <f t="array" ref="K558">sentimentCalc(C558)</f>
        <v>-1</v>
      </c>
      <c r="L558" t="str" cm="1">
        <f t="array" ref="L558">sentimentCategory(K558)</f>
        <v>Negative</v>
      </c>
    </row>
    <row r="559" spans="1:12" x14ac:dyDescent="0.25">
      <c r="A559" t="s">
        <v>2101</v>
      </c>
      <c r="B559" t="s">
        <v>2102</v>
      </c>
      <c r="C559" t="str" cm="1">
        <f t="array" ref="C559">CleanText(B559)</f>
        <v>battlefield hollywood by little light ministries about the film industry powerful unmissable watch enjoy</v>
      </c>
      <c r="D559">
        <v>0</v>
      </c>
      <c r="E559">
        <v>0</v>
      </c>
      <c r="F559" t="s">
        <v>10</v>
      </c>
      <c r="G559" t="str" cm="1">
        <f t="array" ref="G559">FindCountryName(F559)</f>
        <v>None</v>
      </c>
      <c r="H559" s="3">
        <v>45180.664189814815</v>
      </c>
      <c r="I559" s="3">
        <v>45180.664189814815</v>
      </c>
      <c r="J559" s="3">
        <v>44990.740636574075</v>
      </c>
      <c r="K559" cm="1">
        <f t="array" ref="K559">sentimentCalc(C559)</f>
        <v>4</v>
      </c>
      <c r="L559" t="str" cm="1">
        <f t="array" ref="L559">sentimentCategory(K559)</f>
        <v>Positive</v>
      </c>
    </row>
    <row r="560" spans="1:12" x14ac:dyDescent="0.25">
      <c r="A560" t="s">
        <v>126</v>
      </c>
      <c r="B560" t="s">
        <v>127</v>
      </c>
      <c r="C560" t="str" cm="1">
        <f t="array" ref="C560">CleanText(B560)</f>
        <v>baylyorum bu film e</v>
      </c>
      <c r="D560">
        <v>0</v>
      </c>
      <c r="E560">
        <v>0</v>
      </c>
      <c r="F560" t="s">
        <v>10</v>
      </c>
      <c r="G560" t="str" cm="1">
        <f t="array" ref="G560">FindCountryName(F560)</f>
        <v>None</v>
      </c>
      <c r="H560" s="3">
        <v>45337.463784722226</v>
      </c>
      <c r="I560" s="3">
        <v>45337.463784722226</v>
      </c>
      <c r="J560" s="3">
        <v>44212.314976851849</v>
      </c>
      <c r="K560" cm="1">
        <f t="array" ref="K560">sentimentCalc(C560)</f>
        <v>0</v>
      </c>
      <c r="L560" t="str" cm="1">
        <f t="array" ref="L560">sentimentCategory(K560)</f>
        <v>Neutral</v>
      </c>
    </row>
    <row r="561" spans="1:12" x14ac:dyDescent="0.25">
      <c r="A561" t="s">
        <v>469</v>
      </c>
      <c r="B561" t="s">
        <v>470</v>
      </c>
      <c r="C561" t="str" cm="1">
        <f t="array" ref="C561">CleanText(B561)</f>
        <v>bayldm harika bir filmdi fragmani da mthi</v>
      </c>
      <c r="D561">
        <v>0</v>
      </c>
      <c r="E561">
        <v>0</v>
      </c>
      <c r="F561" t="s">
        <v>139</v>
      </c>
      <c r="G561" t="str" cm="1">
        <f t="array" ref="G561">FindCountryName(F561)</f>
        <v>Turkey</v>
      </c>
      <c r="H561" s="3">
        <v>45322.270972222221</v>
      </c>
      <c r="I561" s="3">
        <v>45322.270972222221</v>
      </c>
      <c r="J561" s="3">
        <v>42758.514525462961</v>
      </c>
      <c r="K561" cm="1">
        <f t="array" ref="K561">sentimentCalc(C561)</f>
        <v>0</v>
      </c>
      <c r="L561" t="str" cm="1">
        <f t="array" ref="L561">sentimentCategory(K561)</f>
        <v>Neutral</v>
      </c>
    </row>
    <row r="562" spans="1:12" x14ac:dyDescent="0.25">
      <c r="A562" t="s">
        <v>387</v>
      </c>
      <c r="B562" t="s">
        <v>388</v>
      </c>
      <c r="C562" t="str" cm="1">
        <f t="array" ref="C562">CleanText(B562)</f>
        <v>bayaa elenceli tek kelimeyle bayldm</v>
      </c>
      <c r="D562">
        <v>0</v>
      </c>
      <c r="E562">
        <v>0</v>
      </c>
      <c r="F562" t="s">
        <v>10</v>
      </c>
      <c r="G562" t="str" cm="1">
        <f t="array" ref="G562">FindCountryName(F562)</f>
        <v>None</v>
      </c>
      <c r="H562" s="3">
        <v>45322.273113425923</v>
      </c>
      <c r="I562" s="3">
        <v>45322.273113425923</v>
      </c>
      <c r="J562" s="3">
        <v>42054.288101851853</v>
      </c>
      <c r="K562" cm="1">
        <f t="array" ref="K562">sentimentCalc(C562)</f>
        <v>0</v>
      </c>
      <c r="L562" t="str" cm="1">
        <f t="array" ref="L562">sentimentCategory(K562)</f>
        <v>Neutral</v>
      </c>
    </row>
    <row r="563" spans="1:12" x14ac:dyDescent="0.25">
      <c r="A563" t="s">
        <v>387</v>
      </c>
      <c r="B563" t="s">
        <v>687</v>
      </c>
      <c r="C563" t="str" cm="1">
        <f t="array" ref="C563">CleanText(B563)</f>
        <v>baya iyi</v>
      </c>
      <c r="D563">
        <v>0</v>
      </c>
      <c r="E563">
        <v>0</v>
      </c>
      <c r="F563" t="s">
        <v>139</v>
      </c>
      <c r="G563" t="str" cm="1">
        <f t="array" ref="G563">FindCountryName(F563)</f>
        <v>Turkey</v>
      </c>
      <c r="H563" s="3">
        <v>45314.27140046296</v>
      </c>
      <c r="I563" s="3">
        <v>45314.27140046296</v>
      </c>
      <c r="J563" s="3">
        <v>43795.461562500001</v>
      </c>
      <c r="K563" cm="1">
        <f t="array" ref="K563">sentimentCalc(C563)</f>
        <v>0</v>
      </c>
      <c r="L563" t="str" cm="1">
        <f t="array" ref="L563">sentimentCategory(K563)</f>
        <v>Neutral</v>
      </c>
    </row>
    <row r="564" spans="1:12" x14ac:dyDescent="0.25">
      <c r="A564" t="s">
        <v>25</v>
      </c>
      <c r="B564" t="s">
        <v>132</v>
      </c>
      <c r="C564" t="str" cm="1">
        <f t="array" ref="C564">CleanText(B564)</f>
        <v>bazen</v>
      </c>
      <c r="D564">
        <v>0</v>
      </c>
      <c r="E564">
        <v>0</v>
      </c>
      <c r="F564" t="s">
        <v>10</v>
      </c>
      <c r="G564" t="str" cm="1">
        <f t="array" ref="G564">FindCountryName(F564)</f>
        <v>None</v>
      </c>
      <c r="H564" s="3">
        <v>45337.461886574078</v>
      </c>
      <c r="I564" s="3">
        <v>45337.461886574078</v>
      </c>
      <c r="J564" s="3">
        <v>41517.498472222222</v>
      </c>
      <c r="K564" cm="1">
        <f t="array" ref="K564">sentimentCalc(C564)</f>
        <v>0</v>
      </c>
      <c r="L564" t="str" cm="1">
        <f t="array" ref="L564">sentimentCategory(K564)</f>
        <v>Neutral</v>
      </c>
    </row>
    <row r="565" spans="1:12" x14ac:dyDescent="0.25">
      <c r="A565" t="s">
        <v>501</v>
      </c>
      <c r="B565" t="s">
        <v>520</v>
      </c>
      <c r="C565" t="str" cm="1">
        <f t="array" ref="C565">CleanText(B565)</f>
        <v>beatiful ok guzel</v>
      </c>
      <c r="D565">
        <v>0</v>
      </c>
      <c r="E565">
        <v>0</v>
      </c>
      <c r="F565" t="s">
        <v>10</v>
      </c>
      <c r="G565" t="str" cm="1">
        <f t="array" ref="G565">FindCountryName(F565)</f>
        <v>None</v>
      </c>
      <c r="H565" s="3">
        <v>45317.318993055553</v>
      </c>
      <c r="I565" s="3">
        <v>45317.318993055553</v>
      </c>
      <c r="J565" s="3">
        <v>45317.27516203704</v>
      </c>
      <c r="K565" cm="1">
        <f t="array" ref="K565">sentimentCalc(C565)</f>
        <v>0</v>
      </c>
      <c r="L565" t="str" cm="1">
        <f t="array" ref="L565">sentimentCategory(K565)</f>
        <v>Neutral</v>
      </c>
    </row>
    <row r="566" spans="1:12" x14ac:dyDescent="0.25">
      <c r="A566" t="s">
        <v>2521</v>
      </c>
      <c r="B566" t="s">
        <v>2522</v>
      </c>
      <c r="C566" t="str" cm="1">
        <f t="array" ref="C566">CleanText(B566)</f>
        <v>beauriful barbie</v>
      </c>
      <c r="D566">
        <v>0</v>
      </c>
      <c r="E566">
        <v>0</v>
      </c>
      <c r="F566" t="s">
        <v>10</v>
      </c>
      <c r="G566" t="str" cm="1">
        <f t="array" ref="G566">FindCountryName(F566)</f>
        <v>None</v>
      </c>
      <c r="H566" s="3">
        <v>45164.475266203706</v>
      </c>
      <c r="I566" s="3">
        <v>45164.475266203706</v>
      </c>
      <c r="J566" s="3">
        <v>40245.14340277778</v>
      </c>
      <c r="K566" cm="1">
        <f t="array" ref="K566">sentimentCalc(C566)</f>
        <v>0</v>
      </c>
      <c r="L566" t="str" cm="1">
        <f t="array" ref="L566">sentimentCategory(K566)</f>
        <v>Neutral</v>
      </c>
    </row>
    <row r="567" spans="1:12" x14ac:dyDescent="0.25">
      <c r="A567" t="s">
        <v>58</v>
      </c>
      <c r="B567" t="s">
        <v>377</v>
      </c>
      <c r="C567" t="str" cm="1">
        <f t="array" ref="C567">CleanText(B567)</f>
        <v>beautiful and pleasant</v>
      </c>
      <c r="D567">
        <v>0</v>
      </c>
      <c r="E567">
        <v>0</v>
      </c>
      <c r="F567" t="s">
        <v>10</v>
      </c>
      <c r="G567" t="str" cm="1">
        <f t="array" ref="G567">FindCountryName(F567)</f>
        <v>None</v>
      </c>
      <c r="H567" s="3">
        <v>45322.273819444446</v>
      </c>
      <c r="I567" s="3">
        <v>45322.273819444446</v>
      </c>
      <c r="J567" s="3">
        <v>45322.254479166666</v>
      </c>
      <c r="K567" cm="1">
        <f t="array" ref="K567">sentimentCalc(C567)</f>
        <v>6</v>
      </c>
      <c r="L567" t="str" cm="1">
        <f t="array" ref="L567">sentimentCategory(K567)</f>
        <v>Positive</v>
      </c>
    </row>
    <row r="568" spans="1:12" x14ac:dyDescent="0.25">
      <c r="A568" t="s">
        <v>15</v>
      </c>
      <c r="B568" t="s">
        <v>3147</v>
      </c>
      <c r="C568" t="str" cm="1">
        <f t="array" ref="C568">CleanText(B568)</f>
        <v>beautiful song also watch new musiclike crazy by jimin</v>
      </c>
      <c r="D568">
        <v>0</v>
      </c>
      <c r="E568">
        <v>0</v>
      </c>
      <c r="F568" t="s">
        <v>10</v>
      </c>
      <c r="G568" t="str" cm="1">
        <f t="array" ref="G568">FindCountryName(F568)</f>
        <v>None</v>
      </c>
      <c r="H568" s="3">
        <v>45152.705243055556</v>
      </c>
      <c r="I568" s="3">
        <v>45152.705243055556</v>
      </c>
      <c r="J568" s="3">
        <v>43976.083194444444</v>
      </c>
      <c r="K568" cm="1">
        <f t="array" ref="K568">sentimentCalc(C568)</f>
        <v>1</v>
      </c>
      <c r="L568" t="str" cm="1">
        <f t="array" ref="L568">sentimentCategory(K568)</f>
        <v>Positive</v>
      </c>
    </row>
    <row r="569" spans="1:12" x14ac:dyDescent="0.25">
      <c r="A569" t="s">
        <v>133</v>
      </c>
      <c r="B569" t="s">
        <v>660</v>
      </c>
      <c r="C569" t="str" cm="1">
        <f t="array" ref="C569">CleanText(B569)</f>
        <v>beendiim bir yapm olmu</v>
      </c>
      <c r="D569">
        <v>0</v>
      </c>
      <c r="E569">
        <v>0</v>
      </c>
      <c r="F569" t="s">
        <v>10</v>
      </c>
      <c r="G569" t="str" cm="1">
        <f t="array" ref="G569">FindCountryName(F569)</f>
        <v>None</v>
      </c>
      <c r="H569" s="3">
        <v>45314.275312500002</v>
      </c>
      <c r="I569" s="3">
        <v>45314.275312500002</v>
      </c>
      <c r="J569" s="3">
        <v>45313.203611111108</v>
      </c>
      <c r="K569" cm="1">
        <f t="array" ref="K569">sentimentCalc(C569)</f>
        <v>0</v>
      </c>
      <c r="L569" t="str" cm="1">
        <f t="array" ref="L569">sentimentCategory(K569)</f>
        <v>Neutral</v>
      </c>
    </row>
    <row r="570" spans="1:12" x14ac:dyDescent="0.25">
      <c r="A570" t="s">
        <v>94</v>
      </c>
      <c r="B570" t="s">
        <v>2377</v>
      </c>
      <c r="C570" t="str" cm="1">
        <f t="array" ref="C570">CleanText(B570)</f>
        <v>because clowns do that for a paycheck</v>
      </c>
      <c r="D570">
        <v>0</v>
      </c>
      <c r="E570">
        <v>0</v>
      </c>
      <c r="F570" t="s">
        <v>10</v>
      </c>
      <c r="G570" t="str" cm="1">
        <f t="array" ref="G570">FindCountryName(F570)</f>
        <v>None</v>
      </c>
      <c r="H570" s="3">
        <v>45169.834305555552</v>
      </c>
      <c r="I570" s="3">
        <v>45169.834293981483</v>
      </c>
      <c r="J570" s="3">
        <v>41772.559236111112</v>
      </c>
      <c r="K570" cm="1">
        <f t="array" ref="K570">sentimentCalc(C570)</f>
        <v>0</v>
      </c>
      <c r="L570" t="str" cm="1">
        <f t="array" ref="L570">sentimentCategory(K570)</f>
        <v>Neutral</v>
      </c>
    </row>
    <row r="571" spans="1:12" x14ac:dyDescent="0.25">
      <c r="A571" t="s">
        <v>382</v>
      </c>
      <c r="B571" t="s">
        <v>2558</v>
      </c>
      <c r="C571" t="str" cm="1">
        <f t="array" ref="C571">CleanText(B571)</f>
        <v>before a nice day ever</v>
      </c>
      <c r="D571">
        <v>0</v>
      </c>
      <c r="E571">
        <v>0</v>
      </c>
      <c r="F571" t="s">
        <v>10</v>
      </c>
      <c r="G571" t="str" cm="1">
        <f t="array" ref="G571">FindCountryName(F571)</f>
        <v>None</v>
      </c>
      <c r="H571" s="3">
        <v>45163.440150462964</v>
      </c>
      <c r="I571" s="3">
        <v>45163.440150462964</v>
      </c>
      <c r="J571" s="3">
        <v>45127.202164351853</v>
      </c>
      <c r="K571" cm="1">
        <f t="array" ref="K571">sentimentCalc(C571)</f>
        <v>3</v>
      </c>
      <c r="L571" t="str" cm="1">
        <f t="array" ref="L571">sentimentCategory(K571)</f>
        <v>Positive</v>
      </c>
    </row>
    <row r="572" spans="1:12" x14ac:dyDescent="0.25">
      <c r="A572" t="s">
        <v>3526</v>
      </c>
      <c r="B572" t="s">
        <v>3551</v>
      </c>
      <c r="C572" t="str" cm="1">
        <f t="array" ref="C572">CleanText(B572)</f>
        <v>before this movie came out i thought the trailer gave away too much of the plot but after watching it i could not have been more wrong lol this trailer barely encompasses the first rd of the movie the plot and the ending really are something else and im so happy the structure of the movie wasnt as generic as the trailer made it seem amazing movie</v>
      </c>
      <c r="D572">
        <v>12</v>
      </c>
      <c r="E572">
        <v>0</v>
      </c>
      <c r="F572" t="s">
        <v>10</v>
      </c>
      <c r="G572" t="str" cm="1">
        <f t="array" ref="G572">FindCountryName(F572)</f>
        <v>None</v>
      </c>
      <c r="H572" s="3">
        <v>45147.589467592596</v>
      </c>
      <c r="I572" s="3">
        <v>45147.589467592596</v>
      </c>
      <c r="J572" s="3">
        <v>44558.421168981484</v>
      </c>
      <c r="K572" cm="1">
        <f t="array" ref="K572">sentimentCalc(C572)</f>
        <v>5</v>
      </c>
      <c r="L572" t="str" cm="1">
        <f t="array" ref="L572">sentimentCategory(K572)</f>
        <v>Positive</v>
      </c>
    </row>
    <row r="573" spans="1:12" x14ac:dyDescent="0.25">
      <c r="A573" t="s">
        <v>30</v>
      </c>
      <c r="B573" t="s">
        <v>2296</v>
      </c>
      <c r="C573" t="str" cm="1">
        <f t="array" ref="C573">CleanText(B573)</f>
        <v>bello</v>
      </c>
      <c r="D573">
        <v>0</v>
      </c>
      <c r="E573">
        <v>0</v>
      </c>
      <c r="F573" t="s">
        <v>10</v>
      </c>
      <c r="G573" t="str" cm="1">
        <f t="array" ref="G573">FindCountryName(F573)</f>
        <v>None</v>
      </c>
      <c r="H573" s="3">
        <v>45172.539189814815</v>
      </c>
      <c r="I573" s="3">
        <v>45172.539178240739</v>
      </c>
      <c r="J573" s="3">
        <v>42935.171261574076</v>
      </c>
      <c r="K573" cm="1">
        <f t="array" ref="K573">sentimentCalc(C573)</f>
        <v>0</v>
      </c>
      <c r="L573" t="str" cm="1">
        <f t="array" ref="L573">sentimentCategory(K573)</f>
        <v>Neutral</v>
      </c>
    </row>
    <row r="574" spans="1:12" x14ac:dyDescent="0.25">
      <c r="A574" t="s">
        <v>605</v>
      </c>
      <c r="B574" t="s">
        <v>2744</v>
      </c>
      <c r="C574" t="str" cm="1">
        <f t="array" ref="C574">CleanText(B574)</f>
        <v>ben barbie ve sen debizzzzzz</v>
      </c>
      <c r="D574">
        <v>0</v>
      </c>
      <c r="E574">
        <v>0</v>
      </c>
      <c r="F574" t="s">
        <v>10</v>
      </c>
      <c r="G574" t="str" cm="1">
        <f t="array" ref="G574">FindCountryName(F574)</f>
        <v>None</v>
      </c>
      <c r="H574" s="3">
        <v>45158.744618055556</v>
      </c>
      <c r="I574" s="3">
        <v>45158.744618055556</v>
      </c>
      <c r="J574" s="3">
        <v>44884.675706018519</v>
      </c>
      <c r="K574" cm="1">
        <f t="array" ref="K574">sentimentCalc(C574)</f>
        <v>0</v>
      </c>
      <c r="L574" t="str" cm="1">
        <f t="array" ref="L574">sentimentCategory(K574)</f>
        <v>Neutral</v>
      </c>
    </row>
    <row r="575" spans="1:12" x14ac:dyDescent="0.25">
      <c r="A575" t="s">
        <v>313</v>
      </c>
      <c r="B575" t="s">
        <v>461</v>
      </c>
      <c r="C575" t="str" cm="1">
        <f t="array" ref="C575">CleanText(B575)</f>
        <v>ben</v>
      </c>
      <c r="D575">
        <v>0</v>
      </c>
      <c r="E575">
        <v>0</v>
      </c>
      <c r="F575" t="s">
        <v>10</v>
      </c>
      <c r="G575" t="str" cm="1">
        <f t="array" ref="G575">FindCountryName(F575)</f>
        <v>None</v>
      </c>
      <c r="H575" s="3">
        <v>45322.271157407406</v>
      </c>
      <c r="I575" s="3">
        <v>45322.271157407406</v>
      </c>
      <c r="J575" s="3">
        <v>45322.255023148151</v>
      </c>
      <c r="K575" cm="1">
        <f t="array" ref="K575">sentimentCalc(C575)</f>
        <v>0</v>
      </c>
      <c r="L575" t="str" cm="1">
        <f t="array" ref="L575">sentimentCategory(K575)</f>
        <v>Neutral</v>
      </c>
    </row>
    <row r="576" spans="1:12" x14ac:dyDescent="0.25">
      <c r="A576" t="s">
        <v>832</v>
      </c>
      <c r="B576" t="s">
        <v>833</v>
      </c>
      <c r="C576" t="str" cm="1">
        <f t="array" ref="C576">CleanText(B576)</f>
        <v>ben shapiro  tras h  here here</v>
      </c>
      <c r="D576">
        <v>0</v>
      </c>
      <c r="E576">
        <v>0</v>
      </c>
      <c r="F576" t="s">
        <v>10</v>
      </c>
      <c r="G576" t="str" cm="1">
        <f t="array" ref="G576">FindCountryName(F576)</f>
        <v>None</v>
      </c>
      <c r="H576" s="3">
        <v>45303.178738425922</v>
      </c>
      <c r="I576" s="3">
        <v>45303.178738425922</v>
      </c>
      <c r="J576" s="3">
        <v>41622.432893518519</v>
      </c>
      <c r="K576" cm="1">
        <f t="array" ref="K576">sentimentCalc(C576)</f>
        <v>0</v>
      </c>
      <c r="L576" t="str" cm="1">
        <f t="array" ref="L576">sentimentCategory(K576)</f>
        <v>Neutral</v>
      </c>
    </row>
    <row r="577" spans="1:12" x14ac:dyDescent="0.25">
      <c r="A577" t="s">
        <v>397</v>
      </c>
      <c r="B577" t="s">
        <v>398</v>
      </c>
      <c r="C577" t="str" cm="1">
        <f t="array" ref="C577">CleanText(B577)</f>
        <v>bence ar gzel</v>
      </c>
      <c r="D577">
        <v>0</v>
      </c>
      <c r="E577">
        <v>0</v>
      </c>
      <c r="F577" t="s">
        <v>10</v>
      </c>
      <c r="G577" t="str" cm="1">
        <f t="array" ref="G577">FindCountryName(F577)</f>
        <v>None</v>
      </c>
      <c r="H577" s="3">
        <v>45322.272696759261</v>
      </c>
      <c r="I577" s="3">
        <v>45322.272696759261</v>
      </c>
      <c r="J577" s="3">
        <v>44240.347939814812</v>
      </c>
      <c r="K577" cm="1">
        <f t="array" ref="K577">sentimentCalc(C577)</f>
        <v>0</v>
      </c>
      <c r="L577" t="str" cm="1">
        <f t="array" ref="L577">sentimentCategory(K577)</f>
        <v>Neutral</v>
      </c>
    </row>
    <row r="578" spans="1:12" x14ac:dyDescent="0.25">
      <c r="A578" t="s">
        <v>566</v>
      </c>
      <c r="B578" t="s">
        <v>3973</v>
      </c>
      <c r="C578" t="str" cm="1">
        <f t="array" ref="C578">CleanText(B578)</f>
        <v>bence barbie roln valeria lurkyanova oynamaliydi</v>
      </c>
      <c r="D578">
        <v>0</v>
      </c>
      <c r="E578">
        <v>0</v>
      </c>
      <c r="F578" t="s">
        <v>10</v>
      </c>
      <c r="G578" t="str" cm="1">
        <f t="array" ref="G578">FindCountryName(F578)</f>
        <v>None</v>
      </c>
      <c r="H578" s="3">
        <v>45144.12232638889</v>
      </c>
      <c r="I578" s="3">
        <v>45144.12232638889</v>
      </c>
      <c r="J578" s="3">
        <v>44794.170949074076</v>
      </c>
      <c r="K578" cm="1">
        <f t="array" ref="K578">sentimentCalc(C578)</f>
        <v>0</v>
      </c>
      <c r="L578" t="str" cm="1">
        <f t="array" ref="L578">sentimentCategory(K578)</f>
        <v>Neutral</v>
      </c>
    </row>
    <row r="579" spans="1:12" x14ac:dyDescent="0.25">
      <c r="A579" t="s">
        <v>315</v>
      </c>
      <c r="B579" t="s">
        <v>316</v>
      </c>
      <c r="C579" t="str" cm="1">
        <f t="array" ref="C579">CleanText(B579)</f>
        <v>bence guzel bir film  yildizi hak ediyor</v>
      </c>
      <c r="D579">
        <v>0</v>
      </c>
      <c r="E579">
        <v>0</v>
      </c>
      <c r="F579" t="s">
        <v>10</v>
      </c>
      <c r="G579" t="str" cm="1">
        <f t="array" ref="G579">FindCountryName(F579)</f>
        <v>None</v>
      </c>
      <c r="H579" s="3">
        <v>45322.343530092592</v>
      </c>
      <c r="I579" s="3">
        <v>45322.343530092592</v>
      </c>
      <c r="J579" s="3">
        <v>42418.471944444442</v>
      </c>
      <c r="K579" cm="1">
        <f t="array" ref="K579">sentimentCalc(C579)</f>
        <v>0</v>
      </c>
      <c r="L579" t="str" cm="1">
        <f t="array" ref="L579">sentimentCategory(K579)</f>
        <v>Neutral</v>
      </c>
    </row>
    <row r="580" spans="1:12" x14ac:dyDescent="0.25">
      <c r="A580" t="s">
        <v>753</v>
      </c>
      <c r="B580" t="s">
        <v>754</v>
      </c>
      <c r="C580" t="str" cm="1">
        <f t="array" ref="C580">CleanText(B580)</f>
        <v>bence olduka iyi bir oyunculuk ok beendim</v>
      </c>
      <c r="D580">
        <v>0</v>
      </c>
      <c r="E580">
        <v>0</v>
      </c>
      <c r="F580" t="s">
        <v>10</v>
      </c>
      <c r="G580" t="str" cm="1">
        <f t="array" ref="G580">FindCountryName(F580)</f>
        <v>None</v>
      </c>
      <c r="H580" s="3">
        <v>45310.251215277778</v>
      </c>
      <c r="I580" s="3">
        <v>45310.251215277778</v>
      </c>
      <c r="J580" s="3">
        <v>40930.498159722221</v>
      </c>
      <c r="K580" cm="1">
        <f t="array" ref="K580">sentimentCalc(C580)</f>
        <v>0</v>
      </c>
      <c r="L580" t="str" cm="1">
        <f t="array" ref="L580">sentimentCategory(K580)</f>
        <v>Neutral</v>
      </c>
    </row>
    <row r="581" spans="1:12" x14ac:dyDescent="0.25">
      <c r="A581" t="s">
        <v>269</v>
      </c>
      <c r="B581" t="s">
        <v>882</v>
      </c>
      <c r="C581" t="str" cm="1">
        <f t="array" ref="C581">CleanText(B581)</f>
        <v>benim iin deil ama kzlar iin ok takip edilen her kzn odasnda oyuncaklar olan  ve kzlarn hayali olan bir karakter</v>
      </c>
      <c r="D581">
        <v>0</v>
      </c>
      <c r="E581">
        <v>0</v>
      </c>
      <c r="F581" t="s">
        <v>10</v>
      </c>
      <c r="G581" t="str" cm="1">
        <f t="array" ref="G581">FindCountryName(F581)</f>
        <v>None</v>
      </c>
      <c r="H581" s="3">
        <v>45299.330347222225</v>
      </c>
      <c r="I581" s="3">
        <v>45299.330347222225</v>
      </c>
      <c r="J581" s="3">
        <v>41414.740706018521</v>
      </c>
      <c r="K581" cm="1">
        <f t="array" ref="K581">sentimentCalc(C581)</f>
        <v>0</v>
      </c>
      <c r="L581" t="str" cm="1">
        <f t="array" ref="L581">sentimentCategory(K581)</f>
        <v>Neutral</v>
      </c>
    </row>
    <row r="582" spans="1:12" x14ac:dyDescent="0.25">
      <c r="A582" t="s">
        <v>2275</v>
      </c>
      <c r="B582" t="s">
        <v>2276</v>
      </c>
      <c r="C582" t="str" cm="1">
        <f t="array" ref="C582">CleanText(B582)</f>
        <v>best dumb movie</v>
      </c>
      <c r="D582">
        <v>1</v>
      </c>
      <c r="E582">
        <v>0</v>
      </c>
      <c r="F582" t="s">
        <v>10</v>
      </c>
      <c r="G582" t="str" cm="1">
        <f t="array" ref="G582">FindCountryName(F582)</f>
        <v>None</v>
      </c>
      <c r="H582" s="3">
        <v>45173.095173611109</v>
      </c>
      <c r="I582" s="3">
        <v>45173.095173611109</v>
      </c>
      <c r="J582" s="3">
        <v>42886.037442129629</v>
      </c>
      <c r="K582" cm="1">
        <f t="array" ref="K582">sentimentCalc(C582)</f>
        <v>0</v>
      </c>
      <c r="L582" t="str" cm="1">
        <f t="array" ref="L582">sentimentCategory(K582)</f>
        <v>Neutral</v>
      </c>
    </row>
    <row r="583" spans="1:12" x14ac:dyDescent="0.25">
      <c r="A583" t="s">
        <v>378</v>
      </c>
      <c r="B583" t="s">
        <v>1209</v>
      </c>
      <c r="C583" t="str" cm="1">
        <f t="array" ref="C583">CleanText(B583)</f>
        <v>best film of the year</v>
      </c>
      <c r="D583">
        <v>2</v>
      </c>
      <c r="E583">
        <v>1</v>
      </c>
      <c r="F583" t="s">
        <v>10</v>
      </c>
      <c r="G583" t="str" cm="1">
        <f t="array" ref="G583">FindCountryName(F583)</f>
        <v>None</v>
      </c>
      <c r="H583" s="3">
        <v>45276.157916666663</v>
      </c>
      <c r="I583" s="3">
        <v>45276.157916666663</v>
      </c>
      <c r="J583" s="3">
        <v>42789.863171296296</v>
      </c>
      <c r="K583" cm="1">
        <f t="array" ref="K583">sentimentCalc(C583)</f>
        <v>3</v>
      </c>
      <c r="L583" t="str" cm="1">
        <f t="array" ref="L583">sentimentCategory(K583)</f>
        <v>Positive</v>
      </c>
    </row>
    <row r="584" spans="1:12" x14ac:dyDescent="0.25">
      <c r="A584" t="s">
        <v>1006</v>
      </c>
      <c r="B584" t="s">
        <v>1007</v>
      </c>
      <c r="C584" t="str" cm="1">
        <f t="array" ref="C584">CleanText(B584)</f>
        <v>best movie award for</v>
      </c>
      <c r="D584">
        <v>0</v>
      </c>
      <c r="E584">
        <v>0</v>
      </c>
      <c r="F584" t="s">
        <v>10</v>
      </c>
      <c r="G584" t="str" cm="1">
        <f t="array" ref="G584">FindCountryName(F584)</f>
        <v>None</v>
      </c>
      <c r="H584" s="3">
        <v>45299.252106481479</v>
      </c>
      <c r="I584" s="3">
        <v>45299.252106481479</v>
      </c>
      <c r="J584" s="3">
        <v>41566.49009259259</v>
      </c>
      <c r="K584" cm="1">
        <f t="array" ref="K584">sentimentCalc(C584)</f>
        <v>6</v>
      </c>
      <c r="L584" t="str" cm="1">
        <f t="array" ref="L584">sentimentCategory(K584)</f>
        <v>Positive</v>
      </c>
    </row>
    <row r="585" spans="1:12" x14ac:dyDescent="0.25">
      <c r="A585" t="s">
        <v>4362</v>
      </c>
      <c r="B585" t="s">
        <v>4363</v>
      </c>
      <c r="C585" t="str" cm="1">
        <f t="array" ref="C585">CleanText(B585)</f>
        <v>best movie ever perfect  so cute</v>
      </c>
      <c r="D585">
        <v>0</v>
      </c>
      <c r="E585">
        <v>3</v>
      </c>
      <c r="F585" t="s">
        <v>10</v>
      </c>
      <c r="G585" t="str" cm="1">
        <f t="array" ref="G585">FindCountryName(F585)</f>
        <v>None</v>
      </c>
      <c r="H585" s="3">
        <v>45140.666828703703</v>
      </c>
      <c r="I585" s="3">
        <v>45140.666828703703</v>
      </c>
      <c r="J585" s="3">
        <v>44106.641701388886</v>
      </c>
      <c r="K585" cm="1">
        <f t="array" ref="K585">sentimentCalc(C585)</f>
        <v>8</v>
      </c>
      <c r="L585" t="str" cm="1">
        <f t="array" ref="L585">sentimentCategory(K585)</f>
        <v>Positive</v>
      </c>
    </row>
    <row r="586" spans="1:12" x14ac:dyDescent="0.25">
      <c r="A586" t="s">
        <v>378</v>
      </c>
      <c r="B586" t="s">
        <v>1141</v>
      </c>
      <c r="C586" t="str" cm="1">
        <f t="array" ref="C586">CleanText(B586)</f>
        <v>best movie of the year</v>
      </c>
      <c r="D586">
        <v>1</v>
      </c>
      <c r="E586">
        <v>0</v>
      </c>
      <c r="F586" t="s">
        <v>10</v>
      </c>
      <c r="G586" t="str" cm="1">
        <f t="array" ref="G586">FindCountryName(F586)</f>
        <v>None</v>
      </c>
      <c r="H586" s="3">
        <v>45284.012233796297</v>
      </c>
      <c r="I586" s="3">
        <v>45284.012233796297</v>
      </c>
      <c r="J586" s="3">
        <v>42789.863171296296</v>
      </c>
      <c r="K586" cm="1">
        <f t="array" ref="K586">sentimentCalc(C586)</f>
        <v>3</v>
      </c>
      <c r="L586" t="str" cm="1">
        <f t="array" ref="L586">sentimentCategory(K586)</f>
        <v>Positive</v>
      </c>
    </row>
    <row r="587" spans="1:12" x14ac:dyDescent="0.25">
      <c r="A587" t="s">
        <v>1228</v>
      </c>
      <c r="B587" t="s">
        <v>1229</v>
      </c>
      <c r="C587" t="str" cm="1">
        <f t="array" ref="C587">CleanText(B587)</f>
        <v>best part cass elliots song</v>
      </c>
      <c r="D587">
        <v>2</v>
      </c>
      <c r="E587">
        <v>0</v>
      </c>
      <c r="F587" t="s">
        <v>10</v>
      </c>
      <c r="G587" t="str" cm="1">
        <f t="array" ref="G587">FindCountryName(F587)</f>
        <v>None</v>
      </c>
      <c r="H587" s="3">
        <v>45273.796284722222</v>
      </c>
      <c r="I587" s="3">
        <v>45273.796284722222</v>
      </c>
      <c r="J587" s="3">
        <v>39010.554826388892</v>
      </c>
      <c r="K587" cm="1">
        <f t="array" ref="K587">sentimentCalc(C587)</f>
        <v>3</v>
      </c>
      <c r="L587" t="str" cm="1">
        <f t="array" ref="L587">sentimentCategory(K587)</f>
        <v>Positive</v>
      </c>
    </row>
    <row r="588" spans="1:12" x14ac:dyDescent="0.25">
      <c r="A588" t="s">
        <v>491</v>
      </c>
      <c r="B588" t="s">
        <v>492</v>
      </c>
      <c r="C588" t="str" cm="1">
        <f t="array" ref="C588">CleanText(B588)</f>
        <v>best part of the movie was ryan and the horses the rest just some women losing their matriarchi and going crazy then they fight to abolishing kens rights end of movie also ryans arms are amazing</v>
      </c>
      <c r="D588">
        <v>1</v>
      </c>
      <c r="E588">
        <v>0</v>
      </c>
      <c r="F588" t="s">
        <v>10</v>
      </c>
      <c r="G588" t="str" cm="1">
        <f t="array" ref="G588">FindCountryName(F588)</f>
        <v>None</v>
      </c>
      <c r="H588" s="3">
        <v>45318.726006944446</v>
      </c>
      <c r="I588" s="3">
        <v>45318.726006944446</v>
      </c>
      <c r="J588" s="3">
        <v>44645.411944444444</v>
      </c>
      <c r="K588" cm="1">
        <f t="array" ref="K588">sentimentCalc(C588)</f>
        <v>1</v>
      </c>
      <c r="L588" t="str" cm="1">
        <f t="array" ref="L588">sentimentCategory(K588)</f>
        <v>Positive</v>
      </c>
    </row>
    <row r="589" spans="1:12" x14ac:dyDescent="0.25">
      <c r="A589" t="s">
        <v>13</v>
      </c>
      <c r="B589" t="s">
        <v>3937</v>
      </c>
      <c r="C589" t="str" cm="1">
        <f t="array" ref="C589">CleanText(B589)</f>
        <v>bet ken has never gutted an elk</v>
      </c>
      <c r="D589">
        <v>1</v>
      </c>
      <c r="E589">
        <v>0</v>
      </c>
      <c r="F589" t="s">
        <v>227</v>
      </c>
      <c r="G589" t="str" cm="1">
        <f t="array" ref="G589">FindCountryName(F589)</f>
        <v>United States of America (the)</v>
      </c>
      <c r="H589" s="3">
        <v>45144.399548611109</v>
      </c>
      <c r="I589" s="3">
        <v>45144.399548611109</v>
      </c>
      <c r="J589" s="3">
        <v>42246.253541666665</v>
      </c>
      <c r="K589" cm="1">
        <f t="array" ref="K589">sentimentCalc(C589)</f>
        <v>0</v>
      </c>
      <c r="L589" t="str" cm="1">
        <f t="array" ref="L589">sentimentCategory(K589)</f>
        <v>Neutral</v>
      </c>
    </row>
    <row r="590" spans="1:12" x14ac:dyDescent="0.25">
      <c r="A590" t="s">
        <v>36</v>
      </c>
      <c r="B590" t="s">
        <v>3550</v>
      </c>
      <c r="C590" t="str" cm="1">
        <f t="array" ref="C590">CleanText(B590)</f>
        <v>better than mario movie</v>
      </c>
      <c r="D590">
        <v>0</v>
      </c>
      <c r="E590">
        <v>0</v>
      </c>
      <c r="F590" t="s">
        <v>10</v>
      </c>
      <c r="G590" t="str" cm="1">
        <f t="array" ref="G590">FindCountryName(F590)</f>
        <v>None</v>
      </c>
      <c r="H590" s="3">
        <v>45147.592395833337</v>
      </c>
      <c r="I590" s="3">
        <v>45147.592395833337</v>
      </c>
      <c r="J590" s="3">
        <v>44925.691493055558</v>
      </c>
      <c r="K590" cm="1">
        <f t="array" ref="K590">sentimentCalc(C590)</f>
        <v>2</v>
      </c>
      <c r="L590" t="str" cm="1">
        <f t="array" ref="L590">sentimentCategory(K590)</f>
        <v>Positive</v>
      </c>
    </row>
    <row r="591" spans="1:12" x14ac:dyDescent="0.25">
      <c r="A591" t="s">
        <v>4056</v>
      </c>
      <c r="B591" t="s">
        <v>4057</v>
      </c>
      <c r="C591" t="str" cm="1">
        <f t="array" ref="C591">CleanText(B591)</f>
        <v>bhai flim nai chtyp hai</v>
      </c>
      <c r="D591">
        <v>0</v>
      </c>
      <c r="E591">
        <v>0</v>
      </c>
      <c r="F591" t="s">
        <v>10</v>
      </c>
      <c r="G591" t="str" cm="1">
        <f t="array" ref="G591">FindCountryName(F591)</f>
        <v>None</v>
      </c>
      <c r="H591" s="3">
        <v>45143.328842592593</v>
      </c>
      <c r="I591" s="3">
        <v>45143.328842592593</v>
      </c>
      <c r="J591" s="3">
        <v>44970.457592592589</v>
      </c>
      <c r="K591" cm="1">
        <f t="array" ref="K591">sentimentCalc(C591)</f>
        <v>0</v>
      </c>
      <c r="L591" t="str" cm="1">
        <f t="array" ref="L591">sentimentCategory(K591)</f>
        <v>Neutral</v>
      </c>
    </row>
    <row r="592" spans="1:12" x14ac:dyDescent="0.25">
      <c r="A592" t="s">
        <v>313</v>
      </c>
      <c r="B592" t="s">
        <v>4414</v>
      </c>
      <c r="C592" t="str" cm="1">
        <f t="array" ref="C592">CleanText(B592)</f>
        <v>bigest fan ever for ever barbie barbie barbie barbie</v>
      </c>
      <c r="D592">
        <v>0</v>
      </c>
      <c r="E592">
        <v>0</v>
      </c>
      <c r="F592" t="s">
        <v>10</v>
      </c>
      <c r="G592" t="str" cm="1">
        <f t="array" ref="G592">FindCountryName(F592)</f>
        <v>None</v>
      </c>
      <c r="H592" s="3">
        <v>45140.412210648145</v>
      </c>
      <c r="I592" s="3">
        <v>45140.412210648145</v>
      </c>
      <c r="J592" s="3">
        <v>44018.740347222221</v>
      </c>
      <c r="K592" cm="1">
        <f t="array" ref="K592">sentimentCalc(C592)</f>
        <v>3</v>
      </c>
      <c r="L592" t="str" cm="1">
        <f t="array" ref="L592">sentimentCategory(K592)</f>
        <v>Positive</v>
      </c>
    </row>
    <row r="593" spans="1:12" x14ac:dyDescent="0.25">
      <c r="A593" t="s">
        <v>116</v>
      </c>
      <c r="B593" t="s">
        <v>117</v>
      </c>
      <c r="C593" t="str" cm="1">
        <f t="array" ref="C593">CleanText(B593)</f>
        <v>biraz sama bir film olmu gibi</v>
      </c>
      <c r="D593">
        <v>0</v>
      </c>
      <c r="E593">
        <v>0</v>
      </c>
      <c r="F593" t="s">
        <v>10</v>
      </c>
      <c r="G593" t="str" cm="1">
        <f t="array" ref="G593">FindCountryName(F593)</f>
        <v>None</v>
      </c>
      <c r="H593" s="3">
        <v>45337.478564814817</v>
      </c>
      <c r="I593" s="3">
        <v>45337.478564814817</v>
      </c>
      <c r="J593" s="3">
        <v>41517.615046296298</v>
      </c>
      <c r="K593" cm="1">
        <f t="array" ref="K593">sentimentCalc(C593)</f>
        <v>0</v>
      </c>
      <c r="L593" t="str" cm="1">
        <f t="array" ref="L593">sentimentCategory(K593)</f>
        <v>Neutral</v>
      </c>
    </row>
    <row r="594" spans="1:12" x14ac:dyDescent="0.25">
      <c r="A594" t="s">
        <v>38</v>
      </c>
      <c r="B594" t="s">
        <v>2045</v>
      </c>
      <c r="C594" t="str" cm="1">
        <f t="array" ref="C594">CleanText(B594)</f>
        <v>black barbie cries tears of white</v>
      </c>
      <c r="D594">
        <v>2</v>
      </c>
      <c r="E594">
        <v>0</v>
      </c>
      <c r="F594" t="s">
        <v>10</v>
      </c>
      <c r="G594" t="str" cm="1">
        <f t="array" ref="G594">FindCountryName(F594)</f>
        <v>None</v>
      </c>
      <c r="H594" s="3">
        <v>45182.915763888886</v>
      </c>
      <c r="I594" s="3">
        <v>45182.915763888886</v>
      </c>
      <c r="J594" s="3">
        <v>39209.946469907409</v>
      </c>
      <c r="K594" cm="1">
        <f t="array" ref="K594">sentimentCalc(C594)</f>
        <v>-4</v>
      </c>
      <c r="L594" t="str" cm="1">
        <f t="array" ref="L594">sentimentCategory(K594)</f>
        <v>Negative</v>
      </c>
    </row>
    <row r="595" spans="1:12" x14ac:dyDescent="0.25">
      <c r="A595" t="s">
        <v>313</v>
      </c>
      <c r="B595" t="s">
        <v>1276</v>
      </c>
      <c r="C595" t="str" cm="1">
        <f t="array" ref="C595">CleanText(B595)</f>
        <v>blackpink groupe name means there is black and there is pink cest ca la vie bad and good moments how dosnt kill you makes you stronger</v>
      </c>
      <c r="D595">
        <v>0</v>
      </c>
      <c r="E595">
        <v>0</v>
      </c>
      <c r="F595" t="s">
        <v>10</v>
      </c>
      <c r="G595" t="str" cm="1">
        <f t="array" ref="G595">FindCountryName(F595)</f>
        <v>None</v>
      </c>
      <c r="H595" s="3">
        <v>45260.446192129632</v>
      </c>
      <c r="I595" s="3">
        <v>45260.446192129632</v>
      </c>
      <c r="J595" s="3">
        <v>45243.396481481483</v>
      </c>
      <c r="K595" cm="1">
        <f t="array" ref="K595">sentimentCalc(C595)</f>
        <v>-1</v>
      </c>
      <c r="L595" t="str" cm="1">
        <f t="array" ref="L595">sentimentCategory(K595)</f>
        <v>Negative</v>
      </c>
    </row>
    <row r="596" spans="1:12" x14ac:dyDescent="0.25">
      <c r="A596" t="s">
        <v>1112</v>
      </c>
      <c r="B596" t="s">
        <v>1113</v>
      </c>
      <c r="C596" t="str" cm="1">
        <f t="array" ref="C596">CleanText(B596)</f>
        <v>blade runner ken</v>
      </c>
      <c r="D596">
        <v>0</v>
      </c>
      <c r="E596">
        <v>0</v>
      </c>
      <c r="F596" t="s">
        <v>10</v>
      </c>
      <c r="G596" t="str" cm="1">
        <f t="array" ref="G596">FindCountryName(F596)</f>
        <v>None</v>
      </c>
      <c r="H596" s="3">
        <v>45288.500081018516</v>
      </c>
      <c r="I596" s="3">
        <v>45288.500081018516</v>
      </c>
      <c r="J596" s="3">
        <v>38967.24077546296</v>
      </c>
      <c r="K596" cm="1">
        <f t="array" ref="K596">sentimentCalc(C596)</f>
        <v>0</v>
      </c>
      <c r="L596" t="str" cm="1">
        <f t="array" ref="L596">sentimentCategory(K596)</f>
        <v>Neutral</v>
      </c>
    </row>
    <row r="597" spans="1:12" x14ac:dyDescent="0.25">
      <c r="A597" t="s">
        <v>3124</v>
      </c>
      <c r="B597" t="s">
        <v>3125</v>
      </c>
      <c r="C597" t="str" cm="1">
        <f t="array" ref="C597">CleanText(B597)</f>
        <v>bladerunner  x all good things</v>
      </c>
      <c r="D597">
        <v>1</v>
      </c>
      <c r="E597">
        <v>0</v>
      </c>
      <c r="F597" t="s">
        <v>10</v>
      </c>
      <c r="G597" t="str" cm="1">
        <f t="array" ref="G597">FindCountryName(F597)</f>
        <v>None</v>
      </c>
      <c r="H597" s="3">
        <v>45152.948969907404</v>
      </c>
      <c r="I597" s="3">
        <v>45152.948958333334</v>
      </c>
      <c r="J597" s="3">
        <v>38954.208368055559</v>
      </c>
      <c r="K597" cm="1">
        <f t="array" ref="K597">sentimentCalc(C597)</f>
        <v>3</v>
      </c>
      <c r="L597" t="str" cm="1">
        <f t="array" ref="L597">sentimentCategory(K597)</f>
        <v>Positive</v>
      </c>
    </row>
    <row r="598" spans="1:12" x14ac:dyDescent="0.25">
      <c r="A598" t="s">
        <v>1738</v>
      </c>
      <c r="B598" t="s">
        <v>1739</v>
      </c>
      <c r="C598" t="str" cm="1">
        <f t="array" ref="C598">CleanText(B598)</f>
        <v>blowout party blowout blowout huh must be my mistake then</v>
      </c>
      <c r="D598">
        <v>0</v>
      </c>
      <c r="E598">
        <v>0</v>
      </c>
      <c r="F598" t="s">
        <v>10</v>
      </c>
      <c r="G598" t="str" cm="1">
        <f t="array" ref="G598">FindCountryName(F598)</f>
        <v>None</v>
      </c>
      <c r="H598" s="3">
        <v>45197.836770833332</v>
      </c>
      <c r="I598" s="3">
        <v>45197.836770833332</v>
      </c>
      <c r="J598" s="3">
        <v>43997.72314814815</v>
      </c>
      <c r="K598" cm="1">
        <f t="array" ref="K598">sentimentCalc(C598)</f>
        <v>-2</v>
      </c>
      <c r="L598" t="str" cm="1">
        <f t="array" ref="L598">sentimentCategory(K598)</f>
        <v>Negative</v>
      </c>
    </row>
    <row r="599" spans="1:12" x14ac:dyDescent="0.25">
      <c r="A599" t="s">
        <v>188</v>
      </c>
      <c r="B599" t="s">
        <v>1551</v>
      </c>
      <c r="C599" t="str" cm="1">
        <f t="array" ref="C599">CleanText(B599)</f>
        <v>blue pill or red pill a send up right there</v>
      </c>
      <c r="D599">
        <v>0</v>
      </c>
      <c r="E599">
        <v>0</v>
      </c>
      <c r="F599" t="s">
        <v>10</v>
      </c>
      <c r="G599" t="str" cm="1">
        <f t="array" ref="G599">FindCountryName(F599)</f>
        <v>None</v>
      </c>
      <c r="H599" s="3">
        <v>45214.495798611111</v>
      </c>
      <c r="I599" s="3">
        <v>45214.495798611111</v>
      </c>
      <c r="J599" s="3">
        <v>41161.435844907406</v>
      </c>
      <c r="K599" cm="1">
        <f t="array" ref="K599">sentimentCalc(C599)</f>
        <v>0</v>
      </c>
      <c r="L599" t="str" cm="1">
        <f t="array" ref="L599">sentimentCategory(K599)</f>
        <v>Neutral</v>
      </c>
    </row>
    <row r="600" spans="1:12" x14ac:dyDescent="0.25">
      <c r="A600" t="s">
        <v>629</v>
      </c>
      <c r="B600" t="s">
        <v>3925</v>
      </c>
      <c r="C600" t="str" cm="1">
        <f t="array" ref="C600">CleanText(B600)</f>
        <v>bollywood  adipurushhollywood  barbie</v>
      </c>
      <c r="D600">
        <v>0</v>
      </c>
      <c r="E600">
        <v>0</v>
      </c>
      <c r="F600" t="s">
        <v>1104</v>
      </c>
      <c r="G600" t="str" cm="1">
        <f t="array" ref="G600">FindCountryName(F600)</f>
        <v>Bangladesh</v>
      </c>
      <c r="H600" s="3">
        <v>45144.460416666669</v>
      </c>
      <c r="I600" s="3">
        <v>45144.460416666669</v>
      </c>
      <c r="J600" s="3">
        <v>41890.206574074073</v>
      </c>
      <c r="K600" cm="1">
        <f t="array" ref="K600">sentimentCalc(C600)</f>
        <v>0</v>
      </c>
      <c r="L600" t="str" cm="1">
        <f t="array" ref="L600">sentimentCategory(K600)</f>
        <v>Neutral</v>
      </c>
    </row>
    <row r="601" spans="1:12" x14ac:dyDescent="0.25">
      <c r="A601" t="s">
        <v>629</v>
      </c>
      <c r="B601" t="s">
        <v>3924</v>
      </c>
      <c r="C601" t="str" cm="1">
        <f t="array" ref="C601">CleanText(B601)</f>
        <v>bollywood adipurushhollywood barbieboth movies are terrible</v>
      </c>
      <c r="D601">
        <v>2</v>
      </c>
      <c r="E601">
        <v>0</v>
      </c>
      <c r="F601" t="s">
        <v>1104</v>
      </c>
      <c r="G601" t="str" cm="1">
        <f t="array" ref="G601">FindCountryName(F601)</f>
        <v>Bangladesh</v>
      </c>
      <c r="H601" s="3">
        <v>45144.463287037041</v>
      </c>
      <c r="I601" s="3">
        <v>45144.463287037041</v>
      </c>
      <c r="J601" s="3">
        <v>41890.206574074073</v>
      </c>
      <c r="K601" cm="1">
        <f t="array" ref="K601">sentimentCalc(C601)</f>
        <v>-3</v>
      </c>
      <c r="L601" t="str" cm="1">
        <f t="array" ref="L601">sentimentCategory(K601)</f>
        <v>Negative</v>
      </c>
    </row>
    <row r="602" spans="1:12" x14ac:dyDescent="0.25">
      <c r="A602" t="s">
        <v>830</v>
      </c>
      <c r="B602" t="s">
        <v>3146</v>
      </c>
      <c r="C602" t="str" cm="1">
        <f t="array" ref="C602">CleanText(B602)</f>
        <v>boooooooooooooooooooooooooooooooooooooooo</v>
      </c>
      <c r="D602">
        <v>1</v>
      </c>
      <c r="E602">
        <v>0</v>
      </c>
      <c r="F602" t="s">
        <v>10</v>
      </c>
      <c r="G602" t="str" cm="1">
        <f t="array" ref="G602">FindCountryName(F602)</f>
        <v>None</v>
      </c>
      <c r="H602" s="3">
        <v>45152.739004629628</v>
      </c>
      <c r="I602" s="3">
        <v>45152.739004629628</v>
      </c>
      <c r="J602" s="3">
        <v>41828.94599537037</v>
      </c>
      <c r="K602" cm="1">
        <f t="array" ref="K602">sentimentCalc(C602)</f>
        <v>0</v>
      </c>
      <c r="L602" t="str" cm="1">
        <f t="array" ref="L602">sentimentCategory(K602)</f>
        <v>Neutral</v>
      </c>
    </row>
    <row r="603" spans="1:12" x14ac:dyDescent="0.25">
      <c r="A603" t="s">
        <v>432</v>
      </c>
      <c r="B603" t="s">
        <v>3867</v>
      </c>
      <c r="C603" t="str" cm="1">
        <f t="array" ref="C603">CleanText(B603)</f>
        <v>boring</v>
      </c>
      <c r="D603">
        <v>1</v>
      </c>
      <c r="E603">
        <v>0</v>
      </c>
      <c r="F603" t="s">
        <v>10</v>
      </c>
      <c r="G603" t="str" cm="1">
        <f t="array" ref="G603">FindCountryName(F603)</f>
        <v>None</v>
      </c>
      <c r="H603" s="3">
        <v>45144.893090277779</v>
      </c>
      <c r="I603" s="3">
        <v>45144.893090277779</v>
      </c>
      <c r="J603" s="3">
        <v>44970.431493055556</v>
      </c>
      <c r="K603" cm="1">
        <f t="array" ref="K603">sentimentCalc(C603)</f>
        <v>-3</v>
      </c>
      <c r="L603" t="str" cm="1">
        <f t="array" ref="L603">sentimentCategory(K603)</f>
        <v>Negative</v>
      </c>
    </row>
    <row r="604" spans="1:12" x14ac:dyDescent="0.25">
      <c r="A604" t="s">
        <v>646</v>
      </c>
      <c r="B604" t="s">
        <v>1533</v>
      </c>
      <c r="C604" t="str" cm="1">
        <f t="array" ref="C604">CleanText(B604)</f>
        <v>boringgggggggggggggggggggggggggggggggggggggggggg</v>
      </c>
      <c r="D604">
        <v>0</v>
      </c>
      <c r="E604">
        <v>0</v>
      </c>
      <c r="F604" t="s">
        <v>10</v>
      </c>
      <c r="G604" t="str" cm="1">
        <f t="array" ref="G604">FindCountryName(F604)</f>
        <v>None</v>
      </c>
      <c r="H604" s="3">
        <v>45215.216493055559</v>
      </c>
      <c r="I604" s="3">
        <v>45215.216493055559</v>
      </c>
      <c r="J604" s="3">
        <v>40807.136180555557</v>
      </c>
      <c r="K604" cm="1">
        <f t="array" ref="K604">sentimentCalc(C604)</f>
        <v>0</v>
      </c>
      <c r="L604" t="str" cm="1">
        <f t="array" ref="L604">sentimentCategory(K604)</f>
        <v>Neutral</v>
      </c>
    </row>
    <row r="605" spans="1:12" x14ac:dyDescent="0.25">
      <c r="A605" t="s">
        <v>3692</v>
      </c>
      <c r="B605" t="s">
        <v>3693</v>
      </c>
      <c r="C605" t="str" cm="1">
        <f t="array" ref="C605">CleanText(B605)</f>
        <v>both are too old to play barbieken</v>
      </c>
      <c r="D605">
        <v>2</v>
      </c>
      <c r="E605">
        <v>0</v>
      </c>
      <c r="F605" t="s">
        <v>227</v>
      </c>
      <c r="G605" t="str" cm="1">
        <f t="array" ref="G605">FindCountryName(F605)</f>
        <v>United States of America (the)</v>
      </c>
      <c r="H605" s="3">
        <v>45146.386435185188</v>
      </c>
      <c r="I605" s="3">
        <v>45146.386435185188</v>
      </c>
      <c r="J605" s="3">
        <v>43327.31795138889</v>
      </c>
      <c r="K605" cm="1">
        <f t="array" ref="K605">sentimentCalc(C605)</f>
        <v>0</v>
      </c>
      <c r="L605" t="str" cm="1">
        <f t="array" ref="L605">sentimentCategory(K605)</f>
        <v>Neutral</v>
      </c>
    </row>
    <row r="606" spans="1:12" x14ac:dyDescent="0.25">
      <c r="A606" t="s">
        <v>1100</v>
      </c>
      <c r="B606" t="s">
        <v>2334</v>
      </c>
      <c r="C606" t="str" cm="1">
        <f t="array" ref="C606">CleanText(B606)</f>
        <v>boys who watched this abomination needs to go get helpwhy did you watch this and let it beat marioyou know this movie is for girls right</v>
      </c>
      <c r="D606">
        <v>1</v>
      </c>
      <c r="E606">
        <v>2</v>
      </c>
      <c r="F606" t="s">
        <v>10</v>
      </c>
      <c r="G606" t="str" cm="1">
        <f t="array" ref="G606">FindCountryName(F606)</f>
        <v>None</v>
      </c>
      <c r="H606" s="3">
        <v>45171.741527777776</v>
      </c>
      <c r="I606" s="3">
        <v>45171.741527777776</v>
      </c>
      <c r="J606" s="3">
        <v>43393.872789351852</v>
      </c>
      <c r="K606" cm="1">
        <f t="array" ref="K606">sentimentCalc(C606)</f>
        <v>0</v>
      </c>
      <c r="L606" t="str" cm="1">
        <f t="array" ref="L606">sentimentCategory(K606)</f>
        <v>Neutral</v>
      </c>
    </row>
    <row r="607" spans="1:12" x14ac:dyDescent="0.25">
      <c r="A607" t="s">
        <v>826</v>
      </c>
      <c r="B607" t="s">
        <v>1103</v>
      </c>
      <c r="C607" t="str" cm="1">
        <f t="array" ref="C607">CleanText(B607)</f>
        <v>brabie is hot</v>
      </c>
      <c r="D607">
        <v>0</v>
      </c>
      <c r="E607">
        <v>0</v>
      </c>
      <c r="F607" t="s">
        <v>1104</v>
      </c>
      <c r="G607" t="str" cm="1">
        <f t="array" ref="G607">FindCountryName(F607)</f>
        <v>Bangladesh</v>
      </c>
      <c r="H607" s="3">
        <v>45289.478136574071</v>
      </c>
      <c r="I607" s="3">
        <v>45289.478136574071</v>
      </c>
      <c r="J607" s="3">
        <v>41038.11377314815</v>
      </c>
      <c r="K607" cm="1">
        <f t="array" ref="K607">sentimentCalc(C607)</f>
        <v>0</v>
      </c>
      <c r="L607" t="str" cm="1">
        <f t="array" ref="L607">sentimentCategory(K607)</f>
        <v>Neutral</v>
      </c>
    </row>
    <row r="608" spans="1:12" x14ac:dyDescent="0.25">
      <c r="A608" t="s">
        <v>3906</v>
      </c>
      <c r="B608" t="s">
        <v>3907</v>
      </c>
      <c r="C608" t="str" cm="1">
        <f t="array" ref="C608">CleanText(B608)</f>
        <v>brabirr</v>
      </c>
      <c r="D608">
        <v>0</v>
      </c>
      <c r="E608">
        <v>0</v>
      </c>
      <c r="F608" t="s">
        <v>10</v>
      </c>
      <c r="G608" t="str" cm="1">
        <f t="array" ref="G608">FindCountryName(F608)</f>
        <v>None</v>
      </c>
      <c r="H608" s="3">
        <v>45144.597754629627</v>
      </c>
      <c r="I608" s="3">
        <v>45144.597754629627</v>
      </c>
      <c r="J608" s="3">
        <v>43981.744108796294</v>
      </c>
      <c r="K608" cm="1">
        <f t="array" ref="K608">sentimentCalc(C608)</f>
        <v>0</v>
      </c>
      <c r="L608" t="str" cm="1">
        <f t="array" ref="L608">sentimentCategory(K608)</f>
        <v>Neutral</v>
      </c>
    </row>
    <row r="609" spans="1:12" x14ac:dyDescent="0.25">
      <c r="A609" t="s">
        <v>2168</v>
      </c>
      <c r="B609" t="s">
        <v>2351</v>
      </c>
      <c r="C609" t="str" cm="1">
        <f t="array" ref="C609">CleanText(B609)</f>
        <v>brain poison empty of all traditional human values promotes toxic feminist ideologies to young kids using the barbie brand disgusting pile of trash anyone involved is a huge sell out to corp virtue signalling a nothing movie</v>
      </c>
      <c r="D609">
        <v>1</v>
      </c>
      <c r="E609">
        <v>11</v>
      </c>
      <c r="F609" t="s">
        <v>10</v>
      </c>
      <c r="G609" t="str" cm="1">
        <f t="array" ref="G609">FindCountryName(F609)</f>
        <v>None</v>
      </c>
      <c r="H609" s="3">
        <v>45171.307916666665</v>
      </c>
      <c r="I609" s="3">
        <v>45171.307905092595</v>
      </c>
      <c r="J609" s="3">
        <v>39234.35701388889</v>
      </c>
      <c r="K609" cm="1">
        <f t="array" ref="K609">sentimentCalc(C609)</f>
        <v>-4</v>
      </c>
      <c r="L609" t="str" cm="1">
        <f t="array" ref="L609">sentimentCategory(K609)</f>
        <v>Negative</v>
      </c>
    </row>
    <row r="610" spans="1:12" x14ac:dyDescent="0.25">
      <c r="A610" t="s">
        <v>1421</v>
      </c>
      <c r="B610" t="s">
        <v>1521</v>
      </c>
      <c r="C610" t="str" cm="1">
        <f t="array" ref="C610">CleanText(B610)</f>
        <v>bravos i am a fan</v>
      </c>
      <c r="D610">
        <v>0</v>
      </c>
      <c r="E610">
        <v>0</v>
      </c>
      <c r="F610" t="s">
        <v>10</v>
      </c>
      <c r="G610" t="str" cm="1">
        <f t="array" ref="G610">FindCountryName(F610)</f>
        <v>None</v>
      </c>
      <c r="H610" s="3">
        <v>45217.374560185184</v>
      </c>
      <c r="I610" s="3">
        <v>45217.374560185184</v>
      </c>
      <c r="J610" s="3">
        <v>45217.37190972222</v>
      </c>
      <c r="K610" cm="1">
        <f t="array" ref="K610">sentimentCalc(C610)</f>
        <v>3</v>
      </c>
      <c r="L610" t="str" cm="1">
        <f t="array" ref="L610">sentimentCategory(K610)</f>
        <v>Positive</v>
      </c>
    </row>
    <row r="611" spans="1:12" x14ac:dyDescent="0.25">
      <c r="A611" t="s">
        <v>105</v>
      </c>
      <c r="B611" t="s">
        <v>3835</v>
      </c>
      <c r="C611" t="str" cm="1">
        <f t="array" ref="C611">CleanText(B611)</f>
        <v>bri</v>
      </c>
      <c r="D611">
        <v>0</v>
      </c>
      <c r="E611">
        <v>0</v>
      </c>
      <c r="F611" t="s">
        <v>10</v>
      </c>
      <c r="G611" t="str" cm="1">
        <f t="array" ref="G611">FindCountryName(F611)</f>
        <v>None</v>
      </c>
      <c r="H611" s="3">
        <v>45145.164756944447</v>
      </c>
      <c r="I611" s="3">
        <v>45145.164756944447</v>
      </c>
      <c r="J611" s="3">
        <v>45145.164733796293</v>
      </c>
      <c r="K611" cm="1">
        <f t="array" ref="K611">sentimentCalc(C611)</f>
        <v>0</v>
      </c>
      <c r="L611" t="str" cm="1">
        <f t="array" ref="L611">sentimentCategory(K611)</f>
        <v>Neutral</v>
      </c>
    </row>
    <row r="612" spans="1:12" x14ac:dyDescent="0.25">
      <c r="A612" t="s">
        <v>1592</v>
      </c>
      <c r="B612" t="s">
        <v>1593</v>
      </c>
      <c r="C612" t="str" cm="1">
        <f t="array" ref="C612">CleanText(B612)</f>
        <v>bro</v>
      </c>
      <c r="D612">
        <v>0</v>
      </c>
      <c r="E612">
        <v>0</v>
      </c>
      <c r="F612" t="s">
        <v>10</v>
      </c>
      <c r="G612" t="str" cm="1">
        <f t="array" ref="G612">FindCountryName(F612)</f>
        <v>None</v>
      </c>
      <c r="H612" s="3">
        <v>45210.785069444442</v>
      </c>
      <c r="I612" s="3">
        <v>45210.785069444442</v>
      </c>
      <c r="J612" s="3">
        <v>42193.272881944446</v>
      </c>
      <c r="K612" cm="1">
        <f t="array" ref="K612">sentimentCalc(C612)</f>
        <v>0</v>
      </c>
      <c r="L612" t="str" cm="1">
        <f t="array" ref="L612">sentimentCategory(K612)</f>
        <v>Neutral</v>
      </c>
    </row>
    <row r="613" spans="1:12" x14ac:dyDescent="0.25">
      <c r="A613" t="s">
        <v>2654</v>
      </c>
      <c r="B613" t="s">
        <v>2655</v>
      </c>
      <c r="C613" t="str" cm="1">
        <f t="array" ref="C613">CleanText(B613)</f>
        <v>bro i searched for oppenheimer trailer</v>
      </c>
      <c r="D613">
        <v>1</v>
      </c>
      <c r="E613">
        <v>0</v>
      </c>
      <c r="F613" t="s">
        <v>227</v>
      </c>
      <c r="G613" t="str" cm="1">
        <f t="array" ref="G613">FindCountryName(F613)</f>
        <v>United States of America (the)</v>
      </c>
      <c r="H613" s="3">
        <v>45160.590462962966</v>
      </c>
      <c r="I613" s="3">
        <v>45160.590462962966</v>
      </c>
      <c r="J613" s="3">
        <v>43764.618692129632</v>
      </c>
      <c r="K613" cm="1">
        <f t="array" ref="K613">sentimentCalc(C613)</f>
        <v>0</v>
      </c>
      <c r="L613" t="str" cm="1">
        <f t="array" ref="L613">sentimentCategory(K613)</f>
        <v>Neutral</v>
      </c>
    </row>
    <row r="614" spans="1:12" x14ac:dyDescent="0.25">
      <c r="A614" t="s">
        <v>880</v>
      </c>
      <c r="B614" t="s">
        <v>2777</v>
      </c>
      <c r="C614" t="str" cm="1">
        <f t="array" ref="C614">CleanText(B614)</f>
        <v>bro i watched it with two of my male friends and they loved it as much i cried a ton tho such a great movie</v>
      </c>
      <c r="D614">
        <v>6</v>
      </c>
      <c r="E614">
        <v>0</v>
      </c>
      <c r="F614" t="s">
        <v>10</v>
      </c>
      <c r="G614" t="str" cm="1">
        <f t="array" ref="G614">FindCountryName(F614)</f>
        <v>None</v>
      </c>
      <c r="H614" s="3">
        <v>45158.077037037037</v>
      </c>
      <c r="I614" s="3">
        <v>45158.077037037037</v>
      </c>
      <c r="J614" s="3">
        <v>41543.259756944448</v>
      </c>
      <c r="K614" cm="1">
        <f t="array" ref="K614">sentimentCalc(C614)</f>
        <v>4</v>
      </c>
      <c r="L614" t="str" cm="1">
        <f t="array" ref="L614">sentimentCategory(K614)</f>
        <v>Positive</v>
      </c>
    </row>
    <row r="615" spans="1:12" x14ac:dyDescent="0.25">
      <c r="A615" t="s">
        <v>600</v>
      </c>
      <c r="B615" t="s">
        <v>4462</v>
      </c>
      <c r="C615" t="str" cm="1">
        <f t="array" ref="C615">CleanText(B615)</f>
        <v>bro is in oppenheimer</v>
      </c>
      <c r="D615">
        <v>0</v>
      </c>
      <c r="E615">
        <v>2</v>
      </c>
      <c r="F615" t="s">
        <v>10</v>
      </c>
      <c r="G615" t="str" cm="1">
        <f t="array" ref="G615">FindCountryName(F615)</f>
        <v>None</v>
      </c>
      <c r="H615" s="3">
        <v>45140.134756944448</v>
      </c>
      <c r="I615" s="3">
        <v>45140.134756944448</v>
      </c>
      <c r="J615" s="3">
        <v>44387.946967592594</v>
      </c>
      <c r="K615" cm="1">
        <f t="array" ref="K615">sentimentCalc(C615)</f>
        <v>0</v>
      </c>
      <c r="L615" t="str" cm="1">
        <f t="array" ref="L615">sentimentCategory(K615)</f>
        <v>Neutral</v>
      </c>
    </row>
    <row r="616" spans="1:12" x14ac:dyDescent="0.25">
      <c r="A616" t="s">
        <v>1323</v>
      </c>
      <c r="B616" t="s">
        <v>1324</v>
      </c>
      <c r="C616" t="str" cm="1">
        <f t="array" ref="C616">CleanText(B616)</f>
        <v>bro isnt this for kids no one is gonna watch this</v>
      </c>
      <c r="D616">
        <v>3</v>
      </c>
      <c r="E616">
        <v>6</v>
      </c>
      <c r="F616" t="s">
        <v>10</v>
      </c>
      <c r="G616" t="str" cm="1">
        <f t="array" ref="G616">FindCountryName(F616)</f>
        <v>None</v>
      </c>
      <c r="H616" s="3">
        <v>45245.031967592593</v>
      </c>
      <c r="I616" s="3">
        <v>45245.031967592593</v>
      </c>
      <c r="J616" s="3">
        <v>44450.615069444444</v>
      </c>
      <c r="K616" cm="1">
        <f t="array" ref="K616">sentimentCalc(C616)</f>
        <v>-1</v>
      </c>
      <c r="L616" t="str" cm="1">
        <f t="array" ref="L616">sentimentCategory(K616)</f>
        <v>Negative</v>
      </c>
    </row>
    <row r="617" spans="1:12" x14ac:dyDescent="0.25">
      <c r="A617" t="s">
        <v>2318</v>
      </c>
      <c r="B617" t="s">
        <v>3838</v>
      </c>
      <c r="C617" t="str" cm="1">
        <f t="array" ref="C617">CleanText(B617)</f>
        <v>bro made barbie an action movie</v>
      </c>
      <c r="D617">
        <v>0</v>
      </c>
      <c r="E617">
        <v>1</v>
      </c>
      <c r="F617" t="s">
        <v>10</v>
      </c>
      <c r="G617" t="str" cm="1">
        <f t="array" ref="G617">FindCountryName(F617)</f>
        <v>None</v>
      </c>
      <c r="H617" s="3">
        <v>45145.104849537034</v>
      </c>
      <c r="I617" s="3">
        <v>45145.104849537034</v>
      </c>
      <c r="J617" s="3">
        <v>45128.136562500003</v>
      </c>
      <c r="K617" cm="1">
        <f t="array" ref="K617">sentimentCalc(C617)</f>
        <v>0</v>
      </c>
      <c r="L617" t="str" cm="1">
        <f t="array" ref="L617">sentimentCategory(K617)</f>
        <v>Neutral</v>
      </c>
    </row>
    <row r="618" spans="1:12" x14ac:dyDescent="0.25">
      <c r="A618" t="s">
        <v>543</v>
      </c>
      <c r="B618" t="s">
        <v>4273</v>
      </c>
      <c r="C618" t="str" cm="1">
        <f t="array" ref="C618">CleanText(B618)</f>
        <v>bro margot robbies oh in the school scene  and when she cried and when the new barbieland made her cry</v>
      </c>
      <c r="D618">
        <v>1</v>
      </c>
      <c r="E618">
        <v>0</v>
      </c>
      <c r="F618" t="s">
        <v>10</v>
      </c>
      <c r="G618" t="str" cm="1">
        <f t="array" ref="G618">FindCountryName(F618)</f>
        <v>None</v>
      </c>
      <c r="H618" s="3">
        <v>45141.309189814812</v>
      </c>
      <c r="I618" s="3">
        <v>45162.653067129628</v>
      </c>
      <c r="J618" s="3">
        <v>44681.409756944442</v>
      </c>
      <c r="K618" cm="1">
        <f t="array" ref="K618">sentimentCalc(C618)</f>
        <v>-3</v>
      </c>
      <c r="L618" t="str" cm="1">
        <f t="array" ref="L618">sentimentCategory(K618)</f>
        <v>Negative</v>
      </c>
    </row>
    <row r="619" spans="1:12" x14ac:dyDescent="0.25">
      <c r="A619" t="s">
        <v>2228</v>
      </c>
      <c r="B619" t="s">
        <v>2229</v>
      </c>
      <c r="C619" t="str" cm="1">
        <f t="array" ref="C619">CleanText(B619)</f>
        <v>bro my dum ahh self thought this movie was a family movie</v>
      </c>
      <c r="D619">
        <v>0</v>
      </c>
      <c r="E619">
        <v>0</v>
      </c>
      <c r="F619" t="s">
        <v>10</v>
      </c>
      <c r="G619" t="str" cm="1">
        <f t="array" ref="G619">FindCountryName(F619)</f>
        <v>None</v>
      </c>
      <c r="H619" s="3">
        <v>45175.342569444445</v>
      </c>
      <c r="I619" s="3">
        <v>45175.342569444445</v>
      </c>
      <c r="J619" s="3">
        <v>45085.568819444445</v>
      </c>
      <c r="K619" cm="1">
        <f t="array" ref="K619">sentimentCalc(C619)</f>
        <v>0</v>
      </c>
      <c r="L619" t="str" cm="1">
        <f t="array" ref="L619">sentimentCategory(K619)</f>
        <v>Neutral</v>
      </c>
    </row>
    <row r="620" spans="1:12" x14ac:dyDescent="0.25">
      <c r="A620" t="s">
        <v>3192</v>
      </c>
      <c r="B620" t="s">
        <v>3632</v>
      </c>
      <c r="C620" t="str" cm="1">
        <f t="array" ref="C620">CleanText(B620)</f>
        <v>bro my screen is pink now d</v>
      </c>
      <c r="D620">
        <v>1</v>
      </c>
      <c r="E620">
        <v>0</v>
      </c>
      <c r="F620" t="s">
        <v>10</v>
      </c>
      <c r="G620" t="str" cm="1">
        <f t="array" ref="G620">FindCountryName(F620)</f>
        <v>None</v>
      </c>
      <c r="H620" s="3">
        <v>45146.974143518521</v>
      </c>
      <c r="I620" s="3">
        <v>45146.974143518521</v>
      </c>
      <c r="J620" s="3">
        <v>44560.558171296296</v>
      </c>
      <c r="K620" cm="1">
        <f t="array" ref="K620">sentimentCalc(C620)</f>
        <v>0</v>
      </c>
      <c r="L620" t="str" cm="1">
        <f t="array" ref="L620">sentimentCategory(K620)</f>
        <v>Neutral</v>
      </c>
    </row>
    <row r="621" spans="1:12" x14ac:dyDescent="0.25">
      <c r="A621" t="s">
        <v>2367</v>
      </c>
      <c r="B621" t="s">
        <v>2368</v>
      </c>
      <c r="C621" t="str" cm="1">
        <f t="array" ref="C621">CleanText(B621)</f>
        <v>bro sombody please help how do i watch it on netflix</v>
      </c>
      <c r="D621">
        <v>0</v>
      </c>
      <c r="E621">
        <v>2</v>
      </c>
      <c r="F621" t="s">
        <v>10</v>
      </c>
      <c r="G621" t="str" cm="1">
        <f t="array" ref="G621">FindCountryName(F621)</f>
        <v>None</v>
      </c>
      <c r="H621" s="3">
        <v>45170.359872685185</v>
      </c>
      <c r="I621" s="3">
        <v>45170.359872685185</v>
      </c>
      <c r="J621" s="3">
        <v>41965.662256944444</v>
      </c>
      <c r="K621" cm="1">
        <f t="array" ref="K621">sentimentCalc(C621)</f>
        <v>3</v>
      </c>
      <c r="L621" t="str" cm="1">
        <f t="array" ref="L621">sentimentCategory(K621)</f>
        <v>Positive</v>
      </c>
    </row>
    <row r="622" spans="1:12" x14ac:dyDescent="0.25">
      <c r="A622" t="s">
        <v>60</v>
      </c>
      <c r="B622" t="s">
        <v>3888</v>
      </c>
      <c r="C622" t="str" cm="1">
        <f t="array" ref="C622">CleanText(B622)</f>
        <v>bro this movie was kinda disturbing but it was still good</v>
      </c>
      <c r="D622">
        <v>0</v>
      </c>
      <c r="E622">
        <v>0</v>
      </c>
      <c r="F622" t="s">
        <v>10</v>
      </c>
      <c r="G622" t="str" cm="1">
        <f t="array" ref="G622">FindCountryName(F622)</f>
        <v>None</v>
      </c>
      <c r="H622" s="3">
        <v>45144.700185185182</v>
      </c>
      <c r="I622" s="3">
        <v>45144.700185185182</v>
      </c>
      <c r="J622" s="3">
        <v>44471.535844907405</v>
      </c>
      <c r="K622" cm="1">
        <f t="array" ref="K622">sentimentCalc(C622)</f>
        <v>1</v>
      </c>
      <c r="L622" t="str" cm="1">
        <f t="array" ref="L622">sentimentCategory(K622)</f>
        <v>Positive</v>
      </c>
    </row>
    <row r="623" spans="1:12" x14ac:dyDescent="0.25">
      <c r="A623" t="s">
        <v>1771</v>
      </c>
      <c r="B623" t="s">
        <v>3809</v>
      </c>
      <c r="C623" t="str" cm="1">
        <f t="array" ref="C623">CleanText(B623)</f>
        <v>bro barbie is for gigachads good movie</v>
      </c>
      <c r="D623">
        <v>0</v>
      </c>
      <c r="E623">
        <v>0</v>
      </c>
      <c r="F623" t="s">
        <v>10</v>
      </c>
      <c r="G623" t="str" cm="1">
        <f t="array" ref="G623">FindCountryName(F623)</f>
        <v>None</v>
      </c>
      <c r="H623" s="3">
        <v>45145.335405092592</v>
      </c>
      <c r="I623" s="3">
        <v>45145.335405092592</v>
      </c>
      <c r="J623" s="3">
        <v>44756.756689814814</v>
      </c>
      <c r="K623" cm="1">
        <f t="array" ref="K623">sentimentCalc(C623)</f>
        <v>3</v>
      </c>
      <c r="L623" t="str" cm="1">
        <f t="array" ref="L623">sentimentCategory(K623)</f>
        <v>Positive</v>
      </c>
    </row>
    <row r="624" spans="1:12" x14ac:dyDescent="0.25">
      <c r="A624" t="s">
        <v>4098</v>
      </c>
      <c r="B624" t="s">
        <v>4099</v>
      </c>
      <c r="C624" t="str" cm="1">
        <f t="array" ref="C624">CleanText(B624)</f>
        <v>bruh oppenheimer is so much better</v>
      </c>
      <c r="D624">
        <v>2</v>
      </c>
      <c r="E624">
        <v>5</v>
      </c>
      <c r="F624" t="s">
        <v>10</v>
      </c>
      <c r="G624" t="str" cm="1">
        <f t="array" ref="G624">FindCountryName(F624)</f>
        <v>None</v>
      </c>
      <c r="H624" s="3">
        <v>45142.898321759261</v>
      </c>
      <c r="I624" s="3">
        <v>45142.898321759261</v>
      </c>
      <c r="J624" s="3">
        <v>45109.618761574071</v>
      </c>
      <c r="K624" cm="1">
        <f t="array" ref="K624">sentimentCalc(C624)</f>
        <v>2</v>
      </c>
      <c r="L624" t="str" cm="1">
        <f t="array" ref="L624">sentimentCategory(K624)</f>
        <v>Positive</v>
      </c>
    </row>
    <row r="625" spans="1:12" x14ac:dyDescent="0.25">
      <c r="A625" t="s">
        <v>143</v>
      </c>
      <c r="B625" t="s">
        <v>2664</v>
      </c>
      <c r="C625" t="str" cm="1">
        <f t="array" ref="C625">CleanText(B625)</f>
        <v>bruh tahat awsshit isss sasaaaassssssssssssss</v>
      </c>
      <c r="D625">
        <v>0</v>
      </c>
      <c r="E625">
        <v>0</v>
      </c>
      <c r="F625" t="s">
        <v>10</v>
      </c>
      <c r="G625" t="str" cm="1">
        <f t="array" ref="G625">FindCountryName(F625)</f>
        <v>None</v>
      </c>
      <c r="H625" s="3">
        <v>45160.503449074073</v>
      </c>
      <c r="I625" s="3">
        <v>45160.503449074073</v>
      </c>
      <c r="J625" s="3">
        <v>43244.550104166665</v>
      </c>
      <c r="K625" cm="1">
        <f t="array" ref="K625">sentimentCalc(C625)</f>
        <v>0</v>
      </c>
      <c r="L625" t="str" cm="1">
        <f t="array" ref="L625">sentimentCategory(K625)</f>
        <v>Neutral</v>
      </c>
    </row>
    <row r="626" spans="1:12" x14ac:dyDescent="0.25">
      <c r="A626" t="s">
        <v>3287</v>
      </c>
      <c r="B626" t="s">
        <v>3364</v>
      </c>
      <c r="C626" t="str" cm="1">
        <f t="array" ref="C626">CleanText(B626)</f>
        <v>bruh barbie eeekkkk</v>
      </c>
      <c r="D626">
        <v>0</v>
      </c>
      <c r="E626">
        <v>0</v>
      </c>
      <c r="F626" t="s">
        <v>10</v>
      </c>
      <c r="G626" t="str" cm="1">
        <f t="array" ref="G626">FindCountryName(F626)</f>
        <v>None</v>
      </c>
      <c r="H626" s="3">
        <v>45149.631064814814</v>
      </c>
      <c r="I626" s="3">
        <v>45149.631064814814</v>
      </c>
      <c r="J626" s="3">
        <v>45147.630127314813</v>
      </c>
      <c r="K626" cm="1">
        <f t="array" ref="K626">sentimentCalc(C626)</f>
        <v>0</v>
      </c>
      <c r="L626" t="str" cm="1">
        <f t="array" ref="L626">sentimentCategory(K626)</f>
        <v>Neutral</v>
      </c>
    </row>
    <row r="627" spans="1:12" x14ac:dyDescent="0.25">
      <c r="A627" t="s">
        <v>30</v>
      </c>
      <c r="B627" t="s">
        <v>2295</v>
      </c>
      <c r="C627" t="str" cm="1">
        <f t="array" ref="C627">CleanText(B627)</f>
        <v>bruttok</v>
      </c>
      <c r="D627">
        <v>0</v>
      </c>
      <c r="E627">
        <v>0</v>
      </c>
      <c r="F627" t="s">
        <v>10</v>
      </c>
      <c r="G627" t="str" cm="1">
        <f t="array" ref="G627">FindCountryName(F627)</f>
        <v>None</v>
      </c>
      <c r="H627" s="3">
        <v>45172.539884259262</v>
      </c>
      <c r="I627" s="3">
        <v>45172.539884259262</v>
      </c>
      <c r="J627" s="3">
        <v>42935.171261574076</v>
      </c>
      <c r="K627" cm="1">
        <f t="array" ref="K627">sentimentCalc(C627)</f>
        <v>0</v>
      </c>
      <c r="L627" t="str" cm="1">
        <f t="array" ref="L627">sentimentCategory(K627)</f>
        <v>Neutral</v>
      </c>
    </row>
    <row r="628" spans="1:12" x14ac:dyDescent="0.25">
      <c r="A628" t="s">
        <v>292</v>
      </c>
      <c r="B628" t="s">
        <v>3744</v>
      </c>
      <c r="C628" t="str" cm="1">
        <f t="array" ref="C628">CleanText(B628)</f>
        <v>bruuugh</v>
      </c>
      <c r="D628">
        <v>0</v>
      </c>
      <c r="E628">
        <v>0</v>
      </c>
      <c r="F628" t="s">
        <v>10</v>
      </c>
      <c r="G628" t="str" cm="1">
        <f t="array" ref="G628">FindCountryName(F628)</f>
        <v>None</v>
      </c>
      <c r="H628" s="3">
        <v>45145.794062499997</v>
      </c>
      <c r="I628" s="3">
        <v>45145.794062499997</v>
      </c>
      <c r="J628" s="3">
        <v>42891.764918981484</v>
      </c>
      <c r="K628" cm="1">
        <f t="array" ref="K628">sentimentCalc(C628)</f>
        <v>0</v>
      </c>
      <c r="L628" t="str" cm="1">
        <f t="array" ref="L628">sentimentCategory(K628)</f>
        <v>Neutral</v>
      </c>
    </row>
    <row r="629" spans="1:12" x14ac:dyDescent="0.25">
      <c r="A629" t="s">
        <v>345</v>
      </c>
      <c r="B629" t="s">
        <v>665</v>
      </c>
      <c r="C629" t="str" cm="1">
        <f t="array" ref="C629">CleanText(B629)</f>
        <v>bu ok iyi muhteem tesi</v>
      </c>
      <c r="D629">
        <v>0</v>
      </c>
      <c r="E629">
        <v>0</v>
      </c>
      <c r="F629" t="s">
        <v>10</v>
      </c>
      <c r="G629" t="str" cm="1">
        <f t="array" ref="G629">FindCountryName(F629)</f>
        <v>None</v>
      </c>
      <c r="H629" s="3">
        <v>45314.273738425924</v>
      </c>
      <c r="I629" s="3">
        <v>45314.273738425924</v>
      </c>
      <c r="J629" s="3">
        <v>42744.296215277776</v>
      </c>
      <c r="K629" cm="1">
        <f t="array" ref="K629">sentimentCalc(C629)</f>
        <v>0</v>
      </c>
      <c r="L629" t="str" cm="1">
        <f t="array" ref="L629">sentimentCategory(K629)</f>
        <v>Neutral</v>
      </c>
    </row>
    <row r="630" spans="1:12" x14ac:dyDescent="0.25">
      <c r="A630" t="s">
        <v>165</v>
      </c>
      <c r="B630" t="s">
        <v>166</v>
      </c>
      <c r="C630" t="str" cm="1">
        <f t="array" ref="C630">CleanText(B630)</f>
        <v>bu bir barbie deil tylerim diken diken oldu sanki mthi</v>
      </c>
      <c r="D630">
        <v>0</v>
      </c>
      <c r="E630">
        <v>0</v>
      </c>
      <c r="F630" t="s">
        <v>10</v>
      </c>
      <c r="G630" t="str" cm="1">
        <f t="array" ref="G630">FindCountryName(F630)</f>
        <v>None</v>
      </c>
      <c r="H630" s="3">
        <v>45337.458715277775</v>
      </c>
      <c r="I630" s="3">
        <v>45337.458715277775</v>
      </c>
      <c r="J630" s="3">
        <v>45239.561076388891</v>
      </c>
      <c r="K630" cm="1">
        <f t="array" ref="K630">sentimentCalc(C630)</f>
        <v>0</v>
      </c>
      <c r="L630" t="str" cm="1">
        <f t="array" ref="L630">sentimentCategory(K630)</f>
        <v>Neutral</v>
      </c>
    </row>
    <row r="631" spans="1:12" x14ac:dyDescent="0.25">
      <c r="A631" t="s">
        <v>124</v>
      </c>
      <c r="B631" t="s">
        <v>561</v>
      </c>
      <c r="C631" t="str" cm="1">
        <f t="array" ref="C631">CleanText(B631)</f>
        <v>bu bir mucize herkes izlemeli</v>
      </c>
      <c r="D631">
        <v>0</v>
      </c>
      <c r="E631">
        <v>0</v>
      </c>
      <c r="F631" t="s">
        <v>10</v>
      </c>
      <c r="G631" t="str" cm="1">
        <f t="array" ref="G631">FindCountryName(F631)</f>
        <v>None</v>
      </c>
      <c r="H631" s="3">
        <v>45317.27412037037</v>
      </c>
      <c r="I631" s="3">
        <v>45317.27412037037</v>
      </c>
      <c r="J631" s="3">
        <v>42193.939942129633</v>
      </c>
      <c r="K631" cm="1">
        <f t="array" ref="K631">sentimentCalc(C631)</f>
        <v>0</v>
      </c>
      <c r="L631" t="str" cm="1">
        <f t="array" ref="L631">sentimentCategory(K631)</f>
        <v>Neutral</v>
      </c>
    </row>
    <row r="632" spans="1:12" x14ac:dyDescent="0.25">
      <c r="A632" t="s">
        <v>503</v>
      </c>
      <c r="B632" t="s">
        <v>904</v>
      </c>
      <c r="C632" t="str" cm="1">
        <f t="array" ref="C632">CleanText(B632)</f>
        <v>bu filim muhteem izlemeyi ok isterim herkese tavsiye ederim</v>
      </c>
      <c r="D632">
        <v>1</v>
      </c>
      <c r="E632">
        <v>0</v>
      </c>
      <c r="F632" t="s">
        <v>10</v>
      </c>
      <c r="G632" t="str" cm="1">
        <f t="array" ref="G632">FindCountryName(F632)</f>
        <v>None</v>
      </c>
      <c r="H632" s="3">
        <v>45299.290775462963</v>
      </c>
      <c r="I632" s="3">
        <v>45299.290775462963</v>
      </c>
      <c r="J632" s="3">
        <v>45298.252893518518</v>
      </c>
      <c r="K632" cm="1">
        <f t="array" ref="K632">sentimentCalc(C632)</f>
        <v>0</v>
      </c>
      <c r="L632" t="str" cm="1">
        <f t="array" ref="L632">sentimentCategory(K632)</f>
        <v>Neutral</v>
      </c>
    </row>
    <row r="633" spans="1:12" x14ac:dyDescent="0.25">
      <c r="A633" t="s">
        <v>432</v>
      </c>
      <c r="B633" t="s">
        <v>917</v>
      </c>
      <c r="C633" t="str" cm="1">
        <f t="array" ref="C633">CleanText(B633)</f>
        <v>bu film ok gzel olmu her dakikasnda glmekten yarlacanz bir film mutlaka izleyin</v>
      </c>
      <c r="D633">
        <v>0</v>
      </c>
      <c r="E633">
        <v>0</v>
      </c>
      <c r="F633" t="s">
        <v>10</v>
      </c>
      <c r="G633" t="str" cm="1">
        <f t="array" ref="G633">FindCountryName(F633)</f>
        <v>None</v>
      </c>
      <c r="H633" s="3">
        <v>45299.271990740737</v>
      </c>
      <c r="I633" s="3">
        <v>45299.271990740737</v>
      </c>
      <c r="J633" s="3">
        <v>40939.184537037036</v>
      </c>
      <c r="K633" cm="1">
        <f t="array" ref="K633">sentimentCalc(C633)</f>
        <v>0</v>
      </c>
      <c r="L633" t="str" cm="1">
        <f t="array" ref="L633">sentimentCategory(K633)</f>
        <v>Neutral</v>
      </c>
    </row>
    <row r="634" spans="1:12" x14ac:dyDescent="0.25">
      <c r="A634" t="s">
        <v>329</v>
      </c>
      <c r="B634" t="s">
        <v>330</v>
      </c>
      <c r="C634" t="str" cm="1">
        <f t="array" ref="C634">CleanText(B634)</f>
        <v>bu film ok iyi margot harika bu arada</v>
      </c>
      <c r="D634">
        <v>0</v>
      </c>
      <c r="E634">
        <v>0</v>
      </c>
      <c r="F634" t="s">
        <v>10</v>
      </c>
      <c r="G634" t="str" cm="1">
        <f t="array" ref="G634">FindCountryName(F634)</f>
        <v>None</v>
      </c>
      <c r="H634" s="3">
        <v>45322.292372685188</v>
      </c>
      <c r="I634" s="3">
        <v>45322.292372685188</v>
      </c>
      <c r="J634" s="3">
        <v>42847.321168981478</v>
      </c>
      <c r="K634" cm="1">
        <f t="array" ref="K634">sentimentCalc(C634)</f>
        <v>0</v>
      </c>
      <c r="L634" t="str" cm="1">
        <f t="array" ref="L634">sentimentCategory(K634)</f>
        <v>Neutral</v>
      </c>
    </row>
    <row r="635" spans="1:12" x14ac:dyDescent="0.25">
      <c r="A635" t="s">
        <v>105</v>
      </c>
      <c r="B635" t="s">
        <v>1011</v>
      </c>
      <c r="C635" t="str" cm="1">
        <f t="array" ref="C635">CleanText(B635)</f>
        <v>bu film bana gre ok gzel</v>
      </c>
      <c r="D635">
        <v>0</v>
      </c>
      <c r="E635">
        <v>0</v>
      </c>
      <c r="F635" t="s">
        <v>10</v>
      </c>
      <c r="G635" t="str" cm="1">
        <f t="array" ref="G635">FindCountryName(F635)</f>
        <v>None</v>
      </c>
      <c r="H635" s="3">
        <v>45299.251886574071</v>
      </c>
      <c r="I635" s="3">
        <v>45299.251886574071</v>
      </c>
      <c r="J635" s="3">
        <v>42491.560960648145</v>
      </c>
      <c r="K635" cm="1">
        <f t="array" ref="K635">sentimentCalc(C635)</f>
        <v>0</v>
      </c>
      <c r="L635" t="str" cm="1">
        <f t="array" ref="L635">sentimentCategory(K635)</f>
        <v>Neutral</v>
      </c>
    </row>
    <row r="636" spans="1:12" x14ac:dyDescent="0.25">
      <c r="A636" t="s">
        <v>58</v>
      </c>
      <c r="B636" t="s">
        <v>874</v>
      </c>
      <c r="C636" t="str" cm="1">
        <f t="array" ref="C636">CleanText(B636)</f>
        <v>bu film beni at ocukluumu hatrlamak harikayd</v>
      </c>
      <c r="D636">
        <v>1</v>
      </c>
      <c r="E636">
        <v>0</v>
      </c>
      <c r="F636" t="s">
        <v>10</v>
      </c>
      <c r="G636" t="str" cm="1">
        <f t="array" ref="G636">FindCountryName(F636)</f>
        <v>None</v>
      </c>
      <c r="H636" s="3">
        <v>45299.368425925924</v>
      </c>
      <c r="I636" s="3">
        <v>45299.368425925924</v>
      </c>
      <c r="J636" s="3">
        <v>45299.368414351855</v>
      </c>
      <c r="K636" cm="1">
        <f t="array" ref="K636">sentimentCalc(C636)</f>
        <v>0</v>
      </c>
      <c r="L636" t="str" cm="1">
        <f t="array" ref="L636">sentimentCategory(K636)</f>
        <v>Neutral</v>
      </c>
    </row>
    <row r="637" spans="1:12" x14ac:dyDescent="0.25">
      <c r="A637" t="s">
        <v>105</v>
      </c>
      <c r="B637" t="s">
        <v>615</v>
      </c>
      <c r="C637" t="str" cm="1">
        <f t="array" ref="C637">CleanText(B637)</f>
        <v>bu film gerekten ok iyi ve ok gzel</v>
      </c>
      <c r="D637">
        <v>0</v>
      </c>
      <c r="E637">
        <v>0</v>
      </c>
      <c r="F637" t="s">
        <v>10</v>
      </c>
      <c r="G637" t="str" cm="1">
        <f t="array" ref="G637">FindCountryName(F637)</f>
        <v>None</v>
      </c>
      <c r="H637" s="3">
        <v>45315.249525462961</v>
      </c>
      <c r="I637" s="3">
        <v>45315.249525462961</v>
      </c>
      <c r="J637" s="3">
        <v>45315.247743055559</v>
      </c>
      <c r="K637" cm="1">
        <f t="array" ref="K637">sentimentCalc(C637)</f>
        <v>0</v>
      </c>
      <c r="L637" t="str" cm="1">
        <f t="array" ref="L637">sentimentCategory(K637)</f>
        <v>Neutral</v>
      </c>
    </row>
    <row r="638" spans="1:12" x14ac:dyDescent="0.25">
      <c r="A638" t="s">
        <v>128</v>
      </c>
      <c r="B638" t="s">
        <v>129</v>
      </c>
      <c r="C638" t="str" cm="1">
        <f t="array" ref="C638">CleanText(B638)</f>
        <v>bu film harika gerekten mthi</v>
      </c>
      <c r="D638">
        <v>0</v>
      </c>
      <c r="E638">
        <v>0</v>
      </c>
      <c r="F638" t="s">
        <v>10</v>
      </c>
      <c r="G638" t="str" cm="1">
        <f t="array" ref="G638">FindCountryName(F638)</f>
        <v>None</v>
      </c>
      <c r="H638" s="3">
        <v>45337.463495370372</v>
      </c>
      <c r="I638" s="3">
        <v>45337.463495370372</v>
      </c>
      <c r="J638" s="3">
        <v>45337.251215277778</v>
      </c>
      <c r="K638" cm="1">
        <f t="array" ref="K638">sentimentCalc(C638)</f>
        <v>0</v>
      </c>
      <c r="L638" t="str" cm="1">
        <f t="array" ref="L638">sentimentCategory(K638)</f>
        <v>Neutral</v>
      </c>
    </row>
    <row r="639" spans="1:12" x14ac:dyDescent="0.25">
      <c r="A639" t="s">
        <v>453</v>
      </c>
      <c r="B639" t="s">
        <v>680</v>
      </c>
      <c r="C639" t="str" cm="1">
        <f t="array" ref="C639">CleanText(B639)</f>
        <v>bu film nostaljiden bahsetmeye gerek yok barbie tarih yazar</v>
      </c>
      <c r="D639">
        <v>0</v>
      </c>
      <c r="E639">
        <v>0</v>
      </c>
      <c r="F639" t="s">
        <v>10</v>
      </c>
      <c r="G639" t="str" cm="1">
        <f t="array" ref="G639">FindCountryName(F639)</f>
        <v>None</v>
      </c>
      <c r="H639" s="3">
        <v>45314.272037037037</v>
      </c>
      <c r="I639" s="3">
        <v>45314.272037037037</v>
      </c>
      <c r="J639" s="3">
        <v>42887.740451388891</v>
      </c>
      <c r="K639" cm="1">
        <f t="array" ref="K639">sentimentCalc(C639)</f>
        <v>0</v>
      </c>
      <c r="L639" t="str" cm="1">
        <f t="array" ref="L639">sentimentCategory(K639)</f>
        <v>Neutral</v>
      </c>
    </row>
    <row r="640" spans="1:12" x14ac:dyDescent="0.25">
      <c r="A640" t="s">
        <v>678</v>
      </c>
      <c r="B640" t="s">
        <v>679</v>
      </c>
      <c r="C640" t="str" cm="1">
        <f t="array" ref="C640">CleanText(B640)</f>
        <v>bu filme gittigim icin asla pisman degilim</v>
      </c>
      <c r="D640">
        <v>0</v>
      </c>
      <c r="E640">
        <v>0</v>
      </c>
      <c r="F640" t="s">
        <v>10</v>
      </c>
      <c r="G640" t="str" cm="1">
        <f t="array" ref="G640">FindCountryName(F640)</f>
        <v>None</v>
      </c>
      <c r="H640" s="3">
        <v>45314.272083333337</v>
      </c>
      <c r="I640" s="3">
        <v>45314.272083333337</v>
      </c>
      <c r="J640" s="3">
        <v>44060.871481481481</v>
      </c>
      <c r="K640" cm="1">
        <f t="array" ref="K640">sentimentCalc(C640)</f>
        <v>0</v>
      </c>
      <c r="L640" t="str" cm="1">
        <f t="array" ref="L640">sentimentCategory(K640)</f>
        <v>Neutral</v>
      </c>
    </row>
    <row r="641" spans="1:12" x14ac:dyDescent="0.25">
      <c r="A641" t="s">
        <v>395</v>
      </c>
      <c r="B641" t="s">
        <v>1012</v>
      </c>
      <c r="C641" t="str" cm="1">
        <f t="array" ref="C641">CleanText(B641)</f>
        <v>bu filmin bu kadar ho olacan tahmin etmemitimiyi seyirler</v>
      </c>
      <c r="D641">
        <v>0</v>
      </c>
      <c r="E641">
        <v>0</v>
      </c>
      <c r="F641" t="s">
        <v>10</v>
      </c>
      <c r="G641" t="str" cm="1">
        <f t="array" ref="G641">FindCountryName(F641)</f>
        <v>None</v>
      </c>
      <c r="H641" s="3">
        <v>45299.251759259256</v>
      </c>
      <c r="I641" s="3">
        <v>45299.251759259256</v>
      </c>
      <c r="J641" s="3">
        <v>41027.3044212963</v>
      </c>
      <c r="K641" cm="1">
        <f t="array" ref="K641">sentimentCalc(C641)</f>
        <v>0</v>
      </c>
      <c r="L641" t="str" cm="1">
        <f t="array" ref="L641">sentimentCategory(K641)</f>
        <v>Neutral</v>
      </c>
    </row>
    <row r="642" spans="1:12" x14ac:dyDescent="0.25">
      <c r="A642" t="s">
        <v>425</v>
      </c>
      <c r="B642" t="s">
        <v>426</v>
      </c>
      <c r="C642" t="str" cm="1">
        <f t="array" ref="C642">CleanText(B642)</f>
        <v>bu gerekten gzel bir fragman kaliteli</v>
      </c>
      <c r="D642">
        <v>1</v>
      </c>
      <c r="E642">
        <v>0</v>
      </c>
      <c r="F642" t="s">
        <v>10</v>
      </c>
      <c r="G642" t="str" cm="1">
        <f t="array" ref="G642">FindCountryName(F642)</f>
        <v>None</v>
      </c>
      <c r="H642" s="3">
        <v>45322.271863425929</v>
      </c>
      <c r="I642" s="3">
        <v>45322.271863425929</v>
      </c>
      <c r="J642" s="3">
        <v>44525.265682870369</v>
      </c>
      <c r="K642" cm="1">
        <f t="array" ref="K642">sentimentCalc(C642)</f>
        <v>0</v>
      </c>
      <c r="L642" t="str" cm="1">
        <f t="array" ref="L642">sentimentCategory(K642)</f>
        <v>Neutral</v>
      </c>
    </row>
    <row r="643" spans="1:12" x14ac:dyDescent="0.25">
      <c r="A643" t="s">
        <v>241</v>
      </c>
      <c r="B643" t="s">
        <v>3467</v>
      </c>
      <c r="C643" t="str" cm="1">
        <f t="array" ref="C643">CleanText(B643)</f>
        <v>bu kz gerek bir barbie</v>
      </c>
      <c r="D643">
        <v>0</v>
      </c>
      <c r="E643">
        <v>0</v>
      </c>
      <c r="F643" t="s">
        <v>10</v>
      </c>
      <c r="G643" t="str" cm="1">
        <f t="array" ref="G643">FindCountryName(F643)</f>
        <v>None</v>
      </c>
      <c r="H643" s="3">
        <v>45148.574849537035</v>
      </c>
      <c r="I643" s="3">
        <v>45148.574837962966</v>
      </c>
      <c r="J643" s="3">
        <v>44846.226111111115</v>
      </c>
      <c r="K643" cm="1">
        <f t="array" ref="K643">sentimentCalc(C643)</f>
        <v>0</v>
      </c>
      <c r="L643" t="str" cm="1">
        <f t="array" ref="L643">sentimentCategory(K643)</f>
        <v>Neutral</v>
      </c>
    </row>
    <row r="644" spans="1:12" x14ac:dyDescent="0.25">
      <c r="A644" t="s">
        <v>730</v>
      </c>
      <c r="B644" t="s">
        <v>731</v>
      </c>
      <c r="C644" t="str" cm="1">
        <f t="array" ref="C644">CleanText(B644)</f>
        <v>bu kadar gzel bir sahne olamaz harikaa</v>
      </c>
      <c r="D644">
        <v>0</v>
      </c>
      <c r="E644">
        <v>0</v>
      </c>
      <c r="F644" t="s">
        <v>10</v>
      </c>
      <c r="G644" t="str" cm="1">
        <f t="array" ref="G644">FindCountryName(F644)</f>
        <v>None</v>
      </c>
      <c r="H644" s="3">
        <v>45310.264039351852</v>
      </c>
      <c r="I644" s="3">
        <v>45310.264039351852</v>
      </c>
      <c r="J644" s="3">
        <v>45026.623854166668</v>
      </c>
      <c r="K644" cm="1">
        <f t="array" ref="K644">sentimentCalc(C644)</f>
        <v>0</v>
      </c>
      <c r="L644" t="str" cm="1">
        <f t="array" ref="L644">sentimentCategory(K644)</f>
        <v>Neutral</v>
      </c>
    </row>
    <row r="645" spans="1:12" x14ac:dyDescent="0.25">
      <c r="A645" t="s">
        <v>133</v>
      </c>
      <c r="B645" t="s">
        <v>134</v>
      </c>
      <c r="C645" t="str" cm="1">
        <f t="array" ref="C645">CleanText(B645)</f>
        <v>bu sinema gie rekorlar krd mthi</v>
      </c>
      <c r="D645">
        <v>0</v>
      </c>
      <c r="E645">
        <v>0</v>
      </c>
      <c r="F645" t="s">
        <v>10</v>
      </c>
      <c r="G645" t="str" cm="1">
        <f t="array" ref="G645">FindCountryName(F645)</f>
        <v>None</v>
      </c>
      <c r="H645" s="3">
        <v>45337.461817129632</v>
      </c>
      <c r="I645" s="3">
        <v>45337.461817129632</v>
      </c>
      <c r="J645" s="3">
        <v>45337.251886574071</v>
      </c>
      <c r="K645" cm="1">
        <f t="array" ref="K645">sentimentCalc(C645)</f>
        <v>0</v>
      </c>
      <c r="L645" t="str" cm="1">
        <f t="array" ref="L645">sentimentCategory(K645)</f>
        <v>Neutral</v>
      </c>
    </row>
    <row r="646" spans="1:12" x14ac:dyDescent="0.25">
      <c r="A646" t="s">
        <v>112</v>
      </c>
      <c r="B646" t="s">
        <v>113</v>
      </c>
      <c r="C646" t="str" cm="1">
        <f t="array" ref="C646">CleanText(B646)</f>
        <v>bu sinema ve gie baars altn kresini kazanacak</v>
      </c>
      <c r="D646">
        <v>0</v>
      </c>
      <c r="E646">
        <v>0</v>
      </c>
      <c r="F646" t="s">
        <v>10</v>
      </c>
      <c r="G646" t="str" cm="1">
        <f t="array" ref="G646">FindCountryName(F646)</f>
        <v>None</v>
      </c>
      <c r="H646" s="3">
        <v>45337.483067129629</v>
      </c>
      <c r="I646" s="3">
        <v>45337.483229166668</v>
      </c>
      <c r="J646" s="3">
        <v>43814.63559027778</v>
      </c>
      <c r="K646" cm="1">
        <f t="array" ref="K646">sentimentCalc(C646)</f>
        <v>0</v>
      </c>
      <c r="L646" t="str" cm="1">
        <f t="array" ref="L646">sentimentCategory(K646)</f>
        <v>Neutral</v>
      </c>
    </row>
    <row r="647" spans="1:12" x14ac:dyDescent="0.25">
      <c r="A647" t="s">
        <v>241</v>
      </c>
      <c r="B647" t="s">
        <v>3275</v>
      </c>
      <c r="C647" t="str" cm="1">
        <f t="array" ref="C647">CleanText(B647)</f>
        <v>bubble gum movie</v>
      </c>
      <c r="D647">
        <v>2</v>
      </c>
      <c r="E647">
        <v>0</v>
      </c>
      <c r="F647" t="s">
        <v>10</v>
      </c>
      <c r="G647" t="str" cm="1">
        <f t="array" ref="G647">FindCountryName(F647)</f>
        <v>None</v>
      </c>
      <c r="H647" s="3">
        <v>45150.895381944443</v>
      </c>
      <c r="I647" s="3">
        <v>45150.895381944443</v>
      </c>
      <c r="J647" s="3">
        <v>43393.73809027778</v>
      </c>
      <c r="K647" cm="1">
        <f t="array" ref="K647">sentimentCalc(C647)</f>
        <v>0</v>
      </c>
      <c r="L647" t="str" cm="1">
        <f t="array" ref="L647">sentimentCategory(K647)</f>
        <v>Neutral</v>
      </c>
    </row>
    <row r="648" spans="1:12" x14ac:dyDescent="0.25">
      <c r="A648" t="s">
        <v>412</v>
      </c>
      <c r="B648" t="s">
        <v>767</v>
      </c>
      <c r="C648" t="str" cm="1">
        <f t="array" ref="C648">CleanText(B648)</f>
        <v>buguytytuuhguggy</v>
      </c>
      <c r="D648">
        <v>0</v>
      </c>
      <c r="E648">
        <v>0</v>
      </c>
      <c r="F648" t="s">
        <v>10</v>
      </c>
      <c r="G648" t="str" cm="1">
        <f t="array" ref="G648">FindCountryName(F648)</f>
        <v>None</v>
      </c>
      <c r="H648" s="3">
        <v>45308.970416666663</v>
      </c>
      <c r="I648" s="3">
        <v>45308.970416666663</v>
      </c>
      <c r="J648" s="3">
        <v>42462.458449074074</v>
      </c>
      <c r="K648" cm="1">
        <f t="array" ref="K648">sentimentCalc(C648)</f>
        <v>0</v>
      </c>
      <c r="L648" t="str" cm="1">
        <f t="array" ref="L648">sentimentCategory(K648)</f>
        <v>Neutral</v>
      </c>
    </row>
    <row r="649" spans="1:12" x14ac:dyDescent="0.25">
      <c r="A649" t="s">
        <v>553</v>
      </c>
      <c r="B649" t="s">
        <v>4440</v>
      </c>
      <c r="C649" t="str" cm="1">
        <f t="array" ref="C649">CleanText(B649)</f>
        <v>bune bk gibi film</v>
      </c>
      <c r="D649">
        <v>2</v>
      </c>
      <c r="E649">
        <v>0</v>
      </c>
      <c r="F649" t="s">
        <v>1611</v>
      </c>
      <c r="G649" t="str" cm="1">
        <f t="array" ref="G649">FindCountryName(F649)</f>
        <v>Azerbaijan</v>
      </c>
      <c r="H649" s="3">
        <v>45140.26153935185</v>
      </c>
      <c r="I649" s="3">
        <v>45140.26153935185</v>
      </c>
      <c r="J649" s="3">
        <v>44323.085023148145</v>
      </c>
      <c r="K649" cm="1">
        <f t="array" ref="K649">sentimentCalc(C649)</f>
        <v>0</v>
      </c>
      <c r="L649" t="str" cm="1">
        <f t="array" ref="L649">sentimentCategory(K649)</f>
        <v>Neutral</v>
      </c>
    </row>
    <row r="650" spans="1:12" x14ac:dyDescent="0.25">
      <c r="A650" t="s">
        <v>432</v>
      </c>
      <c r="B650" t="s">
        <v>3036</v>
      </c>
      <c r="C650" t="str" cm="1">
        <f t="array" ref="C650">CleanText(B650)</f>
        <v>but im a man</v>
      </c>
      <c r="D650">
        <v>0</v>
      </c>
      <c r="E650">
        <v>0</v>
      </c>
      <c r="F650" t="s">
        <v>10</v>
      </c>
      <c r="G650" t="str" cm="1">
        <f t="array" ref="G650">FindCountryName(F650)</f>
        <v>None</v>
      </c>
      <c r="H650" s="3">
        <v>45154.27685185185</v>
      </c>
      <c r="I650" s="3">
        <v>45154.27685185185</v>
      </c>
      <c r="J650" s="3">
        <v>42854.781817129631</v>
      </c>
      <c r="K650" cm="1">
        <f t="array" ref="K650">sentimentCalc(C650)</f>
        <v>0</v>
      </c>
      <c r="L650" t="str" cm="1">
        <f t="array" ref="L650">sentimentCategory(K650)</f>
        <v>Neutral</v>
      </c>
    </row>
    <row r="651" spans="1:12" x14ac:dyDescent="0.25">
      <c r="A651" t="s">
        <v>105</v>
      </c>
      <c r="B651" t="s">
        <v>1591</v>
      </c>
      <c r="C651" t="str" cm="1">
        <f t="array" ref="C651">CleanText(B651)</f>
        <v>n</v>
      </c>
      <c r="D651">
        <v>0</v>
      </c>
      <c r="E651">
        <v>0</v>
      </c>
      <c r="F651" t="s">
        <v>10</v>
      </c>
      <c r="G651" t="str" cm="1">
        <f t="array" ref="G651">FindCountryName(F651)</f>
        <v>None</v>
      </c>
      <c r="H651" s="3">
        <v>45210.874652777777</v>
      </c>
      <c r="I651" s="3">
        <v>45210.874652777777</v>
      </c>
      <c r="J651" s="3">
        <v>45071.355046296296</v>
      </c>
      <c r="K651" cm="1">
        <f t="array" ref="K651">sentimentCalc(C651)</f>
        <v>0</v>
      </c>
      <c r="L651" t="str" cm="1">
        <f t="array" ref="L651">sentimentCategory(K651)</f>
        <v>Neutral</v>
      </c>
    </row>
    <row r="652" spans="1:12" x14ac:dyDescent="0.25">
      <c r="A652" t="s">
        <v>773</v>
      </c>
      <c r="B652" t="s">
        <v>1224</v>
      </c>
      <c r="C652" t="str" cm="1">
        <f t="array" ref="C652">CleanText(B652)</f>
        <v>w</v>
      </c>
      <c r="D652">
        <v>1</v>
      </c>
      <c r="E652">
        <v>0</v>
      </c>
      <c r="F652" t="s">
        <v>10</v>
      </c>
      <c r="G652" t="str" cm="1">
        <f t="array" ref="G652">FindCountryName(F652)</f>
        <v>None</v>
      </c>
      <c r="H652" s="3">
        <v>45274.135509259257</v>
      </c>
      <c r="I652" s="3">
        <v>45274.135509259257</v>
      </c>
      <c r="J652" s="3">
        <v>43137.326747685183</v>
      </c>
      <c r="K652" cm="1">
        <f t="array" ref="K652">sentimentCalc(C652)</f>
        <v>0</v>
      </c>
      <c r="L652" t="str" cm="1">
        <f t="array" ref="L652">sentimentCategory(K652)</f>
        <v>Neutral</v>
      </c>
    </row>
    <row r="653" spans="1:12" x14ac:dyDescent="0.25">
      <c r="A653" t="s">
        <v>1949</v>
      </c>
      <c r="B653" t="s">
        <v>4216</v>
      </c>
      <c r="C653" t="str" cm="1">
        <f t="array" ref="C653">CleanText(B653)</f>
        <v>n</v>
      </c>
      <c r="D653">
        <v>1</v>
      </c>
      <c r="E653">
        <v>4</v>
      </c>
      <c r="F653" t="s">
        <v>10</v>
      </c>
      <c r="G653" t="str" cm="1">
        <f t="array" ref="G653">FindCountryName(F653)</f>
        <v>None</v>
      </c>
      <c r="H653" s="3">
        <v>45141.831145833334</v>
      </c>
      <c r="I653" s="3">
        <v>45141.831145833334</v>
      </c>
      <c r="J653" s="3">
        <v>45078.892233796294</v>
      </c>
      <c r="K653" cm="1">
        <f t="array" ref="K653">sentimentCalc(C653)</f>
        <v>0</v>
      </c>
      <c r="L653" t="str" cm="1">
        <f t="array" ref="L653">sentimentCategory(K653)</f>
        <v>Neutral</v>
      </c>
    </row>
    <row r="654" spans="1:12" x14ac:dyDescent="0.25">
      <c r="A654" t="s">
        <v>90</v>
      </c>
      <c r="B654" t="s">
        <v>3554</v>
      </c>
      <c r="C654" t="str" cm="1">
        <f t="array" ref="C654">CleanText(B654)</f>
        <v>came back to watch the trailer after i saw the movie yesterdaythe movie was really great in my opinion i think the trailer makes the movie look dumb just go see the movie</v>
      </c>
      <c r="D654">
        <v>2</v>
      </c>
      <c r="E654">
        <v>0</v>
      </c>
      <c r="F654" t="s">
        <v>10</v>
      </c>
      <c r="G654" t="str" cm="1">
        <f t="array" ref="G654">FindCountryName(F654)</f>
        <v>None</v>
      </c>
      <c r="H654" s="3">
        <v>45147.573807870373</v>
      </c>
      <c r="I654" s="3">
        <v>45147.573807870373</v>
      </c>
      <c r="J654" s="3">
        <v>41576.803101851852</v>
      </c>
      <c r="K654" cm="1">
        <f t="array" ref="K654">sentimentCalc(C654)</f>
        <v>0</v>
      </c>
      <c r="L654" t="str" cm="1">
        <f t="array" ref="L654">sentimentCategory(K654)</f>
        <v>Neutral</v>
      </c>
    </row>
    <row r="655" spans="1:12" x14ac:dyDescent="0.25">
      <c r="A655" t="s">
        <v>182</v>
      </c>
      <c r="B655" t="s">
        <v>1256</v>
      </c>
      <c r="C655" t="str" cm="1">
        <f t="array" ref="C655">CleanText(B655)</f>
        <v>came back to watch this again after the snl mama cass sketch</v>
      </c>
      <c r="D655">
        <v>1</v>
      </c>
      <c r="E655">
        <v>0</v>
      </c>
      <c r="F655" t="s">
        <v>10</v>
      </c>
      <c r="G655" t="str" cm="1">
        <f t="array" ref="G655">FindCountryName(F655)</f>
        <v>None</v>
      </c>
      <c r="H655" s="3">
        <v>45266.604849537034</v>
      </c>
      <c r="I655" s="3">
        <v>45266.604849537034</v>
      </c>
      <c r="J655" s="3">
        <v>41768.590717592589</v>
      </c>
      <c r="K655" cm="1">
        <f t="array" ref="K655">sentimentCalc(C655)</f>
        <v>0</v>
      </c>
      <c r="L655" t="str" cm="1">
        <f t="array" ref="L655">sentimentCategory(K655)</f>
        <v>Neutral</v>
      </c>
    </row>
    <row r="656" spans="1:12" x14ac:dyDescent="0.25">
      <c r="A656" t="s">
        <v>41</v>
      </c>
      <c r="B656" t="s">
        <v>4375</v>
      </c>
      <c r="C656" t="str" cm="1">
        <f t="array" ref="C656">CleanText(B656)</f>
        <v>can i talk to a doctor i am a doctor</v>
      </c>
      <c r="D656">
        <v>0</v>
      </c>
      <c r="E656">
        <v>0</v>
      </c>
      <c r="F656" t="s">
        <v>10</v>
      </c>
      <c r="G656" t="str" cm="1">
        <f t="array" ref="G656">FindCountryName(F656)</f>
        <v>None</v>
      </c>
      <c r="H656" s="3">
        <v>45140.569386574076</v>
      </c>
      <c r="I656" s="3">
        <v>45140.569386574076</v>
      </c>
      <c r="J656" s="3">
        <v>45140.569386574076</v>
      </c>
      <c r="K656" cm="1">
        <f t="array" ref="K656">sentimentCalc(C656)</f>
        <v>0</v>
      </c>
      <c r="L656" t="str" cm="1">
        <f t="array" ref="L656">sentimentCategory(K656)</f>
        <v>Neutral</v>
      </c>
    </row>
    <row r="657" spans="1:12" x14ac:dyDescent="0.25">
      <c r="A657" t="s">
        <v>2850</v>
      </c>
      <c r="B657" t="s">
        <v>2854</v>
      </c>
      <c r="C657" t="str" cm="1">
        <f t="array" ref="C657">CleanText(B657)</f>
        <v>can sen sevsn mnde sevirem</v>
      </c>
      <c r="D657">
        <v>0</v>
      </c>
      <c r="E657">
        <v>0</v>
      </c>
      <c r="F657" t="s">
        <v>10</v>
      </c>
      <c r="G657" t="str" cm="1">
        <f t="array" ref="G657">FindCountryName(F657)</f>
        <v>None</v>
      </c>
      <c r="H657" s="3">
        <v>45156.842592592591</v>
      </c>
      <c r="I657" s="3">
        <v>45156.842592592591</v>
      </c>
      <c r="J657" s="3">
        <v>45124.740451388891</v>
      </c>
      <c r="K657" cm="1">
        <f t="array" ref="K657">sentimentCalc(C657)</f>
        <v>0</v>
      </c>
      <c r="L657" t="str" cm="1">
        <f t="array" ref="L657">sentimentCategory(K657)</f>
        <v>Neutral</v>
      </c>
    </row>
    <row r="658" spans="1:12" x14ac:dyDescent="0.25">
      <c r="A658" t="s">
        <v>152</v>
      </c>
      <c r="B658" t="s">
        <v>4308</v>
      </c>
      <c r="C658" t="str" cm="1">
        <f t="array" ref="C658">CleanText(B658)</f>
        <v>can someone explain why everyone is so hype</v>
      </c>
      <c r="D658">
        <v>0</v>
      </c>
      <c r="E658">
        <v>0</v>
      </c>
      <c r="F658" t="s">
        <v>10</v>
      </c>
      <c r="G658" t="str" cm="1">
        <f t="array" ref="G658">FindCountryName(F658)</f>
        <v>None</v>
      </c>
      <c r="H658" s="3">
        <v>45141.076331018521</v>
      </c>
      <c r="I658" s="3">
        <v>45141.076331018521</v>
      </c>
      <c r="J658" s="3">
        <v>43303.879502314812</v>
      </c>
      <c r="K658" cm="1">
        <f t="array" ref="K658">sentimentCalc(C658)</f>
        <v>0</v>
      </c>
      <c r="L658" t="str" cm="1">
        <f t="array" ref="L658">sentimentCategory(K658)</f>
        <v>Neutral</v>
      </c>
    </row>
    <row r="659" spans="1:12" x14ac:dyDescent="0.25">
      <c r="A659" t="s">
        <v>4245</v>
      </c>
      <c r="B659" t="s">
        <v>4246</v>
      </c>
      <c r="C659" t="str" cm="1">
        <f t="array" ref="C659">CleanText(B659)</f>
        <v>can u make a worst movie of all times this was it</v>
      </c>
      <c r="D659">
        <v>2</v>
      </c>
      <c r="E659">
        <v>0</v>
      </c>
      <c r="F659" t="s">
        <v>10</v>
      </c>
      <c r="G659" t="str" cm="1">
        <f t="array" ref="G659">FindCountryName(F659)</f>
        <v>None</v>
      </c>
      <c r="H659" s="3">
        <v>45141.495937500003</v>
      </c>
      <c r="I659" s="3">
        <v>45141.495937500003</v>
      </c>
      <c r="J659" s="3">
        <v>40601.519791666666</v>
      </c>
      <c r="K659" cm="1">
        <f t="array" ref="K659">sentimentCalc(C659)</f>
        <v>-3</v>
      </c>
      <c r="L659" t="str" cm="1">
        <f t="array" ref="L659">sentimentCategory(K659)</f>
        <v>Negative</v>
      </c>
    </row>
    <row r="660" spans="1:12" x14ac:dyDescent="0.25">
      <c r="A660" t="s">
        <v>228</v>
      </c>
      <c r="B660" t="s">
        <v>1309</v>
      </c>
      <c r="C660" t="str" cm="1">
        <f t="array" ref="C660">CleanText(B660)</f>
        <v>can we just take a moment to know that greta made a good choice about doing the movie and margot robbie was a good barbie and for how long she had to be on heels</v>
      </c>
      <c r="D660">
        <v>1</v>
      </c>
      <c r="E660">
        <v>1</v>
      </c>
      <c r="F660" t="s">
        <v>10</v>
      </c>
      <c r="G660" t="str" cm="1">
        <f t="array" ref="G660">FindCountryName(F660)</f>
        <v>None</v>
      </c>
      <c r="H660" s="3">
        <v>45249.3591087963</v>
      </c>
      <c r="I660" s="3">
        <v>45249.3591087963</v>
      </c>
      <c r="J660" s="3">
        <v>45170.387337962966</v>
      </c>
      <c r="K660" cm="1">
        <f t="array" ref="K660">sentimentCalc(C660)</f>
        <v>6</v>
      </c>
      <c r="L660" t="str" cm="1">
        <f t="array" ref="L660">sentimentCategory(K660)</f>
        <v>Positive</v>
      </c>
    </row>
    <row r="661" spans="1:12" x14ac:dyDescent="0.25">
      <c r="A661" t="s">
        <v>345</v>
      </c>
      <c r="B661" t="s">
        <v>1699</v>
      </c>
      <c r="C661" t="str" cm="1">
        <f t="array" ref="C661">CleanText(B661)</f>
        <v>can you less him</v>
      </c>
      <c r="D661">
        <v>0</v>
      </c>
      <c r="E661">
        <v>0</v>
      </c>
      <c r="F661" t="s">
        <v>10</v>
      </c>
      <c r="G661" t="str" cm="1">
        <f t="array" ref="G661">FindCountryName(F661)</f>
        <v>None</v>
      </c>
      <c r="H661" s="3">
        <v>45201.233217592591</v>
      </c>
      <c r="I661" s="3">
        <v>45201.233217592591</v>
      </c>
      <c r="J661" s="3">
        <v>44572.035486111112</v>
      </c>
      <c r="K661" cm="1">
        <f t="array" ref="K661">sentimentCalc(C661)</f>
        <v>0</v>
      </c>
      <c r="L661" t="str" cm="1">
        <f t="array" ref="L661">sentimentCategory(K661)</f>
        <v>Neutral</v>
      </c>
    </row>
    <row r="662" spans="1:12" x14ac:dyDescent="0.25">
      <c r="A662" t="s">
        <v>3181</v>
      </c>
      <c r="B662" t="s">
        <v>3182</v>
      </c>
      <c r="C662" t="str" cm="1">
        <f t="array" ref="C662">CleanText(B662)</f>
        <v>can you make a barbie  and barbie and wensday can meet</v>
      </c>
      <c r="D662">
        <v>1</v>
      </c>
      <c r="E662">
        <v>0</v>
      </c>
      <c r="F662" t="s">
        <v>10</v>
      </c>
      <c r="G662" t="str" cm="1">
        <f t="array" ref="G662">FindCountryName(F662)</f>
        <v>None</v>
      </c>
      <c r="H662" s="3">
        <v>45152.326886574076</v>
      </c>
      <c r="I662" s="3">
        <v>45152.326886574076</v>
      </c>
      <c r="J662" s="3">
        <v>44060.501793981479</v>
      </c>
      <c r="K662" cm="1">
        <f t="array" ref="K662">sentimentCalc(C662)</f>
        <v>0</v>
      </c>
      <c r="L662" t="str" cm="1">
        <f t="array" ref="L662">sentimentCategory(K662)</f>
        <v>Neutral</v>
      </c>
    </row>
    <row r="663" spans="1:12" x14ac:dyDescent="0.25">
      <c r="A663" t="s">
        <v>2315</v>
      </c>
      <c r="B663" t="s">
        <v>2316</v>
      </c>
      <c r="C663" t="str" cm="1">
        <f t="array" ref="C663">CleanText(B663)</f>
        <v>can you say chick flick</v>
      </c>
      <c r="D663">
        <v>0</v>
      </c>
      <c r="E663">
        <v>0</v>
      </c>
      <c r="F663" t="s">
        <v>10</v>
      </c>
      <c r="G663" t="str" cm="1">
        <f t="array" ref="G663">FindCountryName(F663)</f>
        <v>None</v>
      </c>
      <c r="H663" s="3">
        <v>45172.07371527778</v>
      </c>
      <c r="I663" s="3">
        <v>45172.07371527778</v>
      </c>
      <c r="J663" s="3">
        <v>44011.731273148151</v>
      </c>
      <c r="K663" cm="1">
        <f t="array" ref="K663">sentimentCalc(C663)</f>
        <v>0</v>
      </c>
      <c r="L663" t="str" cm="1">
        <f t="array" ref="L663">sentimentCategory(K663)</f>
        <v>Neutral</v>
      </c>
    </row>
    <row r="664" spans="1:12" x14ac:dyDescent="0.25">
      <c r="A664" t="s">
        <v>559</v>
      </c>
      <c r="B664" t="s">
        <v>1379</v>
      </c>
      <c r="C664" t="str" cm="1">
        <f t="array" ref="C664">CleanText(B664)</f>
        <v>cant believe this movie made the money it did i just bought it out of curiosity because of the cast it had some funny moments but it really wasnt worth it to me</v>
      </c>
      <c r="D664">
        <v>1</v>
      </c>
      <c r="E664">
        <v>0</v>
      </c>
      <c r="F664" t="s">
        <v>10</v>
      </c>
      <c r="G664" t="str" cm="1">
        <f t="array" ref="G664">FindCountryName(F664)</f>
        <v>None</v>
      </c>
      <c r="H664" s="3">
        <v>45234.630127314813</v>
      </c>
      <c r="I664" s="3">
        <v>45234.630127314813</v>
      </c>
      <c r="J664" s="3">
        <v>42244.641574074078</v>
      </c>
      <c r="K664" cm="1">
        <f t="array" ref="K664">sentimentCalc(C664)</f>
        <v>6</v>
      </c>
      <c r="L664" t="str" cm="1">
        <f t="array" ref="L664">sentimentCategory(K664)</f>
        <v>Positive</v>
      </c>
    </row>
    <row r="665" spans="1:12" x14ac:dyDescent="0.25">
      <c r="A665" t="s">
        <v>307</v>
      </c>
      <c r="B665" t="s">
        <v>2085</v>
      </c>
      <c r="C665" t="str" cm="1">
        <f t="array" ref="C665">CleanText(B665)</f>
        <v>cant help but think this is a good example of the emperors clothes it really is terrible</v>
      </c>
      <c r="D665">
        <v>3</v>
      </c>
      <c r="E665">
        <v>7</v>
      </c>
      <c r="F665" t="s">
        <v>10</v>
      </c>
      <c r="G665" t="str" cm="1">
        <f t="array" ref="G665">FindCountryName(F665)</f>
        <v>None</v>
      </c>
      <c r="H665" s="3">
        <v>45181.239317129628</v>
      </c>
      <c r="I665" s="3">
        <v>45181.239317129628</v>
      </c>
      <c r="J665" s="3">
        <v>44375.527812499997</v>
      </c>
      <c r="K665" cm="1">
        <f t="array" ref="K665">sentimentCalc(C665)</f>
        <v>2</v>
      </c>
      <c r="L665" t="str" cm="1">
        <f t="array" ref="L665">sentimentCategory(K665)</f>
        <v>Positive</v>
      </c>
    </row>
    <row r="666" spans="1:12" x14ac:dyDescent="0.25">
      <c r="A666" t="s">
        <v>2850</v>
      </c>
      <c r="B666" t="s">
        <v>2851</v>
      </c>
      <c r="C666" t="str" cm="1">
        <f t="array" ref="C666">CleanText(B666)</f>
        <v>canna qurban</v>
      </c>
      <c r="D666">
        <v>0</v>
      </c>
      <c r="E666">
        <v>0</v>
      </c>
      <c r="F666" t="s">
        <v>10</v>
      </c>
      <c r="G666" t="str" cm="1">
        <f t="array" ref="G666">FindCountryName(F666)</f>
        <v>None</v>
      </c>
      <c r="H666" s="3">
        <v>45156.845046296294</v>
      </c>
      <c r="I666" s="3">
        <v>45156.845046296294</v>
      </c>
      <c r="J666" s="3">
        <v>45124.740451388891</v>
      </c>
      <c r="K666" cm="1">
        <f t="array" ref="K666">sentimentCalc(C666)</f>
        <v>0</v>
      </c>
      <c r="L666" t="str" cm="1">
        <f t="array" ref="L666">sentimentCategory(K666)</f>
        <v>Neutral</v>
      </c>
    </row>
    <row r="667" spans="1:12" x14ac:dyDescent="0.25">
      <c r="A667" t="s">
        <v>3740</v>
      </c>
      <c r="B667" t="s">
        <v>3741</v>
      </c>
      <c r="C667" t="str" cm="1">
        <f t="array" ref="C667">CleanText(B667)</f>
        <v>cant wait for the gi joe lgbtqipb movie</v>
      </c>
      <c r="D667">
        <v>1</v>
      </c>
      <c r="E667">
        <v>0</v>
      </c>
      <c r="F667" t="s">
        <v>10</v>
      </c>
      <c r="G667" t="str" cm="1">
        <f t="array" ref="G667">FindCountryName(F667)</f>
        <v>None</v>
      </c>
      <c r="H667" s="3">
        <v>45145.856481481482</v>
      </c>
      <c r="I667" s="3">
        <v>45145.856481481482</v>
      </c>
      <c r="J667" s="3">
        <v>39885.855949074074</v>
      </c>
      <c r="K667" cm="1">
        <f t="array" ref="K667">sentimentCalc(C667)</f>
        <v>0</v>
      </c>
      <c r="L667" t="str" cm="1">
        <f t="array" ref="L667">sentimentCategory(K667)</f>
        <v>Neutral</v>
      </c>
    </row>
    <row r="668" spans="1:12" x14ac:dyDescent="0.25">
      <c r="A668" t="s">
        <v>372</v>
      </c>
      <c r="B668" t="s">
        <v>1208</v>
      </c>
      <c r="C668" t="str" cm="1">
        <f t="array" ref="C668">CleanText(B668)</f>
        <v>cass elliot would be so happy</v>
      </c>
      <c r="D668">
        <v>0</v>
      </c>
      <c r="E668">
        <v>0</v>
      </c>
      <c r="F668" t="s">
        <v>10</v>
      </c>
      <c r="G668" t="str" cm="1">
        <f t="array" ref="G668">FindCountryName(F668)</f>
        <v>None</v>
      </c>
      <c r="H668" s="3">
        <v>45276.439201388886</v>
      </c>
      <c r="I668" s="3">
        <v>45276.439201388886</v>
      </c>
      <c r="J668" s="3">
        <v>41179.941932870373</v>
      </c>
      <c r="K668" cm="1">
        <f t="array" ref="K668">sentimentCalc(C668)</f>
        <v>3</v>
      </c>
      <c r="L668" t="str" cm="1">
        <f t="array" ref="L668">sentimentCategory(K668)</f>
        <v>Positive</v>
      </c>
    </row>
    <row r="669" spans="1:12" x14ac:dyDescent="0.25">
      <c r="A669" t="s">
        <v>30</v>
      </c>
      <c r="B669" t="s">
        <v>1576</v>
      </c>
      <c r="C669" t="str" cm="1">
        <f t="array" ref="C669">CleanText(B669)</f>
        <v>ce monde part en sucette</v>
      </c>
      <c r="D669">
        <v>1</v>
      </c>
      <c r="E669">
        <v>0</v>
      </c>
      <c r="F669" t="s">
        <v>147</v>
      </c>
      <c r="G669" t="str" cm="1">
        <f t="array" ref="G669">FindCountryName(F669)</f>
        <v>France</v>
      </c>
      <c r="H669" s="3">
        <v>45213.612847222219</v>
      </c>
      <c r="I669" s="3">
        <v>45213.612847222219</v>
      </c>
      <c r="J669" s="3">
        <v>39816.713530092595</v>
      </c>
      <c r="K669" cm="1">
        <f t="array" ref="K669">sentimentCalc(C669)</f>
        <v>0</v>
      </c>
      <c r="L669" t="str" cm="1">
        <f t="array" ref="L669">sentimentCategory(K669)</f>
        <v>Neutral</v>
      </c>
    </row>
    <row r="670" spans="1:12" x14ac:dyDescent="0.25">
      <c r="A670" t="s">
        <v>1163</v>
      </c>
      <c r="B670" t="s">
        <v>2970</v>
      </c>
      <c r="C670" t="str" cm="1">
        <f t="array" ref="C670">CleanText(B670)</f>
        <v>certified to lower your already low iq even furthermore propaganda of mattel and feminism st centurys goebbels style</v>
      </c>
      <c r="D670">
        <v>1</v>
      </c>
      <c r="E670">
        <v>3</v>
      </c>
      <c r="F670" t="s">
        <v>10</v>
      </c>
      <c r="G670" t="str" cm="1">
        <f t="array" ref="G670">FindCountryName(F670)</f>
        <v>None</v>
      </c>
      <c r="H670" s="3">
        <v>45155.189386574071</v>
      </c>
      <c r="I670" s="3">
        <v>45155.239166666666</v>
      </c>
      <c r="J670" s="3">
        <v>40814.95789351852</v>
      </c>
      <c r="K670" cm="1">
        <f t="array" ref="K670">sentimentCalc(C670)</f>
        <v>-2</v>
      </c>
      <c r="L670" t="str" cm="1">
        <f t="array" ref="L670">sentimentCategory(K670)</f>
        <v>Negative</v>
      </c>
    </row>
    <row r="671" spans="1:12" x14ac:dyDescent="0.25">
      <c r="A671" t="s">
        <v>114</v>
      </c>
      <c r="B671" t="s">
        <v>3239</v>
      </c>
      <c r="C671" t="str" cm="1">
        <f t="array" ref="C671">CleanText(B671)</f>
        <v>cest quoi cette merde</v>
      </c>
      <c r="D671">
        <v>1</v>
      </c>
      <c r="E671">
        <v>0</v>
      </c>
      <c r="F671" t="s">
        <v>10</v>
      </c>
      <c r="G671" t="str" cm="1">
        <f t="array" ref="G671">FindCountryName(F671)</f>
        <v>None</v>
      </c>
      <c r="H671" s="3">
        <v>45151.459745370368</v>
      </c>
      <c r="I671" s="3">
        <v>45151.459745370368</v>
      </c>
      <c r="J671" s="3">
        <v>42552.376122685186</v>
      </c>
      <c r="K671" cm="1">
        <f t="array" ref="K671">sentimentCalc(C671)</f>
        <v>0</v>
      </c>
      <c r="L671" t="str" cm="1">
        <f t="array" ref="L671">sentimentCategory(K671)</f>
        <v>Neutral</v>
      </c>
    </row>
    <row r="672" spans="1:12" x14ac:dyDescent="0.25">
      <c r="A672" t="s">
        <v>298</v>
      </c>
      <c r="B672" t="s">
        <v>2269</v>
      </c>
      <c r="C672" t="str" cm="1">
        <f t="array" ref="C672">CleanText(B672)</f>
        <v>chaar chawanni ghoode perbarbie girl mere loude per  sir oppenheimer</v>
      </c>
      <c r="D672">
        <v>0</v>
      </c>
      <c r="E672">
        <v>0</v>
      </c>
      <c r="F672" t="s">
        <v>10</v>
      </c>
      <c r="G672" t="str" cm="1">
        <f t="array" ref="G672">FindCountryName(F672)</f>
        <v>None</v>
      </c>
      <c r="H672" s="3">
        <v>45173.202847222223</v>
      </c>
      <c r="I672" s="3">
        <v>45173.202847222223</v>
      </c>
      <c r="J672" s="3">
        <v>44464.512615740743</v>
      </c>
      <c r="K672" cm="1">
        <f t="array" ref="K672">sentimentCalc(C672)</f>
        <v>0</v>
      </c>
      <c r="L672" t="str" cm="1">
        <f t="array" ref="L672">sentimentCategory(K672)</f>
        <v>Neutral</v>
      </c>
    </row>
    <row r="673" spans="1:12" x14ac:dyDescent="0.25">
      <c r="A673" t="s">
        <v>292</v>
      </c>
      <c r="B673" t="s">
        <v>2375</v>
      </c>
      <c r="C673" t="str" cm="1">
        <f t="array" ref="C673">CleanText(B673)</f>
        <v>chat section is full of bots giving praise</v>
      </c>
      <c r="D673">
        <v>2</v>
      </c>
      <c r="E673">
        <v>1</v>
      </c>
      <c r="F673" t="s">
        <v>227</v>
      </c>
      <c r="G673" t="str" cm="1">
        <f t="array" ref="G673">FindCountryName(F673)</f>
        <v>United States of America (the)</v>
      </c>
      <c r="H673" s="3">
        <v>45169.842604166668</v>
      </c>
      <c r="I673" s="3">
        <v>45169.842604166668</v>
      </c>
      <c r="J673" s="3">
        <v>43359.730844907404</v>
      </c>
      <c r="K673" cm="1">
        <f t="array" ref="K673">sentimentCalc(C673)</f>
        <v>3</v>
      </c>
      <c r="L673" t="str" cm="1">
        <f t="array" ref="L673">sentimentCategory(K673)</f>
        <v>Positive</v>
      </c>
    </row>
    <row r="674" spans="1:12" x14ac:dyDescent="0.25">
      <c r="A674" t="s">
        <v>1306</v>
      </c>
      <c r="B674" t="s">
        <v>3972</v>
      </c>
      <c r="C674" t="str" cm="1">
        <f t="array" ref="C674">CleanText(B674)</f>
        <v>cheap</v>
      </c>
      <c r="D674">
        <v>0</v>
      </c>
      <c r="E674">
        <v>0</v>
      </c>
      <c r="F674" t="s">
        <v>10</v>
      </c>
      <c r="G674" t="str" cm="1">
        <f t="array" ref="G674">FindCountryName(F674)</f>
        <v>None</v>
      </c>
      <c r="H674" s="3">
        <v>45144.130393518521</v>
      </c>
      <c r="I674" s="3">
        <v>45144.130393518521</v>
      </c>
      <c r="J674" s="3">
        <v>44224.724097222221</v>
      </c>
      <c r="K674" cm="1">
        <f t="array" ref="K674">sentimentCalc(C674)</f>
        <v>0</v>
      </c>
      <c r="L674" t="str" cm="1">
        <f t="array" ref="L674">sentimentCategory(K674)</f>
        <v>Neutral</v>
      </c>
    </row>
    <row r="675" spans="1:12" x14ac:dyDescent="0.25">
      <c r="A675" t="s">
        <v>256</v>
      </c>
      <c r="B675" t="s">
        <v>257</v>
      </c>
      <c r="C675" t="str" cm="1">
        <f t="array" ref="C675">CleanText(B675)</f>
        <v>chick flick</v>
      </c>
      <c r="D675">
        <v>0</v>
      </c>
      <c r="E675">
        <v>0</v>
      </c>
      <c r="F675" t="s">
        <v>227</v>
      </c>
      <c r="G675" t="str" cm="1">
        <f t="array" ref="G675">FindCountryName(F675)</f>
        <v>United States of America (the)</v>
      </c>
      <c r="H675" s="3">
        <v>45325.025439814817</v>
      </c>
      <c r="I675" s="3">
        <v>45325.025439814817</v>
      </c>
      <c r="J675" s="3">
        <v>41610.953599537039</v>
      </c>
      <c r="K675" cm="1">
        <f t="array" ref="K675">sentimentCalc(C675)</f>
        <v>0</v>
      </c>
      <c r="L675" t="str" cm="1">
        <f t="array" ref="L675">sentimentCategory(K675)</f>
        <v>Neutral</v>
      </c>
    </row>
    <row r="676" spans="1:12" x14ac:dyDescent="0.25">
      <c r="A676" t="s">
        <v>199</v>
      </c>
      <c r="B676" t="s">
        <v>4456</v>
      </c>
      <c r="C676" t="str" cm="1">
        <f t="array" ref="C676">CleanText(B676)</f>
        <v>children are allowed to watch this pile of  wow</v>
      </c>
      <c r="D676">
        <v>2</v>
      </c>
      <c r="E676">
        <v>0</v>
      </c>
      <c r="F676" t="s">
        <v>4457</v>
      </c>
      <c r="G676" t="str" cm="1">
        <f t="array" ref="G676">FindCountryName(F676)</f>
        <v>Palestine, State of</v>
      </c>
      <c r="H676" s="3">
        <v>45140.184537037036</v>
      </c>
      <c r="I676" s="3">
        <v>45140.184537037036</v>
      </c>
      <c r="J676" s="3">
        <v>41874.044999999998</v>
      </c>
      <c r="K676" cm="1">
        <f t="array" ref="K676">sentimentCalc(C676)</f>
        <v>4</v>
      </c>
      <c r="L676" t="str" cm="1">
        <f t="array" ref="L676">sentimentCategory(K676)</f>
        <v>Positive</v>
      </c>
    </row>
    <row r="677" spans="1:12" x14ac:dyDescent="0.25">
      <c r="A677" t="s">
        <v>3401</v>
      </c>
      <c r="B677" t="s">
        <v>3402</v>
      </c>
      <c r="C677" t="str" cm="1">
        <f t="array" ref="C677">CleanText(B677)</f>
        <v>chomu</v>
      </c>
      <c r="D677">
        <v>0</v>
      </c>
      <c r="E677">
        <v>0</v>
      </c>
      <c r="F677" t="s">
        <v>10</v>
      </c>
      <c r="G677" t="str" cm="1">
        <f t="array" ref="G677">FindCountryName(F677)</f>
        <v>None</v>
      </c>
      <c r="H677" s="3">
        <v>45149.291388888887</v>
      </c>
      <c r="I677" s="3">
        <v>45149.291388888887</v>
      </c>
      <c r="J677" s="3">
        <v>44385.118958333333</v>
      </c>
      <c r="K677" cm="1">
        <f t="array" ref="K677">sentimentCalc(C677)</f>
        <v>0</v>
      </c>
      <c r="L677" t="str" cm="1">
        <f t="array" ref="L677">sentimentCategory(K677)</f>
        <v>Neutral</v>
      </c>
    </row>
    <row r="678" spans="1:12" x14ac:dyDescent="0.25">
      <c r="A678" t="s">
        <v>3699</v>
      </c>
      <c r="B678" t="s">
        <v>3700</v>
      </c>
      <c r="C678" t="str" cm="1">
        <f t="array" ref="C678">CleanText(B678)</f>
        <v>chris evans in the gray man called ryan gosling ken dollwonder how he knew</v>
      </c>
      <c r="D678">
        <v>0</v>
      </c>
      <c r="E678">
        <v>0</v>
      </c>
      <c r="F678" t="s">
        <v>10</v>
      </c>
      <c r="G678" t="str" cm="1">
        <f t="array" ref="G678">FindCountryName(F678)</f>
        <v>None</v>
      </c>
      <c r="H678" s="3">
        <v>45146.313935185186</v>
      </c>
      <c r="I678" s="3">
        <v>45146.313935185186</v>
      </c>
      <c r="J678" s="3">
        <v>42072.558356481481</v>
      </c>
      <c r="K678" cm="1">
        <f t="array" ref="K678">sentimentCalc(C678)</f>
        <v>-1</v>
      </c>
      <c r="L678" t="str" cm="1">
        <f t="array" ref="L678">sentimentCategory(K678)</f>
        <v>Negative</v>
      </c>
    </row>
    <row r="679" spans="1:12" x14ac:dyDescent="0.25">
      <c r="A679" t="s">
        <v>1270</v>
      </c>
      <c r="B679" t="s">
        <v>1271</v>
      </c>
      <c r="C679" t="str" cm="1">
        <f t="array" ref="C679">CleanText(B679)</f>
        <v>chuckyits funny that barbie was thinking about dying when im literally dead haha</v>
      </c>
      <c r="D679">
        <v>0</v>
      </c>
      <c r="E679">
        <v>0</v>
      </c>
      <c r="F679" t="s">
        <v>10</v>
      </c>
      <c r="G679" t="str" cm="1">
        <f t="array" ref="G679">FindCountryName(F679)</f>
        <v>None</v>
      </c>
      <c r="H679" s="3">
        <v>45261.654224537036</v>
      </c>
      <c r="I679" s="3">
        <v>45261.654224537036</v>
      </c>
      <c r="J679" s="3">
        <v>45102.760787037034</v>
      </c>
      <c r="K679" cm="1">
        <f t="array" ref="K679">sentimentCalc(C679)</f>
        <v>1</v>
      </c>
      <c r="L679" t="str" cm="1">
        <f t="array" ref="L679">sentimentCategory(K679)</f>
        <v>Positive</v>
      </c>
    </row>
    <row r="680" spans="1:12" x14ac:dyDescent="0.25">
      <c r="A680" t="s">
        <v>1667</v>
      </c>
      <c r="B680" t="s">
        <v>3892</v>
      </c>
      <c r="C680" t="str" cm="1">
        <f t="array" ref="C680">CleanText(B680)</f>
        <v>chuds go woke go brokebarbiecaptain marvelblack panther goes woke makes a billion dollars</v>
      </c>
      <c r="D680">
        <v>2</v>
      </c>
      <c r="E680">
        <v>0</v>
      </c>
      <c r="F680" t="s">
        <v>10</v>
      </c>
      <c r="G680" t="str" cm="1">
        <f t="array" ref="G680">FindCountryName(F680)</f>
        <v>None</v>
      </c>
      <c r="H680" s="3">
        <v>45144.69027777778</v>
      </c>
      <c r="I680" s="3">
        <v>45144.69027777778</v>
      </c>
      <c r="J680" s="3">
        <v>39392.074513888889</v>
      </c>
      <c r="K680" cm="1">
        <f t="array" ref="K680">sentimentCalc(C680)</f>
        <v>0</v>
      </c>
      <c r="L680" t="str" cm="1">
        <f t="array" ref="L680">sentimentCategory(K680)</f>
        <v>Neutral</v>
      </c>
    </row>
    <row r="681" spans="1:12" x14ac:dyDescent="0.25">
      <c r="A681" t="s">
        <v>646</v>
      </c>
      <c r="B681" t="s">
        <v>3618</v>
      </c>
      <c r="C681" t="str" cm="1">
        <f t="array" ref="C681">CleanText(B681)</f>
        <v>church of progress</v>
      </c>
      <c r="D681">
        <v>0</v>
      </c>
      <c r="E681">
        <v>0</v>
      </c>
      <c r="F681" t="s">
        <v>10</v>
      </c>
      <c r="G681" t="str" cm="1">
        <f t="array" ref="G681">FindCountryName(F681)</f>
        <v>None</v>
      </c>
      <c r="H681" s="3">
        <v>45147.072835648149</v>
      </c>
      <c r="I681" s="3">
        <v>45147.072835648149</v>
      </c>
      <c r="J681" s="3">
        <v>42557.220555555556</v>
      </c>
      <c r="K681" cm="1">
        <f t="array" ref="K681">sentimentCalc(C681)</f>
        <v>2</v>
      </c>
      <c r="L681" t="str" cm="1">
        <f t="array" ref="L681">sentimentCategory(K681)</f>
        <v>Positive</v>
      </c>
    </row>
    <row r="682" spans="1:12" x14ac:dyDescent="0.25">
      <c r="A682" t="s">
        <v>1142</v>
      </c>
      <c r="B682" t="s">
        <v>4283</v>
      </c>
      <c r="C682" t="str" cm="1">
        <f t="array" ref="C682">CleanText(B682)</f>
        <v>cilian murphy fans</v>
      </c>
      <c r="D682">
        <v>0</v>
      </c>
      <c r="E682">
        <v>0</v>
      </c>
      <c r="F682" t="s">
        <v>10</v>
      </c>
      <c r="G682" t="str" cm="1">
        <f t="array" ref="G682">FindCountryName(F682)</f>
        <v>None</v>
      </c>
      <c r="H682" s="3">
        <v>45141.235277777778</v>
      </c>
      <c r="I682" s="3">
        <v>45141.235277777778</v>
      </c>
      <c r="J682" s="3">
        <v>44523.549641203703</v>
      </c>
      <c r="K682" cm="1">
        <f t="array" ref="K682">sentimentCalc(C682)</f>
        <v>0</v>
      </c>
      <c r="L682" t="str" cm="1">
        <f t="array" ref="L682">sentimentCategory(K682)</f>
        <v>Neutral</v>
      </c>
    </row>
    <row r="683" spans="1:12" x14ac:dyDescent="0.25">
      <c r="A683" t="s">
        <v>307</v>
      </c>
      <c r="B683" t="s">
        <v>632</v>
      </c>
      <c r="C683" t="str" cm="1">
        <f t="array" ref="C683">CleanText(B683)</f>
        <v>classico film scorreggia apri la finestra e sparisce</v>
      </c>
      <c r="D683">
        <v>0</v>
      </c>
      <c r="E683">
        <v>0</v>
      </c>
      <c r="F683" t="s">
        <v>10</v>
      </c>
      <c r="G683" t="str" cm="1">
        <f t="array" ref="G683">FindCountryName(F683)</f>
        <v>None</v>
      </c>
      <c r="H683" s="3">
        <v>45314.544328703705</v>
      </c>
      <c r="I683" s="3">
        <v>45314.544328703705</v>
      </c>
      <c r="J683" s="3">
        <v>41203.216539351852</v>
      </c>
      <c r="K683" cm="1">
        <f t="array" ref="K683">sentimentCalc(C683)</f>
        <v>0</v>
      </c>
      <c r="L683" t="str" cm="1">
        <f t="array" ref="L683">sentimentCategory(K683)</f>
        <v>Neutral</v>
      </c>
    </row>
    <row r="684" spans="1:12" x14ac:dyDescent="0.25">
      <c r="A684" t="s">
        <v>251</v>
      </c>
      <c r="B684" t="s">
        <v>252</v>
      </c>
      <c r="C684" t="str" cm="1">
        <f t="array" ref="C684">CleanText(B684)</f>
        <v>claudia schiffer was the only real life barbie to me</v>
      </c>
      <c r="D684">
        <v>0</v>
      </c>
      <c r="E684">
        <v>0</v>
      </c>
      <c r="F684" t="s">
        <v>10</v>
      </c>
      <c r="G684" t="str" cm="1">
        <f t="array" ref="G684">FindCountryName(F684)</f>
        <v>None</v>
      </c>
      <c r="H684" s="3">
        <v>45325.495173611111</v>
      </c>
      <c r="I684" s="3">
        <v>45325.495173611111</v>
      </c>
      <c r="J684" s="3">
        <v>44260.209826388891</v>
      </c>
      <c r="K684" cm="1">
        <f t="array" ref="K684">sentimentCalc(C684)</f>
        <v>0</v>
      </c>
      <c r="L684" t="str" cm="1">
        <f t="array" ref="L684">sentimentCategory(K684)</f>
        <v>Neutral</v>
      </c>
    </row>
    <row r="685" spans="1:12" x14ac:dyDescent="0.25">
      <c r="A685" t="s">
        <v>2310</v>
      </c>
      <c r="B685" t="s">
        <v>2311</v>
      </c>
      <c r="C685" t="str" cm="1">
        <f t="array" ref="C685">CleanText(B685)</f>
        <v>click and watch the full move here</v>
      </c>
      <c r="D685">
        <v>0</v>
      </c>
      <c r="E685">
        <v>0</v>
      </c>
      <c r="F685" t="s">
        <v>2312</v>
      </c>
      <c r="G685" t="str" cm="1">
        <f t="array" ref="G685">FindCountryName(F685)</f>
        <v>Iraq</v>
      </c>
      <c r="H685" s="3">
        <v>45172.197500000002</v>
      </c>
      <c r="I685" s="3">
        <v>45172.197500000002</v>
      </c>
      <c r="J685" s="3">
        <v>43961.148611111108</v>
      </c>
      <c r="K685" cm="1">
        <f t="array" ref="K685">sentimentCalc(C685)</f>
        <v>0</v>
      </c>
      <c r="L685" t="str" cm="1">
        <f t="array" ref="L685">sentimentCategory(K685)</f>
        <v>Neutral</v>
      </c>
    </row>
    <row r="686" spans="1:12" x14ac:dyDescent="0.25">
      <c r="A686" t="s">
        <v>81</v>
      </c>
      <c r="B686" t="s">
        <v>4069</v>
      </c>
      <c r="C686" t="str" cm="1">
        <f t="array" ref="C686">CleanText(B686)</f>
        <v>closer i am to fiiiiiiiiiiiiine</v>
      </c>
      <c r="D686">
        <v>0</v>
      </c>
      <c r="E686">
        <v>0</v>
      </c>
      <c r="F686" t="s">
        <v>227</v>
      </c>
      <c r="G686" t="str" cm="1">
        <f t="array" ref="G686">FindCountryName(F686)</f>
        <v>United States of America (the)</v>
      </c>
      <c r="H686" s="3">
        <v>45143.153356481482</v>
      </c>
      <c r="I686" s="3">
        <v>45143.153356481482</v>
      </c>
      <c r="J686" s="3">
        <v>40617.849918981483</v>
      </c>
      <c r="K686" cm="1">
        <f t="array" ref="K686">sentimentCalc(C686)</f>
        <v>0</v>
      </c>
      <c r="L686" t="str" cm="1">
        <f t="array" ref="L686">sentimentCategory(K686)</f>
        <v>Neutral</v>
      </c>
    </row>
    <row r="687" spans="1:12" x14ac:dyDescent="0.25">
      <c r="A687" t="s">
        <v>423</v>
      </c>
      <c r="B687" t="s">
        <v>1393</v>
      </c>
      <c r="C687" t="str" cm="1">
        <f t="array" ref="C687">CleanText(B687)</f>
        <v>coisa mais fofa vale a pena assistir</v>
      </c>
      <c r="D687">
        <v>0</v>
      </c>
      <c r="E687">
        <v>0</v>
      </c>
      <c r="F687" t="s">
        <v>10</v>
      </c>
      <c r="G687" t="str" cm="1">
        <f t="array" ref="G687">FindCountryName(F687)</f>
        <v>None</v>
      </c>
      <c r="H687" s="3">
        <v>45233.658888888887</v>
      </c>
      <c r="I687" s="3">
        <v>45233.658888888887</v>
      </c>
      <c r="J687" s="3">
        <v>43967.900972222225</v>
      </c>
      <c r="K687" cm="1">
        <f t="array" ref="K687">sentimentCalc(C687)</f>
        <v>0</v>
      </c>
      <c r="L687" t="str" cm="1">
        <f t="array" ref="L687">sentimentCategory(K687)</f>
        <v>Neutral</v>
      </c>
    </row>
    <row r="688" spans="1:12" x14ac:dyDescent="0.25">
      <c r="A688" t="s">
        <v>405</v>
      </c>
      <c r="B688" t="s">
        <v>1054</v>
      </c>
      <c r="C688" t="str" cm="1">
        <f t="array" ref="C688">CleanText(B688)</f>
        <v>cok gzel</v>
      </c>
      <c r="D688">
        <v>1</v>
      </c>
      <c r="E688">
        <v>2</v>
      </c>
      <c r="F688" t="s">
        <v>10</v>
      </c>
      <c r="G688" t="str" cm="1">
        <f t="array" ref="G688">FindCountryName(F688)</f>
        <v>None</v>
      </c>
      <c r="H688" s="3">
        <v>45297.046180555553</v>
      </c>
      <c r="I688" s="3">
        <v>45297.046180555553</v>
      </c>
      <c r="J688" s="3">
        <v>45284.159745370373</v>
      </c>
      <c r="K688" cm="1">
        <f t="array" ref="K688">sentimentCalc(C688)</f>
        <v>0</v>
      </c>
      <c r="L688" t="str" cm="1">
        <f t="array" ref="L688">sentimentCategory(K688)</f>
        <v>Neutral</v>
      </c>
    </row>
    <row r="689" spans="1:12" x14ac:dyDescent="0.25">
      <c r="A689" t="s">
        <v>871</v>
      </c>
      <c r="B689" t="s">
        <v>872</v>
      </c>
      <c r="C689" t="str" cm="1">
        <f t="array" ref="C689">CleanText(B689)</f>
        <v>cok gzel bir film defalarca izlesem sklmam tavsiye ederim</v>
      </c>
      <c r="D689">
        <v>1</v>
      </c>
      <c r="E689">
        <v>0</v>
      </c>
      <c r="F689" t="s">
        <v>10</v>
      </c>
      <c r="G689" t="str" cm="1">
        <f t="array" ref="G689">FindCountryName(F689)</f>
        <v>None</v>
      </c>
      <c r="H689" s="3">
        <v>45299.418078703704</v>
      </c>
      <c r="I689" s="3">
        <v>45299.418078703704</v>
      </c>
      <c r="J689" s="3">
        <v>43596.505636574075</v>
      </c>
      <c r="K689" cm="1">
        <f t="array" ref="K689">sentimentCalc(C689)</f>
        <v>0</v>
      </c>
      <c r="L689" t="str" cm="1">
        <f t="array" ref="L689">sentimentCategory(K689)</f>
        <v>Neutral</v>
      </c>
    </row>
    <row r="690" spans="1:12" x14ac:dyDescent="0.25">
      <c r="A690" t="s">
        <v>338</v>
      </c>
      <c r="B690" t="s">
        <v>339</v>
      </c>
      <c r="C690" t="str" cm="1">
        <f t="array" ref="C690">CleanText(B690)</f>
        <v>cok gzel film</v>
      </c>
      <c r="D690">
        <v>0</v>
      </c>
      <c r="E690">
        <v>0</v>
      </c>
      <c r="F690" t="s">
        <v>10</v>
      </c>
      <c r="G690" t="str" cm="1">
        <f t="array" ref="G690">FindCountryName(F690)</f>
        <v>None</v>
      </c>
      <c r="H690" s="3">
        <v>45322.282557870371</v>
      </c>
      <c r="I690" s="3">
        <v>45322.282557870371</v>
      </c>
      <c r="J690" s="3">
        <v>42978.626886574071</v>
      </c>
      <c r="K690" cm="1">
        <f t="array" ref="K690">sentimentCalc(C690)</f>
        <v>0</v>
      </c>
      <c r="L690" t="str" cm="1">
        <f t="array" ref="L690">sentimentCategory(K690)</f>
        <v>Neutral</v>
      </c>
    </row>
    <row r="691" spans="1:12" x14ac:dyDescent="0.25">
      <c r="A691" t="s">
        <v>365</v>
      </c>
      <c r="B691" t="s">
        <v>366</v>
      </c>
      <c r="C691" t="str" cm="1">
        <f t="array" ref="C691">CleanText(B691)</f>
        <v>cok guxel filmm</v>
      </c>
      <c r="D691">
        <v>0</v>
      </c>
      <c r="E691">
        <v>0</v>
      </c>
      <c r="F691" t="s">
        <v>10</v>
      </c>
      <c r="G691" t="str" cm="1">
        <f t="array" ref="G691">FindCountryName(F691)</f>
        <v>None</v>
      </c>
      <c r="H691" s="3">
        <v>45322.274826388886</v>
      </c>
      <c r="I691" s="3">
        <v>45322.274826388886</v>
      </c>
      <c r="J691" s="3">
        <v>43428.469201388885</v>
      </c>
      <c r="K691" cm="1">
        <f t="array" ref="K691">sentimentCalc(C691)</f>
        <v>0</v>
      </c>
      <c r="L691" t="str" cm="1">
        <f t="array" ref="L691">sentimentCategory(K691)</f>
        <v>Neutral</v>
      </c>
    </row>
    <row r="692" spans="1:12" x14ac:dyDescent="0.25">
      <c r="A692" t="s">
        <v>421</v>
      </c>
      <c r="B692" t="s">
        <v>422</v>
      </c>
      <c r="C692" t="str" cm="1">
        <f t="array" ref="C692">CleanText(B692)</f>
        <v>cok guzel film olmu cok eglendim</v>
      </c>
      <c r="D692">
        <v>0</v>
      </c>
      <c r="E692">
        <v>0</v>
      </c>
      <c r="F692" t="s">
        <v>10</v>
      </c>
      <c r="G692" t="str" cm="1">
        <f t="array" ref="G692">FindCountryName(F692)</f>
        <v>None</v>
      </c>
      <c r="H692" s="3">
        <v>45322.271932870368</v>
      </c>
      <c r="I692" s="3">
        <v>45322.271932870368</v>
      </c>
      <c r="J692" s="3">
        <v>42537.494317129633</v>
      </c>
      <c r="K692" cm="1">
        <f t="array" ref="K692">sentimentCalc(C692)</f>
        <v>0</v>
      </c>
      <c r="L692" t="str" cm="1">
        <f t="array" ref="L692">sentimentCategory(K692)</f>
        <v>Neutral</v>
      </c>
    </row>
    <row r="693" spans="1:12" x14ac:dyDescent="0.25">
      <c r="A693" t="s">
        <v>395</v>
      </c>
      <c r="B693" t="s">
        <v>396</v>
      </c>
      <c r="C693" t="str" cm="1">
        <f t="array" ref="C693">CleanText(B693)</f>
        <v>cok iyi</v>
      </c>
      <c r="D693">
        <v>0</v>
      </c>
      <c r="E693">
        <v>0</v>
      </c>
      <c r="F693" t="s">
        <v>10</v>
      </c>
      <c r="G693" t="str" cm="1">
        <f t="array" ref="G693">FindCountryName(F693)</f>
        <v>None</v>
      </c>
      <c r="H693" s="3">
        <v>45322.272696759261</v>
      </c>
      <c r="I693" s="3">
        <v>45322.272696759261</v>
      </c>
      <c r="J693" s="3">
        <v>44830.313599537039</v>
      </c>
      <c r="K693" cm="1">
        <f t="array" ref="K693">sentimentCalc(C693)</f>
        <v>0</v>
      </c>
      <c r="L693" t="str" cm="1">
        <f t="array" ref="L693">sentimentCategory(K693)</f>
        <v>Neutral</v>
      </c>
    </row>
    <row r="694" spans="1:12" x14ac:dyDescent="0.25">
      <c r="A694" t="s">
        <v>412</v>
      </c>
      <c r="B694" t="s">
        <v>940</v>
      </c>
      <c r="C694" t="str" cm="1">
        <f t="array" ref="C694">CleanText(B694)</f>
        <v>cok iyi film mthi</v>
      </c>
      <c r="D694">
        <v>0</v>
      </c>
      <c r="E694">
        <v>0</v>
      </c>
      <c r="F694" t="s">
        <v>139</v>
      </c>
      <c r="G694" t="str" cm="1">
        <f t="array" ref="G694">FindCountryName(F694)</f>
        <v>Turkey</v>
      </c>
      <c r="H694" s="3">
        <v>45299.260972222219</v>
      </c>
      <c r="I694" s="3">
        <v>45299.260972222219</v>
      </c>
      <c r="J694" s="3">
        <v>42096.599224537036</v>
      </c>
      <c r="K694" cm="1">
        <f t="array" ref="K694">sentimentCalc(C694)</f>
        <v>0</v>
      </c>
      <c r="L694" t="str" cm="1">
        <f t="array" ref="L694">sentimentCategory(K694)</f>
        <v>Neutral</v>
      </c>
    </row>
    <row r="695" spans="1:12" x14ac:dyDescent="0.25">
      <c r="A695" t="s">
        <v>197</v>
      </c>
      <c r="B695" t="s">
        <v>485</v>
      </c>
      <c r="C695" t="str" cm="1">
        <f t="array" ref="C695">CleanText(B695)</f>
        <v>colocaram um kem d  anos affff</v>
      </c>
      <c r="D695">
        <v>0</v>
      </c>
      <c r="E695">
        <v>0</v>
      </c>
      <c r="F695" t="s">
        <v>10</v>
      </c>
      <c r="G695" t="str" cm="1">
        <f t="array" ref="G695">FindCountryName(F695)</f>
        <v>None</v>
      </c>
      <c r="H695" s="3">
        <v>45319.911041666666</v>
      </c>
      <c r="I695" s="3">
        <v>45319.911041666666</v>
      </c>
      <c r="J695" s="3">
        <v>43473.53292824074</v>
      </c>
      <c r="K695" cm="1">
        <f t="array" ref="K695">sentimentCalc(C695)</f>
        <v>0</v>
      </c>
      <c r="L695" t="str" cm="1">
        <f t="array" ref="L695">sentimentCategory(K695)</f>
        <v>Neutral</v>
      </c>
    </row>
    <row r="696" spans="1:12" x14ac:dyDescent="0.25">
      <c r="A696" t="s">
        <v>707</v>
      </c>
      <c r="B696" t="s">
        <v>2452</v>
      </c>
      <c r="C696" t="str" cm="1">
        <f t="array" ref="C696">CleanText(B696)</f>
        <v>come on disney</v>
      </c>
      <c r="D696">
        <v>1</v>
      </c>
      <c r="E696">
        <v>0</v>
      </c>
      <c r="F696" t="s">
        <v>10</v>
      </c>
      <c r="G696" t="str" cm="1">
        <f t="array" ref="G696">FindCountryName(F696)</f>
        <v>None</v>
      </c>
      <c r="H696" s="3">
        <v>45166.656759259262</v>
      </c>
      <c r="I696" s="3">
        <v>45166.656759259262</v>
      </c>
      <c r="J696" s="3">
        <v>43278.594525462962</v>
      </c>
      <c r="K696" cm="1">
        <f t="array" ref="K696">sentimentCalc(C696)</f>
        <v>0</v>
      </c>
      <c r="L696" t="str" cm="1">
        <f t="array" ref="L696">sentimentCategory(K696)</f>
        <v>Neutral</v>
      </c>
    </row>
    <row r="697" spans="1:12" x14ac:dyDescent="0.25">
      <c r="A697" t="s">
        <v>1924</v>
      </c>
      <c r="B697" t="s">
        <v>1925</v>
      </c>
      <c r="C697" t="str" cm="1">
        <f t="array" ref="C697">CleanText(B697)</f>
        <v>como no amar a boneca dos sonhos de toda a menina que sempre foi em desenho e agora virou filme isso  incrvel</v>
      </c>
      <c r="D697">
        <v>25</v>
      </c>
      <c r="E697">
        <v>1</v>
      </c>
      <c r="F697" t="s">
        <v>10</v>
      </c>
      <c r="G697" t="str" cm="1">
        <f t="array" ref="G697">FindCountryName(F697)</f>
        <v>None</v>
      </c>
      <c r="H697" s="3">
        <v>45187.59778935185</v>
      </c>
      <c r="I697" s="3">
        <v>45187.59778935185</v>
      </c>
      <c r="J697" s="3">
        <v>44852.367881944447</v>
      </c>
      <c r="K697" cm="1">
        <f t="array" ref="K697">sentimentCalc(C697)</f>
        <v>-1</v>
      </c>
      <c r="L697" t="str" cm="1">
        <f t="array" ref="L697">sentimentCategory(K697)</f>
        <v>Negative</v>
      </c>
    </row>
    <row r="698" spans="1:12" x14ac:dyDescent="0.25">
      <c r="A698" t="s">
        <v>932</v>
      </c>
      <c r="B698" t="s">
        <v>1915</v>
      </c>
      <c r="C698" t="str" cm="1">
        <f t="array" ref="C698">CleanText(B698)</f>
        <v>como no amar boneca dos sonhos</v>
      </c>
      <c r="D698">
        <v>1</v>
      </c>
      <c r="E698">
        <v>0</v>
      </c>
      <c r="F698" t="s">
        <v>10</v>
      </c>
      <c r="G698" t="str" cm="1">
        <f t="array" ref="G698">FindCountryName(F698)</f>
        <v>None</v>
      </c>
      <c r="H698" s="3">
        <v>45187.785312499997</v>
      </c>
      <c r="I698" s="3">
        <v>45187.785312499997</v>
      </c>
      <c r="J698" s="3">
        <v>44976.866307870368</v>
      </c>
      <c r="K698" cm="1">
        <f t="array" ref="K698">sentimentCalc(C698)</f>
        <v>-1</v>
      </c>
      <c r="L698" t="str" cm="1">
        <f t="array" ref="L698">sentimentCategory(K698)</f>
        <v>Negative</v>
      </c>
    </row>
    <row r="699" spans="1:12" x14ac:dyDescent="0.25">
      <c r="A699" t="s">
        <v>3430</v>
      </c>
      <c r="B699" t="s">
        <v>3431</v>
      </c>
      <c r="C699" t="str" cm="1">
        <f t="array" ref="C699">CleanText(B699)</f>
        <v>completely misguided movie in our world women employed every field its only women brain she feel insecure always</v>
      </c>
      <c r="D699">
        <v>3</v>
      </c>
      <c r="E699">
        <v>4</v>
      </c>
      <c r="F699" t="s">
        <v>10</v>
      </c>
      <c r="G699" t="str" cm="1">
        <f t="array" ref="G699">FindCountryName(F699)</f>
        <v>None</v>
      </c>
      <c r="H699" s="3">
        <v>45148.99013888889</v>
      </c>
      <c r="I699" s="3">
        <v>45148.99013888889</v>
      </c>
      <c r="J699" s="3">
        <v>44955.155798611115</v>
      </c>
      <c r="K699" cm="1">
        <f t="array" ref="K699">sentimentCalc(C699)</f>
        <v>-2</v>
      </c>
      <c r="L699" t="str" cm="1">
        <f t="array" ref="L699">sentimentCategory(K699)</f>
        <v>Negative</v>
      </c>
    </row>
    <row r="700" spans="1:12" x14ac:dyDescent="0.25">
      <c r="A700" t="s">
        <v>514</v>
      </c>
      <c r="B700" t="s">
        <v>1839</v>
      </c>
      <c r="C700" t="str" cm="1">
        <f t="array" ref="C700">CleanText(B700)</f>
        <v>concerteza ser o melhor filme de</v>
      </c>
      <c r="D700">
        <v>1</v>
      </c>
      <c r="E700">
        <v>0</v>
      </c>
      <c r="F700" t="s">
        <v>10</v>
      </c>
      <c r="G700" t="str" cm="1">
        <f t="array" ref="G700">FindCountryName(F700)</f>
        <v>None</v>
      </c>
      <c r="H700" s="3">
        <v>45191.585104166668</v>
      </c>
      <c r="I700" s="3">
        <v>45191.585092592592</v>
      </c>
      <c r="J700" s="3">
        <v>42172.607800925929</v>
      </c>
      <c r="K700" cm="1">
        <f t="array" ref="K700">sentimentCalc(C700)</f>
        <v>0</v>
      </c>
      <c r="L700" t="str" cm="1">
        <f t="array" ref="L700">sentimentCategory(K700)</f>
        <v>Neutral</v>
      </c>
    </row>
    <row r="701" spans="1:12" x14ac:dyDescent="0.25">
      <c r="A701" t="s">
        <v>54</v>
      </c>
      <c r="B701" t="s">
        <v>3857</v>
      </c>
      <c r="C701" t="str" cm="1">
        <f t="array" ref="C701">CleanText(B701)</f>
        <v>congrats on the billion dollar box office mark i love barbie movie</v>
      </c>
      <c r="D701">
        <v>2</v>
      </c>
      <c r="E701">
        <v>0</v>
      </c>
      <c r="F701" t="s">
        <v>10</v>
      </c>
      <c r="G701" t="str" cm="1">
        <f t="array" ref="G701">FindCountryName(F701)</f>
        <v>None</v>
      </c>
      <c r="H701" s="3">
        <v>45144.961469907408</v>
      </c>
      <c r="I701" s="3">
        <v>45144.961469907408</v>
      </c>
      <c r="J701" s="3">
        <v>41699.823773148149</v>
      </c>
      <c r="K701" cm="1">
        <f t="array" ref="K701">sentimentCalc(C701)</f>
        <v>5</v>
      </c>
      <c r="L701" t="str" cm="1">
        <f t="array" ref="L701">sentimentCategory(K701)</f>
        <v>Positive</v>
      </c>
    </row>
    <row r="702" spans="1:12" x14ac:dyDescent="0.25">
      <c r="A702" t="s">
        <v>4432</v>
      </c>
      <c r="B702" t="s">
        <v>4433</v>
      </c>
      <c r="C702" t="str" cm="1">
        <f t="array" ref="C702">CleanText(B702)</f>
        <v>congrats to the marketing department of mattel</v>
      </c>
      <c r="D702">
        <v>0</v>
      </c>
      <c r="E702">
        <v>0</v>
      </c>
      <c r="F702" t="s">
        <v>10</v>
      </c>
      <c r="G702" t="str" cm="1">
        <f t="array" ref="G702">FindCountryName(F702)</f>
        <v>None</v>
      </c>
      <c r="H702" s="3">
        <v>45140.292488425926</v>
      </c>
      <c r="I702" s="3">
        <v>45140.292488425926</v>
      </c>
      <c r="J702" s="3">
        <v>39956.540243055555</v>
      </c>
      <c r="K702" cm="1">
        <f t="array" ref="K702">sentimentCalc(C702)</f>
        <v>2</v>
      </c>
      <c r="L702" t="str" cm="1">
        <f t="array" ref="L702">sentimentCategory(K702)</f>
        <v>Positive</v>
      </c>
    </row>
    <row r="703" spans="1:12" x14ac:dyDescent="0.25">
      <c r="A703" t="s">
        <v>372</v>
      </c>
      <c r="B703" t="s">
        <v>1033</v>
      </c>
      <c r="C703" t="str" cm="1">
        <f t="array" ref="C703">CleanText(B703)</f>
        <v>congratulation for winning nothing during the golden globes</v>
      </c>
      <c r="D703">
        <v>0</v>
      </c>
      <c r="E703">
        <v>4</v>
      </c>
      <c r="F703" t="s">
        <v>10</v>
      </c>
      <c r="G703" t="str" cm="1">
        <f t="array" ref="G703">FindCountryName(F703)</f>
        <v>None</v>
      </c>
      <c r="H703" s="3">
        <v>45299.083090277774</v>
      </c>
      <c r="I703" s="3">
        <v>45299.083090277774</v>
      </c>
      <c r="J703" s="3">
        <v>42476.751168981478</v>
      </c>
      <c r="K703" cm="1">
        <f t="array" ref="K703">sentimentCalc(C703)</f>
        <v>6</v>
      </c>
      <c r="L703" t="str" cm="1">
        <f t="array" ref="L703">sentimentCategory(K703)</f>
        <v>Positive</v>
      </c>
    </row>
    <row r="704" spans="1:12" x14ac:dyDescent="0.25">
      <c r="A704" t="s">
        <v>1160</v>
      </c>
      <c r="B704" t="s">
        <v>1161</v>
      </c>
      <c r="C704" t="str" cm="1">
        <f t="array" ref="C704">CleanText(B704)</f>
        <v>congratulations on barbie being the top number one grossing movie of year ps i watched barbie and loved it</v>
      </c>
      <c r="D704">
        <v>6</v>
      </c>
      <c r="E704">
        <v>0</v>
      </c>
      <c r="F704" t="s">
        <v>227</v>
      </c>
      <c r="G704" t="str" cm="1">
        <f t="array" ref="G704">FindCountryName(F704)</f>
        <v>United States of America (the)</v>
      </c>
      <c r="H704" s="3">
        <v>45281.658680555556</v>
      </c>
      <c r="I704" s="3">
        <v>45281.658680555556</v>
      </c>
      <c r="J704" s="3">
        <v>40017.56181712963</v>
      </c>
      <c r="K704" cm="1">
        <f t="array" ref="K704">sentimentCalc(C704)</f>
        <v>7</v>
      </c>
      <c r="L704" t="str" cm="1">
        <f t="array" ref="L704">sentimentCategory(K704)</f>
        <v>Positive</v>
      </c>
    </row>
    <row r="705" spans="1:12" x14ac:dyDescent="0.25">
      <c r="A705" t="s">
        <v>311</v>
      </c>
      <c r="B705" t="s">
        <v>1419</v>
      </c>
      <c r="C705" t="str" cm="1">
        <f t="array" ref="C705">CleanText(B705)</f>
        <v>conic region iconic time iconic cultures iconic actors and oh what an iconic director</v>
      </c>
      <c r="D705">
        <v>2</v>
      </c>
      <c r="E705">
        <v>0</v>
      </c>
      <c r="F705" t="s">
        <v>10</v>
      </c>
      <c r="G705" t="str" cm="1">
        <f t="array" ref="G705">FindCountryName(F705)</f>
        <v>None</v>
      </c>
      <c r="H705" s="3">
        <v>45231.87128472222</v>
      </c>
      <c r="I705" s="3">
        <v>45231.87128472222</v>
      </c>
      <c r="J705" s="3">
        <v>44151.772731481484</v>
      </c>
      <c r="K705" cm="1">
        <f t="array" ref="K705">sentimentCalc(C705)</f>
        <v>0</v>
      </c>
      <c r="L705" t="str" cm="1">
        <f t="array" ref="L705">sentimentCategory(K705)</f>
        <v>Neutral</v>
      </c>
    </row>
    <row r="706" spans="1:12" x14ac:dyDescent="0.25">
      <c r="A706" t="s">
        <v>405</v>
      </c>
      <c r="B706" t="s">
        <v>3952</v>
      </c>
      <c r="C706" t="str" cm="1">
        <f t="array" ref="C706">CleanText(B706)</f>
        <v>contemplating between watching on theatres or maybe streaming on max in the near future</v>
      </c>
      <c r="D706">
        <v>1</v>
      </c>
      <c r="E706">
        <v>0</v>
      </c>
      <c r="F706" t="s">
        <v>10</v>
      </c>
      <c r="G706" t="str" cm="1">
        <f t="array" ref="G706">FindCountryName(F706)</f>
        <v>None</v>
      </c>
      <c r="H706" s="3">
        <v>45144.22283564815</v>
      </c>
      <c r="I706" s="3">
        <v>45144.22283564815</v>
      </c>
      <c r="J706" s="3">
        <v>38863.274953703702</v>
      </c>
      <c r="K706" cm="1">
        <f t="array" ref="K706">sentimentCalc(C706)</f>
        <v>0</v>
      </c>
      <c r="L706" t="str" cm="1">
        <f t="array" ref="L706">sentimentCategory(K706)</f>
        <v>Neutral</v>
      </c>
    </row>
    <row r="707" spans="1:12" x14ac:dyDescent="0.25">
      <c r="A707" t="s">
        <v>382</v>
      </c>
      <c r="B707" t="s">
        <v>383</v>
      </c>
      <c r="C707" t="str" cm="1">
        <f t="array" ref="C707">CleanText(B707)</f>
        <v>coo gzel film</v>
      </c>
      <c r="D707">
        <v>0</v>
      </c>
      <c r="E707">
        <v>0</v>
      </c>
      <c r="F707" t="s">
        <v>10</v>
      </c>
      <c r="G707" t="str" cm="1">
        <f t="array" ref="G707">FindCountryName(F707)</f>
        <v>None</v>
      </c>
      <c r="H707" s="3">
        <v>45322.273553240739</v>
      </c>
      <c r="I707" s="3">
        <v>45322.273553240739</v>
      </c>
      <c r="J707" s="3">
        <v>45322.254305555558</v>
      </c>
      <c r="K707" cm="1">
        <f t="array" ref="K707">sentimentCalc(C707)</f>
        <v>0</v>
      </c>
      <c r="L707" t="str" cm="1">
        <f t="array" ref="L707">sentimentCategory(K707)</f>
        <v>Neutral</v>
      </c>
    </row>
    <row r="708" spans="1:12" x14ac:dyDescent="0.25">
      <c r="A708" t="s">
        <v>2902</v>
      </c>
      <c r="B708" t="s">
        <v>2903</v>
      </c>
      <c r="C708" t="str" cm="1">
        <f t="array" ref="C708">CleanText(B708)</f>
        <v>cool</v>
      </c>
      <c r="D708">
        <v>0</v>
      </c>
      <c r="E708">
        <v>0</v>
      </c>
      <c r="F708" t="s">
        <v>227</v>
      </c>
      <c r="G708" t="str" cm="1">
        <f t="array" ref="G708">FindCountryName(F708)</f>
        <v>United States of America (the)</v>
      </c>
      <c r="H708" s="3">
        <v>45156.183738425927</v>
      </c>
      <c r="I708" s="3">
        <v>45156.18372685185</v>
      </c>
      <c r="J708" s="3">
        <v>44816.105092592596</v>
      </c>
      <c r="K708" cm="1">
        <f t="array" ref="K708">sentimentCalc(C708)</f>
        <v>1</v>
      </c>
      <c r="L708" t="str" cm="1">
        <f t="array" ref="L708">sentimentCategory(K708)</f>
        <v>Positive</v>
      </c>
    </row>
    <row r="709" spans="1:12" x14ac:dyDescent="0.25">
      <c r="A709" t="s">
        <v>3014</v>
      </c>
      <c r="B709" t="s">
        <v>3469</v>
      </c>
      <c r="C709" t="str" cm="1">
        <f t="array" ref="C709">CleanText(B709)</f>
        <v>cool</v>
      </c>
      <c r="D709">
        <v>0</v>
      </c>
      <c r="E709">
        <v>0</v>
      </c>
      <c r="F709" t="s">
        <v>3470</v>
      </c>
      <c r="G709" t="str" cm="1">
        <f t="array" ref="G709">FindCountryName(F709)</f>
        <v>Georgia</v>
      </c>
      <c r="H709" s="3">
        <v>45148.545312499999</v>
      </c>
      <c r="I709" s="3">
        <v>45148.545312499999</v>
      </c>
      <c r="J709" s="3">
        <v>44990.727037037039</v>
      </c>
      <c r="K709" cm="1">
        <f t="array" ref="K709">sentimentCalc(C709)</f>
        <v>1</v>
      </c>
      <c r="L709" t="str" cm="1">
        <f t="array" ref="L709">sentimentCategory(K709)</f>
        <v>Positive</v>
      </c>
    </row>
    <row r="710" spans="1:12" x14ac:dyDescent="0.25">
      <c r="A710" t="s">
        <v>188</v>
      </c>
      <c r="B710" t="s">
        <v>4167</v>
      </c>
      <c r="C710" t="str" cm="1">
        <f t="array" ref="C710">CleanText(B710)</f>
        <v>cosa vi  successo scoreggia rosa</v>
      </c>
      <c r="D710">
        <v>0</v>
      </c>
      <c r="E710">
        <v>0</v>
      </c>
      <c r="F710" t="s">
        <v>10</v>
      </c>
      <c r="G710" t="str" cm="1">
        <f t="array" ref="G710">FindCountryName(F710)</f>
        <v>None</v>
      </c>
      <c r="H710" s="3">
        <v>45142.378437500003</v>
      </c>
      <c r="I710" s="3">
        <v>45142.378437500003</v>
      </c>
      <c r="J710" s="3">
        <v>44931.654050925928</v>
      </c>
      <c r="K710" cm="1">
        <f t="array" ref="K710">sentimentCalc(C710)</f>
        <v>0</v>
      </c>
      <c r="L710" t="str" cm="1">
        <f t="array" ref="L710">sentimentCategory(K710)</f>
        <v>Neutral</v>
      </c>
    </row>
    <row r="711" spans="1:12" x14ac:dyDescent="0.25">
      <c r="A711" t="s">
        <v>3023</v>
      </c>
      <c r="B711" t="s">
        <v>3934</v>
      </c>
      <c r="C711" t="str" cm="1">
        <f t="array" ref="C711">CleanText(B711)</f>
        <v>could someone tell me why is this barbie movie doing so good</v>
      </c>
      <c r="D711">
        <v>1</v>
      </c>
      <c r="E711">
        <v>2</v>
      </c>
      <c r="F711" t="s">
        <v>10</v>
      </c>
      <c r="G711" t="str" cm="1">
        <f t="array" ref="G711">FindCountryName(F711)</f>
        <v>None</v>
      </c>
      <c r="H711" s="3">
        <v>45144.421701388892</v>
      </c>
      <c r="I711" s="3">
        <v>45144.421701388892</v>
      </c>
      <c r="J711" s="3">
        <v>44368.47315972222</v>
      </c>
      <c r="K711" cm="1">
        <f t="array" ref="K711">sentimentCalc(C711)</f>
        <v>3</v>
      </c>
      <c r="L711" t="str" cm="1">
        <f t="array" ref="L711">sentimentCategory(K711)</f>
        <v>Positive</v>
      </c>
    </row>
    <row r="712" spans="1:12" x14ac:dyDescent="0.25">
      <c r="A712" t="s">
        <v>2593</v>
      </c>
      <c r="B712" t="s">
        <v>2594</v>
      </c>
      <c r="C712" t="str" cm="1">
        <f t="array" ref="C712">CleanText(B712)</f>
        <v>couldnt watch it but literally see  yr old in america on yt go and watch it really upsetting the whole point of barbie is for little girls im so jealous the people who got to watch it but when i turn  its probably gonna me less popular</v>
      </c>
      <c r="D712">
        <v>1</v>
      </c>
      <c r="E712">
        <v>1</v>
      </c>
      <c r="F712" t="s">
        <v>10</v>
      </c>
      <c r="G712" t="str" cm="1">
        <f t="array" ref="G712">FindCountryName(F712)</f>
        <v>None</v>
      </c>
      <c r="H712" s="3">
        <v>45162.315752314818</v>
      </c>
      <c r="I712" s="3">
        <v>45162.315740740742</v>
      </c>
      <c r="J712" s="3">
        <v>44312.488657407404</v>
      </c>
      <c r="K712" cm="1">
        <f t="array" ref="K712">sentimentCalc(C712)</f>
        <v>-1</v>
      </c>
      <c r="L712" t="str" cm="1">
        <f t="array" ref="L712">sentimentCategory(K712)</f>
        <v>Negative</v>
      </c>
    </row>
    <row r="713" spans="1:12" x14ac:dyDescent="0.25">
      <c r="A713" t="s">
        <v>3725</v>
      </c>
      <c r="B713" t="s">
        <v>3726</v>
      </c>
      <c r="C713" t="str" cm="1">
        <f t="array" ref="C713">CleanText(B713)</f>
        <v>couldnt you find anyone younger</v>
      </c>
      <c r="D713">
        <v>0</v>
      </c>
      <c r="E713">
        <v>1</v>
      </c>
      <c r="F713" t="s">
        <v>10</v>
      </c>
      <c r="G713" t="str" cm="1">
        <f t="array" ref="G713">FindCountryName(F713)</f>
        <v>None</v>
      </c>
      <c r="H713" s="3">
        <v>45146.004687499997</v>
      </c>
      <c r="I713" s="3">
        <v>45146.004687499997</v>
      </c>
      <c r="J713" s="3">
        <v>42173.403773148151</v>
      </c>
      <c r="K713" cm="1">
        <f t="array" ref="K713">sentimentCalc(C713)</f>
        <v>0</v>
      </c>
      <c r="L713" t="str" cm="1">
        <f t="array" ref="L713">sentimentCategory(K713)</f>
        <v>Neutral</v>
      </c>
    </row>
    <row r="714" spans="1:12" x14ac:dyDescent="0.25">
      <c r="A714" t="s">
        <v>154</v>
      </c>
      <c r="B714" t="s">
        <v>2539</v>
      </c>
      <c r="C714" t="str" cm="1">
        <f t="array" ref="C714">CleanText(B714)</f>
        <v>couples should watch the walle movie instead barbie cause it ruins relationships</v>
      </c>
      <c r="D714">
        <v>1</v>
      </c>
      <c r="E714">
        <v>1</v>
      </c>
      <c r="F714" t="s">
        <v>227</v>
      </c>
      <c r="G714" t="str" cm="1">
        <f t="array" ref="G714">FindCountryName(F714)</f>
        <v>United States of America (the)</v>
      </c>
      <c r="H714" s="3">
        <v>45163.892164351855</v>
      </c>
      <c r="I714" s="3">
        <v>45163.892164351855</v>
      </c>
      <c r="J714" s="3">
        <v>40420.916979166665</v>
      </c>
      <c r="K714" cm="1">
        <f t="array" ref="K714">sentimentCalc(C714)</f>
        <v>-2</v>
      </c>
      <c r="L714" t="str" cm="1">
        <f t="array" ref="L714">sentimentCategory(K714)</f>
        <v>Negative</v>
      </c>
    </row>
    <row r="715" spans="1:12" x14ac:dyDescent="0.25">
      <c r="A715" t="s">
        <v>178</v>
      </c>
      <c r="B715" t="s">
        <v>2995</v>
      </c>
      <c r="C715" t="str" cm="1">
        <f t="array" ref="C715">CleanText(B715)</f>
        <v>crazy to think that none of the main cast are american</v>
      </c>
      <c r="D715">
        <v>2</v>
      </c>
      <c r="E715">
        <v>0</v>
      </c>
      <c r="F715" t="s">
        <v>10</v>
      </c>
      <c r="G715" t="str" cm="1">
        <f t="array" ref="G715">FindCountryName(F715)</f>
        <v>None</v>
      </c>
      <c r="H715" s="3">
        <v>45154.667407407411</v>
      </c>
      <c r="I715" s="3">
        <v>45154.667407407411</v>
      </c>
      <c r="J715" s="3">
        <v>44304.986921296295</v>
      </c>
      <c r="K715" cm="1">
        <f t="array" ref="K715">sentimentCalc(C715)</f>
        <v>-2</v>
      </c>
      <c r="L715" t="str" cm="1">
        <f t="array" ref="L715">sentimentCategory(K715)</f>
        <v>Negative</v>
      </c>
    </row>
    <row r="716" spans="1:12" x14ac:dyDescent="0.25">
      <c r="A716" t="s">
        <v>296</v>
      </c>
      <c r="B716" t="s">
        <v>4116</v>
      </c>
      <c r="C716" t="str" cm="1">
        <f t="array" ref="C716">CleanText(B716)</f>
        <v>crazy trailer</v>
      </c>
      <c r="D716">
        <v>0</v>
      </c>
      <c r="E716">
        <v>0</v>
      </c>
      <c r="F716" t="s">
        <v>10</v>
      </c>
      <c r="G716" t="str" cm="1">
        <f t="array" ref="G716">FindCountryName(F716)</f>
        <v>None</v>
      </c>
      <c r="H716" s="3">
        <v>45142.740694444445</v>
      </c>
      <c r="I716" s="3">
        <v>45142.740694444445</v>
      </c>
      <c r="J716" s="3">
        <v>44159.650243055556</v>
      </c>
      <c r="K716" cm="1">
        <f t="array" ref="K716">sentimentCalc(C716)</f>
        <v>-2</v>
      </c>
      <c r="L716" t="str" cm="1">
        <f t="array" ref="L716">sentimentCategory(K716)</f>
        <v>Negative</v>
      </c>
    </row>
    <row r="717" spans="1:12" x14ac:dyDescent="0.25">
      <c r="A717" t="s">
        <v>201</v>
      </c>
      <c r="B717" t="s">
        <v>202</v>
      </c>
      <c r="C717" t="str" cm="1">
        <f t="array" ref="C717">CleanText(B717)</f>
        <v>credo</v>
      </c>
      <c r="D717">
        <v>0</v>
      </c>
      <c r="E717">
        <v>0</v>
      </c>
      <c r="F717" t="s">
        <v>10</v>
      </c>
      <c r="G717" t="str" cm="1">
        <f t="array" ref="G717">FindCountryName(F717)</f>
        <v>None</v>
      </c>
      <c r="H717" s="3">
        <v>45333.834780092591</v>
      </c>
      <c r="I717" s="3">
        <v>45333.834780092591</v>
      </c>
      <c r="J717" s="3">
        <v>45333.834768518522</v>
      </c>
      <c r="K717" cm="1">
        <f t="array" ref="K717">sentimentCalc(C717)</f>
        <v>0</v>
      </c>
      <c r="L717" t="str" cm="1">
        <f t="array" ref="L717">sentimentCategory(K717)</f>
        <v>Neutral</v>
      </c>
    </row>
    <row r="718" spans="1:12" x14ac:dyDescent="0.25">
      <c r="A718" t="s">
        <v>2394</v>
      </c>
      <c r="B718" t="s">
        <v>2395</v>
      </c>
      <c r="C718" t="str" cm="1">
        <f t="array" ref="C718">CleanText(B718)</f>
        <v>cringe</v>
      </c>
      <c r="D718">
        <v>0</v>
      </c>
      <c r="E718">
        <v>0</v>
      </c>
      <c r="F718" t="s">
        <v>10</v>
      </c>
      <c r="G718" t="str" cm="1">
        <f t="array" ref="G718">FindCountryName(F718)</f>
        <v>None</v>
      </c>
      <c r="H718" s="3">
        <v>45168.852847222224</v>
      </c>
      <c r="I718" s="3">
        <v>45168.852847222224</v>
      </c>
      <c r="J718" s="3">
        <v>41573.933796296296</v>
      </c>
      <c r="K718" cm="1">
        <f t="array" ref="K718">sentimentCalc(C718)</f>
        <v>0</v>
      </c>
      <c r="L718" t="str" cm="1">
        <f t="array" ref="L718">sentimentCategory(K718)</f>
        <v>Neutral</v>
      </c>
    </row>
    <row r="719" spans="1:12" x14ac:dyDescent="0.25">
      <c r="A719" t="s">
        <v>1456</v>
      </c>
      <c r="B719" t="s">
        <v>4065</v>
      </c>
      <c r="C719" t="str" cm="1">
        <f t="array" ref="C719">CleanText(B719)</f>
        <v>cringemovie simple</v>
      </c>
      <c r="D719">
        <v>5</v>
      </c>
      <c r="E719">
        <v>0</v>
      </c>
      <c r="F719" t="s">
        <v>3305</v>
      </c>
      <c r="G719" t="str" cm="1">
        <f t="array" ref="G719">FindCountryName(F719)</f>
        <v>Croatia</v>
      </c>
      <c r="H719" s="3">
        <v>45143.187754629631</v>
      </c>
      <c r="I719" s="3">
        <v>45143.187754629631</v>
      </c>
      <c r="J719" s="3">
        <v>41684.604050925926</v>
      </c>
      <c r="K719" cm="1">
        <f t="array" ref="K719">sentimentCalc(C719)</f>
        <v>0</v>
      </c>
      <c r="L719" t="str" cm="1">
        <f t="array" ref="L719">sentimentCategory(K719)</f>
        <v>Neutral</v>
      </c>
    </row>
    <row r="720" spans="1:12" x14ac:dyDescent="0.25">
      <c r="A720" t="s">
        <v>1503</v>
      </c>
      <c r="B720" t="s">
        <v>2730</v>
      </c>
      <c r="C720" t="str" cm="1">
        <f t="array" ref="C720">CleanText(B720)</f>
        <v>cringe</v>
      </c>
      <c r="D720">
        <v>1</v>
      </c>
      <c r="E720">
        <v>0</v>
      </c>
      <c r="F720" t="s">
        <v>10</v>
      </c>
      <c r="G720" t="str" cm="1">
        <f t="array" ref="G720">FindCountryName(F720)</f>
        <v>None</v>
      </c>
      <c r="H720" s="3">
        <v>45159.129340277781</v>
      </c>
      <c r="I720" s="3">
        <v>45159.129340277781</v>
      </c>
      <c r="J720" s="3">
        <v>43428.833483796298</v>
      </c>
      <c r="K720" cm="1">
        <f t="array" ref="K720">sentimentCalc(C720)</f>
        <v>0</v>
      </c>
      <c r="L720" t="str" cm="1">
        <f t="array" ref="L720">sentimentCategory(K720)</f>
        <v>Neutral</v>
      </c>
    </row>
    <row r="721" spans="1:12" x14ac:dyDescent="0.25">
      <c r="A721" t="s">
        <v>324</v>
      </c>
      <c r="B721" t="s">
        <v>2450</v>
      </c>
      <c r="C721" t="str" cm="1">
        <f t="array" ref="C721">CleanText(B721)</f>
        <v>cristina co s mio nome babi rpd engleze so italiano</v>
      </c>
      <c r="D721">
        <v>0</v>
      </c>
      <c r="E721">
        <v>0</v>
      </c>
      <c r="F721" t="s">
        <v>10</v>
      </c>
      <c r="G721" t="str" cm="1">
        <f t="array" ref="G721">FindCountryName(F721)</f>
        <v>None</v>
      </c>
      <c r="H721" s="3">
        <v>45166.924340277779</v>
      </c>
      <c r="I721" s="3">
        <v>45166.924340277779</v>
      </c>
      <c r="J721" s="3">
        <v>44600.685358796298</v>
      </c>
      <c r="K721" cm="1">
        <f t="array" ref="K721">sentimentCalc(C721)</f>
        <v>0</v>
      </c>
      <c r="L721" t="str" cm="1">
        <f t="array" ref="L721">sentimentCategory(K721)</f>
        <v>Neutral</v>
      </c>
    </row>
    <row r="722" spans="1:12" x14ac:dyDescent="0.25">
      <c r="A722" t="s">
        <v>122</v>
      </c>
      <c r="B722" t="s">
        <v>3303</v>
      </c>
      <c r="C722" t="str" cm="1">
        <f t="array" ref="C722">CleanText(B722)</f>
        <v>cuando este en netflix la ver</v>
      </c>
      <c r="D722">
        <v>6</v>
      </c>
      <c r="E722">
        <v>2</v>
      </c>
      <c r="F722" t="s">
        <v>10</v>
      </c>
      <c r="G722" t="str" cm="1">
        <f t="array" ref="G722">FindCountryName(F722)</f>
        <v>None</v>
      </c>
      <c r="H722" s="3">
        <v>45150.527025462965</v>
      </c>
      <c r="I722" s="3">
        <v>45150.527025462965</v>
      </c>
      <c r="J722" s="3">
        <v>41374.787094907406</v>
      </c>
      <c r="K722" cm="1">
        <f t="array" ref="K722">sentimentCalc(C722)</f>
        <v>0</v>
      </c>
      <c r="L722" t="str" cm="1">
        <f t="array" ref="L722">sentimentCategory(K722)</f>
        <v>Neutral</v>
      </c>
    </row>
    <row r="723" spans="1:12" x14ac:dyDescent="0.25">
      <c r="A723" t="s">
        <v>616</v>
      </c>
      <c r="B723" t="s">
        <v>2679</v>
      </c>
      <c r="C723" t="str" cm="1">
        <f t="array" ref="C723">CleanText(B723)</f>
        <v>n</v>
      </c>
      <c r="D723">
        <v>0</v>
      </c>
      <c r="E723">
        <v>0</v>
      </c>
      <c r="F723" t="s">
        <v>1274</v>
      </c>
      <c r="G723" t="str" cm="1">
        <f t="array" ref="G723">FindCountryName(F723)</f>
        <v>Russian Federation (the)</v>
      </c>
      <c r="H723" s="3">
        <v>45160.248738425929</v>
      </c>
      <c r="I723" s="3">
        <v>45160.248738425929</v>
      </c>
      <c r="J723" s="3">
        <v>42925.350266203706</v>
      </c>
      <c r="K723" cm="1">
        <f t="array" ref="K723">sentimentCalc(C723)</f>
        <v>0</v>
      </c>
      <c r="L723" t="str" cm="1">
        <f t="array" ref="L723">sentimentCategory(K723)</f>
        <v>Neutral</v>
      </c>
    </row>
    <row r="724" spans="1:12" x14ac:dyDescent="0.25">
      <c r="A724" t="s">
        <v>1031</v>
      </c>
      <c r="B724" t="s">
        <v>3843</v>
      </c>
      <c r="C724" t="str" cm="1">
        <f t="array" ref="C724">CleanText(B724)</f>
        <v>n</v>
      </c>
      <c r="D724">
        <v>0</v>
      </c>
      <c r="E724">
        <v>0</v>
      </c>
      <c r="F724" t="s">
        <v>10</v>
      </c>
      <c r="G724" t="str" cm="1">
        <f t="array" ref="G724">FindCountryName(F724)</f>
        <v>None</v>
      </c>
      <c r="H724" s="3">
        <v>45145.036412037036</v>
      </c>
      <c r="I724" s="3">
        <v>45145.036412037036</v>
      </c>
      <c r="J724" s="3">
        <v>41562.164571759262</v>
      </c>
      <c r="K724" cm="1">
        <f t="array" ref="K724">sentimentCalc(C724)</f>
        <v>0</v>
      </c>
      <c r="L724" t="str" cm="1">
        <f t="array" ref="L724">sentimentCategory(K724)</f>
        <v>Neutral</v>
      </c>
    </row>
    <row r="725" spans="1:12" x14ac:dyDescent="0.25">
      <c r="A725" t="s">
        <v>405</v>
      </c>
      <c r="B725" t="s">
        <v>4424</v>
      </c>
      <c r="C725" t="str" cm="1">
        <f t="array" ref="C725">CleanText(B725)</f>
        <v>n</v>
      </c>
      <c r="D725">
        <v>0</v>
      </c>
      <c r="E725">
        <v>0</v>
      </c>
      <c r="F725" t="s">
        <v>10</v>
      </c>
      <c r="G725" t="str" cm="1">
        <f t="array" ref="G725">FindCountryName(F725)</f>
        <v>None</v>
      </c>
      <c r="H725" s="3">
        <v>45140.354386574072</v>
      </c>
      <c r="I725" s="3">
        <v>45140.354386574072</v>
      </c>
      <c r="J725" s="3">
        <v>44532.525590277779</v>
      </c>
      <c r="K725" cm="1">
        <f t="array" ref="K725">sentimentCalc(C725)</f>
        <v>0</v>
      </c>
      <c r="L725" t="str" cm="1">
        <f t="array" ref="L725">sentimentCategory(K725)</f>
        <v>Neutral</v>
      </c>
    </row>
    <row r="726" spans="1:12" x14ac:dyDescent="0.25">
      <c r="A726" t="s">
        <v>4218</v>
      </c>
      <c r="B726" t="s">
        <v>4219</v>
      </c>
      <c r="C726" t="str" cm="1">
        <f t="array" ref="C726">CleanText(B726)</f>
        <v>wmprotection    youtube</v>
      </c>
      <c r="D726">
        <v>0</v>
      </c>
      <c r="E726">
        <v>0</v>
      </c>
      <c r="F726" t="s">
        <v>10</v>
      </c>
      <c r="G726" t="str" cm="1">
        <f t="array" ref="G726">FindCountryName(F726)</f>
        <v>None</v>
      </c>
      <c r="H726" s="3">
        <v>45141.785208333335</v>
      </c>
      <c r="I726" s="3">
        <v>45141.785208333335</v>
      </c>
      <c r="J726" s="3">
        <v>43712.190717592595</v>
      </c>
      <c r="K726" cm="1">
        <f t="array" ref="K726">sentimentCalc(C726)</f>
        <v>0</v>
      </c>
      <c r="L726" t="str" cm="1">
        <f t="array" ref="L726">sentimentCategory(K726)</f>
        <v>Neutral</v>
      </c>
    </row>
    <row r="727" spans="1:12" x14ac:dyDescent="0.25">
      <c r="A727" t="s">
        <v>45</v>
      </c>
      <c r="B727" t="s">
        <v>1525</v>
      </c>
      <c r="C727" t="str" cm="1">
        <f t="array" ref="C727">CleanText(B727)</f>
        <v>n</v>
      </c>
      <c r="D727">
        <v>0</v>
      </c>
      <c r="E727">
        <v>0</v>
      </c>
      <c r="F727" t="s">
        <v>10</v>
      </c>
      <c r="G727" t="str" cm="1">
        <f t="array" ref="G727">FindCountryName(F727)</f>
        <v>None</v>
      </c>
      <c r="H727" s="3">
        <v>45217.124155092592</v>
      </c>
      <c r="I727" s="3">
        <v>45217.124155092592</v>
      </c>
      <c r="J727" s="3">
        <v>45182.495000000003</v>
      </c>
      <c r="K727" cm="1">
        <f t="array" ref="K727">sentimentCalc(C727)</f>
        <v>0</v>
      </c>
      <c r="L727" t="str" cm="1">
        <f t="array" ref="L727">sentimentCategory(K727)</f>
        <v>Neutral</v>
      </c>
    </row>
    <row r="728" spans="1:12" x14ac:dyDescent="0.25">
      <c r="A728" t="s">
        <v>45</v>
      </c>
      <c r="B728" t="s">
        <v>1381</v>
      </c>
      <c r="C728" t="str" cm="1">
        <f t="array" ref="C728">CleanText(B728)</f>
        <v>n</v>
      </c>
      <c r="D728">
        <v>0</v>
      </c>
      <c r="E728">
        <v>1</v>
      </c>
      <c r="F728" t="s">
        <v>10</v>
      </c>
      <c r="G728" t="str" cm="1">
        <f t="array" ref="G728">FindCountryName(F728)</f>
        <v>None</v>
      </c>
      <c r="H728" s="3">
        <v>45234.566689814812</v>
      </c>
      <c r="I728" s="3">
        <v>45234.566689814812</v>
      </c>
      <c r="J728" s="3">
        <v>44627.4846412037</v>
      </c>
      <c r="K728" cm="1">
        <f t="array" ref="K728">sentimentCalc(C728)</f>
        <v>0</v>
      </c>
      <c r="L728" t="str" cm="1">
        <f t="array" ref="L728">sentimentCategory(K728)</f>
        <v>Neutral</v>
      </c>
    </row>
    <row r="729" spans="1:12" x14ac:dyDescent="0.25">
      <c r="A729" t="s">
        <v>201</v>
      </c>
      <c r="B729" t="s">
        <v>1375</v>
      </c>
      <c r="C729" t="str" cm="1">
        <f t="array" ref="C729">CleanText(B729)</f>
        <v>n</v>
      </c>
      <c r="D729">
        <v>0</v>
      </c>
      <c r="E729">
        <v>0</v>
      </c>
      <c r="F729" t="s">
        <v>10</v>
      </c>
      <c r="G729" t="str" cm="1">
        <f t="array" ref="G729">FindCountryName(F729)</f>
        <v>None</v>
      </c>
      <c r="H729" s="3">
        <v>45236.258113425924</v>
      </c>
      <c r="I729" s="3">
        <v>45236.258113425924</v>
      </c>
      <c r="J729" s="3">
        <v>44891.339178240742</v>
      </c>
      <c r="K729" cm="1">
        <f t="array" ref="K729">sentimentCalc(C729)</f>
        <v>0</v>
      </c>
      <c r="L729" t="str" cm="1">
        <f t="array" ref="L729">sentimentCategory(K729)</f>
        <v>Neutral</v>
      </c>
    </row>
    <row r="730" spans="1:12" x14ac:dyDescent="0.25">
      <c r="A730" t="s">
        <v>444</v>
      </c>
      <c r="B730" t="s">
        <v>4050</v>
      </c>
      <c r="C730" t="str" cm="1">
        <f t="array" ref="C730">CleanText(B730)</f>
        <v>n</v>
      </c>
      <c r="D730">
        <v>1</v>
      </c>
      <c r="E730">
        <v>0</v>
      </c>
      <c r="F730" t="s">
        <v>10</v>
      </c>
      <c r="G730" t="str" cm="1">
        <f t="array" ref="G730">FindCountryName(F730)</f>
        <v>None</v>
      </c>
      <c r="H730" s="3">
        <v>45143.390370370369</v>
      </c>
      <c r="I730" s="3">
        <v>45143.390370370369</v>
      </c>
      <c r="J730" s="3">
        <v>44281.304456018515</v>
      </c>
      <c r="K730" cm="1">
        <f t="array" ref="K730">sentimentCalc(C730)</f>
        <v>0</v>
      </c>
      <c r="L730" t="str" cm="1">
        <f t="array" ref="L730">sentimentCategory(K730)</f>
        <v>Neutral</v>
      </c>
    </row>
    <row r="731" spans="1:12" x14ac:dyDescent="0.25">
      <c r="A731" t="s">
        <v>523</v>
      </c>
      <c r="B731" t="s">
        <v>3625</v>
      </c>
      <c r="C731" t="str" cm="1">
        <f t="array" ref="C731">CleanText(B731)</f>
        <v>n</v>
      </c>
      <c r="D731">
        <v>0</v>
      </c>
      <c r="E731">
        <v>0</v>
      </c>
      <c r="F731" t="s">
        <v>10</v>
      </c>
      <c r="G731" t="str" cm="1">
        <f t="array" ref="G731">FindCountryName(F731)</f>
        <v>None</v>
      </c>
      <c r="H731" s="3">
        <v>45147.016168981485</v>
      </c>
      <c r="I731" s="3">
        <v>45147.016168981485</v>
      </c>
      <c r="J731" s="3">
        <v>44731.2424537037</v>
      </c>
      <c r="K731" cm="1">
        <f t="array" ref="K731">sentimentCalc(C731)</f>
        <v>0</v>
      </c>
      <c r="L731" t="str" cm="1">
        <f t="array" ref="L731">sentimentCategory(K731)</f>
        <v>Neutral</v>
      </c>
    </row>
    <row r="732" spans="1:12" x14ac:dyDescent="0.25">
      <c r="A732" t="s">
        <v>171</v>
      </c>
      <c r="B732" t="s">
        <v>3183</v>
      </c>
      <c r="C732" t="str" cm="1">
        <f t="array" ref="C732">CleanText(B732)</f>
        <v>n</v>
      </c>
      <c r="D732">
        <v>2</v>
      </c>
      <c r="E732">
        <v>1</v>
      </c>
      <c r="F732" t="s">
        <v>10</v>
      </c>
      <c r="G732" t="str" cm="1">
        <f t="array" ref="G732">FindCountryName(F732)</f>
        <v>None</v>
      </c>
      <c r="H732" s="3">
        <v>45152.298310185186</v>
      </c>
      <c r="I732" s="3">
        <v>45152.298310185186</v>
      </c>
      <c r="J732" s="3">
        <v>42674.758310185185</v>
      </c>
      <c r="K732" cm="1">
        <f t="array" ref="K732">sentimentCalc(C732)</f>
        <v>0</v>
      </c>
      <c r="L732" t="str" cm="1">
        <f t="array" ref="L732">sentimentCategory(K732)</f>
        <v>Neutral</v>
      </c>
    </row>
    <row r="733" spans="1:12" x14ac:dyDescent="0.25">
      <c r="A733" t="s">
        <v>718</v>
      </c>
      <c r="B733" t="s">
        <v>719</v>
      </c>
      <c r="C733" t="str" cm="1">
        <f t="array" ref="C733">CleanText(B733)</f>
        <v>n</v>
      </c>
      <c r="D733">
        <v>0</v>
      </c>
      <c r="E733">
        <v>0</v>
      </c>
      <c r="F733" t="s">
        <v>10</v>
      </c>
      <c r="G733" t="str" cm="1">
        <f t="array" ref="G733">FindCountryName(F733)</f>
        <v>None</v>
      </c>
      <c r="H733" s="3">
        <v>45310.423379629632</v>
      </c>
      <c r="I733" s="3">
        <v>45310.423379629632</v>
      </c>
      <c r="J733" s="3">
        <v>41864.648287037038</v>
      </c>
      <c r="K733" cm="1">
        <f t="array" ref="K733">sentimentCalc(C733)</f>
        <v>0</v>
      </c>
      <c r="L733" t="str" cm="1">
        <f t="array" ref="L733">sentimentCategory(K733)</f>
        <v>Neutral</v>
      </c>
    </row>
    <row r="734" spans="1:12" x14ac:dyDescent="0.25">
      <c r="A734" t="s">
        <v>2155</v>
      </c>
      <c r="B734" t="s">
        <v>2156</v>
      </c>
      <c r="C734" t="str" cm="1">
        <f t="array" ref="C734">CleanText(B734)</f>
        <v>n</v>
      </c>
      <c r="D734">
        <v>0</v>
      </c>
      <c r="E734">
        <v>0</v>
      </c>
      <c r="F734" t="s">
        <v>10</v>
      </c>
      <c r="G734" t="str" cm="1">
        <f t="array" ref="G734">FindCountryName(F734)</f>
        <v>None</v>
      </c>
      <c r="H734" s="3">
        <v>45177.567326388889</v>
      </c>
      <c r="I734" s="3">
        <v>45177.567326388889</v>
      </c>
      <c r="J734" s="3">
        <v>44448.190937500003</v>
      </c>
      <c r="K734" cm="1">
        <f t="array" ref="K734">sentimentCalc(C734)</f>
        <v>0</v>
      </c>
      <c r="L734" t="str" cm="1">
        <f t="array" ref="L734">sentimentCategory(K734)</f>
        <v>Neutral</v>
      </c>
    </row>
    <row r="735" spans="1:12" x14ac:dyDescent="0.25">
      <c r="A735" t="s">
        <v>105</v>
      </c>
      <c r="B735" t="s">
        <v>2563</v>
      </c>
      <c r="C735" t="str" cm="1">
        <f t="array" ref="C735">CleanText(B735)</f>
        <v>n</v>
      </c>
      <c r="D735">
        <v>0</v>
      </c>
      <c r="E735">
        <v>0</v>
      </c>
      <c r="F735" t="s">
        <v>10</v>
      </c>
      <c r="G735" t="str" cm="1">
        <f t="array" ref="G735">FindCountryName(F735)</f>
        <v>None</v>
      </c>
      <c r="H735" s="3">
        <v>45163.331967592596</v>
      </c>
      <c r="I735" s="3">
        <v>45163.331967592596</v>
      </c>
      <c r="J735" s="3">
        <v>44546.210428240738</v>
      </c>
      <c r="K735" cm="1">
        <f t="array" ref="K735">sentimentCalc(C735)</f>
        <v>0</v>
      </c>
      <c r="L735" t="str" cm="1">
        <f t="array" ref="L735">sentimentCategory(K735)</f>
        <v>Neutral</v>
      </c>
    </row>
    <row r="736" spans="1:12" x14ac:dyDescent="0.25">
      <c r="A736" t="s">
        <v>2339</v>
      </c>
      <c r="B736" t="s">
        <v>2340</v>
      </c>
      <c r="C736" t="str" cm="1">
        <f t="array" ref="C736">CleanText(B736)</f>
        <v>n</v>
      </c>
      <c r="D736">
        <v>0</v>
      </c>
      <c r="E736">
        <v>0</v>
      </c>
      <c r="F736" t="s">
        <v>10</v>
      </c>
      <c r="G736" t="str" cm="1">
        <f t="array" ref="G736">FindCountryName(F736)</f>
        <v>None</v>
      </c>
      <c r="H736" s="3">
        <v>45171.584722222222</v>
      </c>
      <c r="I736" s="3">
        <v>45171.584722222222</v>
      </c>
      <c r="J736" s="3">
        <v>43978.655115740738</v>
      </c>
      <c r="K736" cm="1">
        <f t="array" ref="K736">sentimentCalc(C736)</f>
        <v>0</v>
      </c>
      <c r="L736" t="str" cm="1">
        <f t="array" ref="L736">sentimentCategory(K736)</f>
        <v>Neutral</v>
      </c>
    </row>
    <row r="737" spans="1:12" x14ac:dyDescent="0.25">
      <c r="A737" t="s">
        <v>130</v>
      </c>
      <c r="B737" t="s">
        <v>2346</v>
      </c>
      <c r="C737" t="str" cm="1">
        <f t="array" ref="C737">CleanText(B737)</f>
        <v>n</v>
      </c>
      <c r="D737">
        <v>1</v>
      </c>
      <c r="E737">
        <v>0</v>
      </c>
      <c r="F737" t="s">
        <v>10</v>
      </c>
      <c r="G737" t="str" cm="1">
        <f t="array" ref="G737">FindCountryName(F737)</f>
        <v>None</v>
      </c>
      <c r="H737" s="3">
        <v>45171.448483796295</v>
      </c>
      <c r="I737" s="3">
        <v>45171.448483796295</v>
      </c>
      <c r="J737" s="3">
        <v>41774.489664351851</v>
      </c>
      <c r="K737" cm="1">
        <f t="array" ref="K737">sentimentCalc(C737)</f>
        <v>0</v>
      </c>
      <c r="L737" t="str" cm="1">
        <f t="array" ref="L737">sentimentCategory(K737)</f>
        <v>Neutral</v>
      </c>
    </row>
    <row r="738" spans="1:12" x14ac:dyDescent="0.25">
      <c r="A738" t="s">
        <v>3373</v>
      </c>
      <c r="B738" t="s">
        <v>3374</v>
      </c>
      <c r="C738" t="str" cm="1">
        <f t="array" ref="C738">CleanText(B738)</f>
        <v>n</v>
      </c>
      <c r="D738">
        <v>1</v>
      </c>
      <c r="E738">
        <v>0</v>
      </c>
      <c r="F738" t="s">
        <v>10</v>
      </c>
      <c r="G738" t="str" cm="1">
        <f t="array" ref="G738">FindCountryName(F738)</f>
        <v>None</v>
      </c>
      <c r="H738" s="3">
        <v>45149.488900462966</v>
      </c>
      <c r="I738" s="3">
        <v>45149.488900462966</v>
      </c>
      <c r="J738" s="3">
        <v>44835.156192129631</v>
      </c>
      <c r="K738" cm="1">
        <f t="array" ref="K738">sentimentCalc(C738)</f>
        <v>0</v>
      </c>
      <c r="L738" t="str" cm="1">
        <f t="array" ref="L738">sentimentCategory(K738)</f>
        <v>Neutral</v>
      </c>
    </row>
    <row r="739" spans="1:12" x14ac:dyDescent="0.25">
      <c r="A739" t="s">
        <v>192</v>
      </c>
      <c r="B739" t="s">
        <v>1708</v>
      </c>
      <c r="C739" t="str" cm="1">
        <f t="array" ref="C739">CleanText(B739)</f>
        <v>n</v>
      </c>
      <c r="D739">
        <v>0</v>
      </c>
      <c r="E739">
        <v>0</v>
      </c>
      <c r="F739" t="s">
        <v>10</v>
      </c>
      <c r="G739" t="str" cm="1">
        <f t="array" ref="G739">FindCountryName(F739)</f>
        <v>None</v>
      </c>
      <c r="H739" s="3">
        <v>45200.556087962963</v>
      </c>
      <c r="I739" s="3">
        <v>45200.556087962963</v>
      </c>
      <c r="J739" s="3">
        <v>44997.312025462961</v>
      </c>
      <c r="K739" cm="1">
        <f t="array" ref="K739">sentimentCalc(C739)</f>
        <v>0</v>
      </c>
      <c r="L739" t="str" cm="1">
        <f t="array" ref="L739">sentimentCategory(K739)</f>
        <v>Neutral</v>
      </c>
    </row>
    <row r="740" spans="1:12" x14ac:dyDescent="0.25">
      <c r="A740" t="s">
        <v>727</v>
      </c>
      <c r="B740" t="s">
        <v>1109</v>
      </c>
      <c r="C740" t="str" cm="1">
        <f t="array" ref="C740">CleanText(B740)</f>
        <v>n</v>
      </c>
      <c r="D740">
        <v>0</v>
      </c>
      <c r="E740">
        <v>0</v>
      </c>
      <c r="F740" t="s">
        <v>10</v>
      </c>
      <c r="G740" t="str" cm="1">
        <f t="array" ref="G740">FindCountryName(F740)</f>
        <v>None</v>
      </c>
      <c r="H740" s="3">
        <v>45289.204756944448</v>
      </c>
      <c r="I740" s="3">
        <v>45289.204756944448</v>
      </c>
      <c r="J740" s="3">
        <v>44186.359074074076</v>
      </c>
      <c r="K740" cm="1">
        <f t="array" ref="K740">sentimentCalc(C740)</f>
        <v>0</v>
      </c>
      <c r="L740" t="str" cm="1">
        <f t="array" ref="L740">sentimentCategory(K740)</f>
        <v>Neutral</v>
      </c>
    </row>
    <row r="741" spans="1:12" x14ac:dyDescent="0.25">
      <c r="A741" t="s">
        <v>555</v>
      </c>
      <c r="B741" t="s">
        <v>1407</v>
      </c>
      <c r="C741" t="str" cm="1">
        <f t="array" ref="C741">CleanText(B741)</f>
        <v>n</v>
      </c>
      <c r="D741">
        <v>0</v>
      </c>
      <c r="E741">
        <v>0</v>
      </c>
      <c r="F741" t="s">
        <v>10</v>
      </c>
      <c r="G741" t="str" cm="1">
        <f t="array" ref="G741">FindCountryName(F741)</f>
        <v>None</v>
      </c>
      <c r="H741" s="3">
        <v>45233.538645833331</v>
      </c>
      <c r="I741" s="3">
        <v>45233.538645833331</v>
      </c>
      <c r="J741" s="3">
        <v>41659.544722222221</v>
      </c>
      <c r="K741" cm="1">
        <f t="array" ref="K741">sentimentCalc(C741)</f>
        <v>0</v>
      </c>
      <c r="L741" t="str" cm="1">
        <f t="array" ref="L741">sentimentCategory(K741)</f>
        <v>Neutral</v>
      </c>
    </row>
    <row r="742" spans="1:12" x14ac:dyDescent="0.25">
      <c r="A742" t="s">
        <v>58</v>
      </c>
      <c r="B742" t="s">
        <v>3337</v>
      </c>
      <c r="C742" t="str" cm="1">
        <f t="array" ref="C742">CleanText(B742)</f>
        <v>n</v>
      </c>
      <c r="D742">
        <v>1</v>
      </c>
      <c r="E742">
        <v>0</v>
      </c>
      <c r="F742" t="s">
        <v>10</v>
      </c>
      <c r="G742" t="str" cm="1">
        <f t="array" ref="G742">FindCountryName(F742)</f>
        <v>None</v>
      </c>
      <c r="H742" s="3">
        <v>45150.159247685187</v>
      </c>
      <c r="I742" s="3">
        <v>45150.159247685187</v>
      </c>
      <c r="J742" s="3">
        <v>45074.139884259261</v>
      </c>
      <c r="K742" cm="1">
        <f t="array" ref="K742">sentimentCalc(C742)</f>
        <v>0</v>
      </c>
      <c r="L742" t="str" cm="1">
        <f t="array" ref="L742">sentimentCategory(K742)</f>
        <v>Neutral</v>
      </c>
    </row>
    <row r="743" spans="1:12" x14ac:dyDescent="0.25">
      <c r="A743" t="s">
        <v>773</v>
      </c>
      <c r="B743" t="s">
        <v>1980</v>
      </c>
      <c r="C743" t="str" cm="1">
        <f t="array" ref="C743">CleanText(B743)</f>
        <v>n</v>
      </c>
      <c r="D743">
        <v>0</v>
      </c>
      <c r="E743">
        <v>0</v>
      </c>
      <c r="F743" t="s">
        <v>10</v>
      </c>
      <c r="G743" t="str" cm="1">
        <f t="array" ref="G743">FindCountryName(F743)</f>
        <v>None</v>
      </c>
      <c r="H743" s="3">
        <v>45185.538773148146</v>
      </c>
      <c r="I743" s="3">
        <v>45185.538773148146</v>
      </c>
      <c r="J743" s="3">
        <v>45086.70957175926</v>
      </c>
      <c r="K743" cm="1">
        <f t="array" ref="K743">sentimentCalc(C743)</f>
        <v>0</v>
      </c>
      <c r="L743" t="str" cm="1">
        <f t="array" ref="L743">sentimentCategory(K743)</f>
        <v>Neutral</v>
      </c>
    </row>
    <row r="744" spans="1:12" x14ac:dyDescent="0.25">
      <c r="A744" t="s">
        <v>347</v>
      </c>
      <c r="B744" t="s">
        <v>3747</v>
      </c>
      <c r="C744" t="str" cm="1">
        <f t="array" ref="C744">CleanText(B744)</f>
        <v>n</v>
      </c>
      <c r="D744">
        <v>1</v>
      </c>
      <c r="E744">
        <v>0</v>
      </c>
      <c r="F744" t="s">
        <v>10</v>
      </c>
      <c r="G744" t="str" cm="1">
        <f t="array" ref="G744">FindCountryName(F744)</f>
        <v>None</v>
      </c>
      <c r="H744" s="3">
        <v>45145.746006944442</v>
      </c>
      <c r="I744" s="3">
        <v>45145.746006944442</v>
      </c>
      <c r="J744" s="3">
        <v>44497.660983796297</v>
      </c>
      <c r="K744" cm="1">
        <f t="array" ref="K744">sentimentCalc(C744)</f>
        <v>0</v>
      </c>
      <c r="L744" t="str" cm="1">
        <f t="array" ref="L744">sentimentCategory(K744)</f>
        <v>Neutral</v>
      </c>
    </row>
    <row r="745" spans="1:12" x14ac:dyDescent="0.25">
      <c r="A745" t="s">
        <v>41</v>
      </c>
      <c r="B745" t="s">
        <v>3755</v>
      </c>
      <c r="C745" t="str" cm="1">
        <f t="array" ref="C745">CleanText(B745)</f>
        <v>n</v>
      </c>
      <c r="D745">
        <v>0</v>
      </c>
      <c r="E745">
        <v>2</v>
      </c>
      <c r="F745" t="s">
        <v>10</v>
      </c>
      <c r="G745" t="str" cm="1">
        <f t="array" ref="G745">FindCountryName(F745)</f>
        <v>None</v>
      </c>
      <c r="H745" s="3">
        <v>45145.705729166664</v>
      </c>
      <c r="I745" s="3">
        <v>45145.705729166664</v>
      </c>
      <c r="J745" s="3">
        <v>44782.511643518519</v>
      </c>
      <c r="K745" cm="1">
        <f t="array" ref="K745">sentimentCalc(C745)</f>
        <v>0</v>
      </c>
      <c r="L745" t="str" cm="1">
        <f t="array" ref="L745">sentimentCategory(K745)</f>
        <v>Neutral</v>
      </c>
    </row>
    <row r="746" spans="1:12" x14ac:dyDescent="0.25">
      <c r="A746" t="s">
        <v>843</v>
      </c>
      <c r="B746" t="s">
        <v>2867</v>
      </c>
      <c r="C746" t="str" cm="1">
        <f t="array" ref="C746">CleanText(B746)</f>
        <v>n</v>
      </c>
      <c r="D746">
        <v>0</v>
      </c>
      <c r="E746">
        <v>0</v>
      </c>
      <c r="F746" t="s">
        <v>10</v>
      </c>
      <c r="G746" t="str" cm="1">
        <f t="array" ref="G746">FindCountryName(F746)</f>
        <v>None</v>
      </c>
      <c r="H746" s="3">
        <v>45156.657326388886</v>
      </c>
      <c r="I746" s="3">
        <v>45156.657326388886</v>
      </c>
      <c r="J746" s="3">
        <v>43885.773344907408</v>
      </c>
      <c r="K746" cm="1">
        <f t="array" ref="K746">sentimentCalc(C746)</f>
        <v>0</v>
      </c>
      <c r="L746" t="str" cm="1">
        <f t="array" ref="L746">sentimentCategory(K746)</f>
        <v>Neutral</v>
      </c>
    </row>
    <row r="747" spans="1:12" x14ac:dyDescent="0.25">
      <c r="A747" t="s">
        <v>1235</v>
      </c>
      <c r="B747" t="s">
        <v>3464</v>
      </c>
      <c r="C747" t="str" cm="1">
        <f t="array" ref="C747">CleanText(B747)</f>
        <v>n</v>
      </c>
      <c r="D747">
        <v>2</v>
      </c>
      <c r="E747">
        <v>1</v>
      </c>
      <c r="F747" t="s">
        <v>10</v>
      </c>
      <c r="G747" t="str" cm="1">
        <f t="array" ref="G747">FindCountryName(F747)</f>
        <v>None</v>
      </c>
      <c r="H747" s="3">
        <v>45148.603761574072</v>
      </c>
      <c r="I747" s="3">
        <v>45148.603761574072</v>
      </c>
      <c r="J747" s="3">
        <v>44773.598506944443</v>
      </c>
      <c r="K747" cm="1">
        <f t="array" ref="K747">sentimentCalc(C747)</f>
        <v>0</v>
      </c>
      <c r="L747" t="str" cm="1">
        <f t="array" ref="L747">sentimentCategory(K747)</f>
        <v>Neutral</v>
      </c>
    </row>
    <row r="748" spans="1:12" x14ac:dyDescent="0.25">
      <c r="A748" t="s">
        <v>213</v>
      </c>
      <c r="B748" t="s">
        <v>3306</v>
      </c>
      <c r="C748" t="str" cm="1">
        <f t="array" ref="C748">CleanText(B748)</f>
        <v>n</v>
      </c>
      <c r="D748">
        <v>0</v>
      </c>
      <c r="E748">
        <v>0</v>
      </c>
      <c r="F748" t="s">
        <v>10</v>
      </c>
      <c r="G748" t="str" cm="1">
        <f t="array" ref="G748">FindCountryName(F748)</f>
        <v>None</v>
      </c>
      <c r="H748" s="3">
        <v>45150.490497685183</v>
      </c>
      <c r="I748" s="3">
        <v>45150.490497685183</v>
      </c>
      <c r="J748" s="3">
        <v>42645.115520833337</v>
      </c>
      <c r="K748" cm="1">
        <f t="array" ref="K748">sentimentCalc(C748)</f>
        <v>0</v>
      </c>
      <c r="L748" t="str" cm="1">
        <f t="array" ref="L748">sentimentCategory(K748)</f>
        <v>Neutral</v>
      </c>
    </row>
    <row r="749" spans="1:12" x14ac:dyDescent="0.25">
      <c r="A749" t="s">
        <v>145</v>
      </c>
      <c r="B749" t="s">
        <v>2177</v>
      </c>
      <c r="C749" t="str" cm="1">
        <f t="array" ref="C749">CleanText(B749)</f>
        <v>n</v>
      </c>
      <c r="D749">
        <v>0</v>
      </c>
      <c r="E749">
        <v>1</v>
      </c>
      <c r="F749" t="s">
        <v>10</v>
      </c>
      <c r="G749" t="str" cm="1">
        <f t="array" ref="G749">FindCountryName(F749)</f>
        <v>None</v>
      </c>
      <c r="H749" s="3">
        <v>45176.946944444448</v>
      </c>
      <c r="I749" s="3">
        <v>45176.946944444448</v>
      </c>
      <c r="J749" s="3">
        <v>40640.676805555559</v>
      </c>
      <c r="K749" cm="1">
        <f t="array" ref="K749">sentimentCalc(C749)</f>
        <v>0</v>
      </c>
      <c r="L749" t="str" cm="1">
        <f t="array" ref="L749">sentimentCategory(K749)</f>
        <v>Neutral</v>
      </c>
    </row>
    <row r="750" spans="1:12" x14ac:dyDescent="0.25">
      <c r="A750" t="s">
        <v>275</v>
      </c>
      <c r="B750" t="s">
        <v>2592</v>
      </c>
      <c r="C750" t="str" cm="1">
        <f t="array" ref="C750">CleanText(B750)</f>
        <v>n</v>
      </c>
      <c r="D750">
        <v>0</v>
      </c>
      <c r="E750">
        <v>0</v>
      </c>
      <c r="F750" t="s">
        <v>10</v>
      </c>
      <c r="G750" t="str" cm="1">
        <f t="array" ref="G750">FindCountryName(F750)</f>
        <v>None</v>
      </c>
      <c r="H750" s="3">
        <v>45162.379178240742</v>
      </c>
      <c r="I750" s="3">
        <v>45162.379178240742</v>
      </c>
      <c r="J750" s="3">
        <v>44940.321192129632</v>
      </c>
      <c r="K750" cm="1">
        <f t="array" ref="K750">sentimentCalc(C750)</f>
        <v>0</v>
      </c>
      <c r="L750" t="str" cm="1">
        <f t="array" ref="L750">sentimentCategory(K750)</f>
        <v>Neutral</v>
      </c>
    </row>
    <row r="751" spans="1:12" x14ac:dyDescent="0.25">
      <c r="A751" t="s">
        <v>1041</v>
      </c>
      <c r="B751" t="s">
        <v>1042</v>
      </c>
      <c r="C751" t="str" cm="1">
        <f t="array" ref="C751">CleanText(B751)</f>
        <v>n</v>
      </c>
      <c r="D751">
        <v>1</v>
      </c>
      <c r="E751">
        <v>0</v>
      </c>
      <c r="F751" t="s">
        <v>10</v>
      </c>
      <c r="G751" t="str" cm="1">
        <f t="array" ref="G751">FindCountryName(F751)</f>
        <v>None</v>
      </c>
      <c r="H751" s="3">
        <v>45298.562395833331</v>
      </c>
      <c r="I751" s="3">
        <v>45298.562395833331</v>
      </c>
      <c r="J751" s="3">
        <v>43747.534409722219</v>
      </c>
      <c r="K751" cm="1">
        <f t="array" ref="K751">sentimentCalc(C751)</f>
        <v>0</v>
      </c>
      <c r="L751" t="str" cm="1">
        <f t="array" ref="L751">sentimentCategory(K751)</f>
        <v>Neutral</v>
      </c>
    </row>
    <row r="752" spans="1:12" x14ac:dyDescent="0.25">
      <c r="A752" t="s">
        <v>130</v>
      </c>
      <c r="B752" t="s">
        <v>2298</v>
      </c>
      <c r="C752" t="str" cm="1">
        <f t="array" ref="C752">CleanText(B752)</f>
        <v>ha</v>
      </c>
      <c r="D752">
        <v>0</v>
      </c>
      <c r="E752">
        <v>0</v>
      </c>
      <c r="F752" t="s">
        <v>10</v>
      </c>
      <c r="G752" t="str" cm="1">
        <f t="array" ref="G752">FindCountryName(F752)</f>
        <v>None</v>
      </c>
      <c r="H752" s="3">
        <v>45172.50885416667</v>
      </c>
      <c r="I752" s="3">
        <v>45172.50885416667</v>
      </c>
      <c r="J752" s="3">
        <v>41262.378981481481</v>
      </c>
      <c r="K752" cm="1">
        <f t="array" ref="K752">sentimentCalc(C752)</f>
        <v>0</v>
      </c>
      <c r="L752" t="str" cm="1">
        <f t="array" ref="L752">sentimentCategory(K752)</f>
        <v>Neutral</v>
      </c>
    </row>
    <row r="753" spans="1:12" x14ac:dyDescent="0.25">
      <c r="A753" t="s">
        <v>11</v>
      </c>
      <c r="B753" t="s">
        <v>2958</v>
      </c>
      <c r="C753" t="str" cm="1">
        <f t="array" ref="C753">CleanText(B753)</f>
        <v>n</v>
      </c>
      <c r="D753">
        <v>0</v>
      </c>
      <c r="E753">
        <v>0</v>
      </c>
      <c r="F753" t="s">
        <v>10</v>
      </c>
      <c r="G753" t="str" cm="1">
        <f t="array" ref="G753">FindCountryName(F753)</f>
        <v>None</v>
      </c>
      <c r="H753" s="3">
        <v>45155.461851851855</v>
      </c>
      <c r="I753" s="3">
        <v>45155.461851851855</v>
      </c>
      <c r="J753" s="3">
        <v>43463.3124537037</v>
      </c>
      <c r="K753" cm="1">
        <f t="array" ref="K753">sentimentCalc(C753)</f>
        <v>0</v>
      </c>
      <c r="L753" t="str" cm="1">
        <f t="array" ref="L753">sentimentCategory(K753)</f>
        <v>Neutral</v>
      </c>
    </row>
    <row r="754" spans="1:12" x14ac:dyDescent="0.25">
      <c r="A754" t="s">
        <v>1426</v>
      </c>
      <c r="B754" t="s">
        <v>1427</v>
      </c>
      <c r="C754" t="str" cm="1">
        <f t="array" ref="C754">CleanText(B754)</f>
        <v>n</v>
      </c>
      <c r="D754">
        <v>0</v>
      </c>
      <c r="E754">
        <v>0</v>
      </c>
      <c r="F754" t="s">
        <v>628</v>
      </c>
      <c r="G754" t="str" cm="1">
        <f t="array" ref="G754">FindCountryName(F754)</f>
        <v>Canada</v>
      </c>
      <c r="H754" s="3">
        <v>45229.987858796296</v>
      </c>
      <c r="I754" s="3">
        <v>45229.987858796296</v>
      </c>
      <c r="J754" s="3">
        <v>41724.653124999997</v>
      </c>
      <c r="K754" cm="1">
        <f t="array" ref="K754">sentimentCalc(C754)</f>
        <v>0</v>
      </c>
      <c r="L754" t="str" cm="1">
        <f t="array" ref="L754">sentimentCategory(K754)</f>
        <v>Neutral</v>
      </c>
    </row>
    <row r="755" spans="1:12" x14ac:dyDescent="0.25">
      <c r="A755" t="s">
        <v>3690</v>
      </c>
      <c r="B755" t="s">
        <v>3691</v>
      </c>
      <c r="C755" t="str" cm="1">
        <f t="array" ref="C755">CleanText(B755)</f>
        <v>n</v>
      </c>
      <c r="D755">
        <v>0</v>
      </c>
      <c r="E755">
        <v>0</v>
      </c>
      <c r="F755" t="s">
        <v>10</v>
      </c>
      <c r="G755" t="str" cm="1">
        <f t="array" ref="G755">FindCountryName(F755)</f>
        <v>None</v>
      </c>
      <c r="H755" s="3">
        <v>45146.393321759257</v>
      </c>
      <c r="I755" s="3">
        <v>45146.393321759257</v>
      </c>
      <c r="J755" s="3">
        <v>43025.435023148151</v>
      </c>
      <c r="K755" cm="1">
        <f t="array" ref="K755">sentimentCalc(C755)</f>
        <v>0</v>
      </c>
      <c r="L755" t="str" cm="1">
        <f t="array" ref="L755">sentimentCategory(K755)</f>
        <v>Neutral</v>
      </c>
    </row>
    <row r="756" spans="1:12" x14ac:dyDescent="0.25">
      <c r="A756" t="s">
        <v>1774</v>
      </c>
      <c r="B756" t="s">
        <v>1775</v>
      </c>
      <c r="C756" t="str" cm="1">
        <f t="array" ref="C756">CleanText(B756)</f>
        <v>ae</v>
      </c>
      <c r="D756">
        <v>1</v>
      </c>
      <c r="E756">
        <v>0</v>
      </c>
      <c r="F756" t="s">
        <v>10</v>
      </c>
      <c r="G756" t="str" cm="1">
        <f t="array" ref="G756">FindCountryName(F756)</f>
        <v>None</v>
      </c>
      <c r="H756" s="3">
        <v>45195.784699074073</v>
      </c>
      <c r="I756" s="3">
        <v>45195.784699074073</v>
      </c>
      <c r="J756" s="3">
        <v>45171.826840277776</v>
      </c>
      <c r="K756" cm="1">
        <f t="array" ref="K756">sentimentCalc(C756)</f>
        <v>0</v>
      </c>
      <c r="L756" t="str" cm="1">
        <f t="array" ref="L756">sentimentCategory(K756)</f>
        <v>Neutral</v>
      </c>
    </row>
    <row r="757" spans="1:12" x14ac:dyDescent="0.25">
      <c r="A757" t="s">
        <v>201</v>
      </c>
      <c r="B757" t="s">
        <v>1275</v>
      </c>
      <c r="C757" t="str" cm="1">
        <f t="array" ref="C757">CleanText(B757)</f>
        <v>n</v>
      </c>
      <c r="D757">
        <v>0</v>
      </c>
      <c r="E757">
        <v>0</v>
      </c>
      <c r="F757" t="s">
        <v>1274</v>
      </c>
      <c r="G757" t="str" cm="1">
        <f t="array" ref="G757">FindCountryName(F757)</f>
        <v>Russian Federation (the)</v>
      </c>
      <c r="H757" s="3">
        <v>45261.087905092594</v>
      </c>
      <c r="I757" s="3">
        <v>45261.087905092594</v>
      </c>
      <c r="J757" s="3">
        <v>42925.1174537037</v>
      </c>
      <c r="K757" cm="1">
        <f t="array" ref="K757">sentimentCalc(C757)</f>
        <v>0</v>
      </c>
      <c r="L757" t="str" cm="1">
        <f t="array" ref="L757">sentimentCategory(K757)</f>
        <v>Neutral</v>
      </c>
    </row>
    <row r="758" spans="1:12" x14ac:dyDescent="0.25">
      <c r="A758" t="s">
        <v>45</v>
      </c>
      <c r="B758" t="s">
        <v>4253</v>
      </c>
      <c r="C758" t="str" cm="1">
        <f t="array" ref="C758">CleanText(B758)</f>
        <v>n</v>
      </c>
      <c r="D758">
        <v>0</v>
      </c>
      <c r="E758">
        <v>0</v>
      </c>
      <c r="F758" t="s">
        <v>10</v>
      </c>
      <c r="G758" t="str" cm="1">
        <f t="array" ref="G758">FindCountryName(F758)</f>
        <v>None</v>
      </c>
      <c r="H758" s="3">
        <v>45141.452048611114</v>
      </c>
      <c r="I758" s="3">
        <v>45141.452048611114</v>
      </c>
      <c r="J758" s="3">
        <v>44939.333599537036</v>
      </c>
      <c r="K758" cm="1">
        <f t="array" ref="K758">sentimentCalc(C758)</f>
        <v>0</v>
      </c>
      <c r="L758" t="str" cm="1">
        <f t="array" ref="L758">sentimentCategory(K758)</f>
        <v>Neutral</v>
      </c>
    </row>
    <row r="759" spans="1:12" x14ac:dyDescent="0.25">
      <c r="A759" t="s">
        <v>215</v>
      </c>
      <c r="B759" t="s">
        <v>1352</v>
      </c>
      <c r="C759" t="str" cm="1">
        <f t="array" ref="C759">CleanText(B759)</f>
        <v>da hora esse filme</v>
      </c>
      <c r="D759">
        <v>1</v>
      </c>
      <c r="E759">
        <v>0</v>
      </c>
      <c r="F759" t="s">
        <v>10</v>
      </c>
      <c r="G759" t="str" cm="1">
        <f t="array" ref="G759">FindCountryName(F759)</f>
        <v>None</v>
      </c>
      <c r="H759" s="3">
        <v>45242.360775462963</v>
      </c>
      <c r="I759" s="3">
        <v>45242.360775462963</v>
      </c>
      <c r="J759" s="3">
        <v>41797.877476851849</v>
      </c>
      <c r="K759" cm="1">
        <f t="array" ref="K759">sentimentCalc(C759)</f>
        <v>0</v>
      </c>
      <c r="L759" t="str" cm="1">
        <f t="array" ref="L759">sentimentCategory(K759)</f>
        <v>Neutral</v>
      </c>
    </row>
    <row r="760" spans="1:12" x14ac:dyDescent="0.25">
      <c r="A760" t="s">
        <v>432</v>
      </c>
      <c r="B760" t="s">
        <v>1410</v>
      </c>
      <c r="C760" t="str" cm="1">
        <f t="array" ref="C760">CleanText(B760)</f>
        <v>da infncia pra vida adulta</v>
      </c>
      <c r="D760">
        <v>0</v>
      </c>
      <c r="E760">
        <v>0</v>
      </c>
      <c r="F760" t="s">
        <v>10</v>
      </c>
      <c r="G760" t="str" cm="1">
        <f t="array" ref="G760">FindCountryName(F760)</f>
        <v>None</v>
      </c>
      <c r="H760" s="3">
        <v>45233.500127314815</v>
      </c>
      <c r="I760" s="3">
        <v>45233.500127314815</v>
      </c>
      <c r="J760" s="3">
        <v>40832.413472222222</v>
      </c>
      <c r="K760" cm="1">
        <f t="array" ref="K760">sentimentCalc(C760)</f>
        <v>0</v>
      </c>
      <c r="L760" t="str" cm="1">
        <f t="array" ref="L760">sentimentCategory(K760)</f>
        <v>Neutral</v>
      </c>
    </row>
    <row r="761" spans="1:12" x14ac:dyDescent="0.25">
      <c r="A761" t="s">
        <v>92</v>
      </c>
      <c r="B761" t="s">
        <v>93</v>
      </c>
      <c r="C761" t="str" cm="1">
        <f t="array" ref="C761">CleanText(B761)</f>
        <v>dnyann toz pembe ve gercek yuzunu muhtesem derecede guzel anlatan bir bayapt</v>
      </c>
      <c r="D761">
        <v>0</v>
      </c>
      <c r="E761">
        <v>0</v>
      </c>
      <c r="F761" t="s">
        <v>10</v>
      </c>
      <c r="G761" t="str" cm="1">
        <f t="array" ref="G761">FindCountryName(F761)</f>
        <v>None</v>
      </c>
      <c r="H761" s="3">
        <v>45338.139930555553</v>
      </c>
      <c r="I761" s="3">
        <v>45338.139930555553</v>
      </c>
      <c r="J761" s="3">
        <v>43907.796249999999</v>
      </c>
      <c r="K761" cm="1">
        <f t="array" ref="K761">sentimentCalc(C761)</f>
        <v>0</v>
      </c>
      <c r="L761" t="str" cm="1">
        <f t="array" ref="L761">sentimentCategory(K761)</f>
        <v>Neutral</v>
      </c>
    </row>
    <row r="762" spans="1:12" x14ac:dyDescent="0.25">
      <c r="A762" t="s">
        <v>843</v>
      </c>
      <c r="B762" t="s">
        <v>2801</v>
      </c>
      <c r="C762" t="str" cm="1">
        <f t="array" ref="C762">CleanText(B762)</f>
        <v>dad sent me a message about it</v>
      </c>
      <c r="D762">
        <v>0</v>
      </c>
      <c r="E762">
        <v>0</v>
      </c>
      <c r="F762" t="s">
        <v>10</v>
      </c>
      <c r="G762" t="str" cm="1">
        <f t="array" ref="G762">FindCountryName(F762)</f>
        <v>None</v>
      </c>
      <c r="H762" s="3">
        <v>45157.707268518519</v>
      </c>
      <c r="I762" s="3">
        <v>45157.707268518519</v>
      </c>
      <c r="J762" s="3">
        <v>44563.787256944444</v>
      </c>
      <c r="K762" cm="1">
        <f t="array" ref="K762">sentimentCalc(C762)</f>
        <v>0</v>
      </c>
      <c r="L762" t="str" cm="1">
        <f t="array" ref="L762">sentimentCategory(K762)</f>
        <v>Neutral</v>
      </c>
    </row>
    <row r="763" spans="1:12" x14ac:dyDescent="0.25">
      <c r="A763" t="s">
        <v>395</v>
      </c>
      <c r="B763" t="s">
        <v>944</v>
      </c>
      <c r="C763" t="str" cm="1">
        <f t="array" ref="C763">CleanText(B763)</f>
        <v>daha nce bunu izlediimi hatrlyor gibiyim keke tekrarn izleyebilsem</v>
      </c>
      <c r="D763">
        <v>0</v>
      </c>
      <c r="E763">
        <v>0</v>
      </c>
      <c r="F763" t="s">
        <v>10</v>
      </c>
      <c r="G763" t="str" cm="1">
        <f t="array" ref="G763">FindCountryName(F763)</f>
        <v>None</v>
      </c>
      <c r="H763" s="3">
        <v>45299.259479166663</v>
      </c>
      <c r="I763" s="3">
        <v>45299.259479166663</v>
      </c>
      <c r="J763" s="3">
        <v>41227.520520833335</v>
      </c>
      <c r="K763" cm="1">
        <f t="array" ref="K763">sentimentCalc(C763)</f>
        <v>0</v>
      </c>
      <c r="L763" t="str" cm="1">
        <f t="array" ref="L763">sentimentCategory(K763)</f>
        <v>Neutral</v>
      </c>
    </row>
    <row r="764" spans="1:12" x14ac:dyDescent="0.25">
      <c r="A764" t="s">
        <v>3373</v>
      </c>
      <c r="B764" t="s">
        <v>3782</v>
      </c>
      <c r="C764" t="str" cm="1">
        <f t="array" ref="C764">CleanText(B764)</f>
        <v>damn not even three seconds into trailer and the lousy mfs got their free feet pics</v>
      </c>
      <c r="D764">
        <v>0</v>
      </c>
      <c r="E764">
        <v>0</v>
      </c>
      <c r="F764" t="s">
        <v>227</v>
      </c>
      <c r="G764" t="str" cm="1">
        <f t="array" ref="G764">FindCountryName(F764)</f>
        <v>United States of America (the)</v>
      </c>
      <c r="H764" s="3">
        <v>45145.539618055554</v>
      </c>
      <c r="I764" s="3">
        <v>45145.539618055554</v>
      </c>
      <c r="J764" s="3">
        <v>44387.90898148148</v>
      </c>
      <c r="K764" cm="1">
        <f t="array" ref="K764">sentimentCalc(C764)</f>
        <v>-3</v>
      </c>
      <c r="L764" t="str" cm="1">
        <f t="array" ref="L764">sentimentCategory(K764)</f>
        <v>Negative</v>
      </c>
    </row>
    <row r="765" spans="1:12" x14ac:dyDescent="0.25">
      <c r="A765" t="s">
        <v>298</v>
      </c>
      <c r="B765" t="s">
        <v>3682</v>
      </c>
      <c r="C765" t="str" cm="1">
        <f t="array" ref="C765">CleanText(B765)</f>
        <v>damn hes me fr fr</v>
      </c>
      <c r="D765">
        <v>1</v>
      </c>
      <c r="E765">
        <v>0</v>
      </c>
      <c r="F765" t="s">
        <v>10</v>
      </c>
      <c r="G765" t="str" cm="1">
        <f t="array" ref="G765">FindCountryName(F765)</f>
        <v>None</v>
      </c>
      <c r="H765" s="3">
        <v>45146.49287037037</v>
      </c>
      <c r="I765" s="3">
        <v>45146.49287037037</v>
      </c>
      <c r="J765" s="3">
        <v>43266.874965277777</v>
      </c>
      <c r="K765" cm="1">
        <f t="array" ref="K765">sentimentCalc(C765)</f>
        <v>-4</v>
      </c>
      <c r="L765" t="str" cm="1">
        <f t="array" ref="L765">sentimentCategory(K765)</f>
        <v>Negative</v>
      </c>
    </row>
    <row r="766" spans="1:12" x14ac:dyDescent="0.25">
      <c r="A766" t="s">
        <v>624</v>
      </c>
      <c r="B766" t="s">
        <v>625</v>
      </c>
      <c r="C766" t="str" cm="1">
        <f t="array" ref="C766">CleanText(B766)</f>
        <v>damn this movies officially oscar caliber</v>
      </c>
      <c r="D766">
        <v>2</v>
      </c>
      <c r="E766">
        <v>3</v>
      </c>
      <c r="F766" t="s">
        <v>10</v>
      </c>
      <c r="G766" t="str" cm="1">
        <f t="array" ref="G766">FindCountryName(F766)</f>
        <v>None</v>
      </c>
      <c r="H766" s="3">
        <v>45314.810324074075</v>
      </c>
      <c r="I766" s="3">
        <v>45317.249861111108</v>
      </c>
      <c r="J766" s="3">
        <v>40488.378900462965</v>
      </c>
      <c r="K766" cm="1">
        <f t="array" ref="K766">sentimentCalc(C766)</f>
        <v>-4</v>
      </c>
      <c r="L766" t="str" cm="1">
        <f t="array" ref="L766">sentimentCategory(K766)</f>
        <v>Negative</v>
      </c>
    </row>
    <row r="767" spans="1:12" x14ac:dyDescent="0.25">
      <c r="A767" t="s">
        <v>103</v>
      </c>
      <c r="B767" t="s">
        <v>4141</v>
      </c>
      <c r="C767" t="str" cm="1">
        <f t="array" ref="C767">CleanText(B767)</f>
        <v>damnnnnnnnnnnnnnnnnn so hype</v>
      </c>
      <c r="D767">
        <v>0</v>
      </c>
      <c r="E767">
        <v>0</v>
      </c>
      <c r="F767" t="s">
        <v>10</v>
      </c>
      <c r="G767" t="str" cm="1">
        <f t="array" ref="G767">FindCountryName(F767)</f>
        <v>None</v>
      </c>
      <c r="H767" s="3">
        <v>45142.578738425924</v>
      </c>
      <c r="I767" s="3">
        <v>45142.578738425924</v>
      </c>
      <c r="J767" s="3">
        <v>43914.098738425928</v>
      </c>
      <c r="K767" cm="1">
        <f t="array" ref="K767">sentimentCalc(C767)</f>
        <v>0</v>
      </c>
      <c r="L767" t="str" cm="1">
        <f t="array" ref="L767">sentimentCategory(K767)</f>
        <v>Neutral</v>
      </c>
    </row>
    <row r="768" spans="1:12" x14ac:dyDescent="0.25">
      <c r="A768" t="s">
        <v>201</v>
      </c>
      <c r="B768" t="s">
        <v>1890</v>
      </c>
      <c r="C768" t="str" cm="1">
        <f t="array" ref="C768">CleanText(B768)</f>
        <v>dance the night away people</v>
      </c>
      <c r="D768">
        <v>0</v>
      </c>
      <c r="E768">
        <v>0</v>
      </c>
      <c r="F768" t="s">
        <v>10</v>
      </c>
      <c r="G768" t="str" cm="1">
        <f t="array" ref="G768">FindCountryName(F768)</f>
        <v>None</v>
      </c>
      <c r="H768" s="3">
        <v>45188.694479166668</v>
      </c>
      <c r="I768" s="3">
        <v>45188.694467592592</v>
      </c>
      <c r="J768" s="3">
        <v>45138.81894675926</v>
      </c>
      <c r="K768" cm="1">
        <f t="array" ref="K768">sentimentCalc(C768)</f>
        <v>0</v>
      </c>
      <c r="L768" t="str" cm="1">
        <f t="array" ref="L768">sentimentCategory(K768)</f>
        <v>Neutral</v>
      </c>
    </row>
    <row r="769" spans="1:12" x14ac:dyDescent="0.25">
      <c r="A769" t="s">
        <v>2716</v>
      </c>
      <c r="B769" t="s">
        <v>4278</v>
      </c>
      <c r="C769" t="str" cm="1">
        <f t="array" ref="C769">CleanText(B769)</f>
        <v>dang dang out now</v>
      </c>
      <c r="D769">
        <v>0</v>
      </c>
      <c r="E769">
        <v>0</v>
      </c>
      <c r="F769" t="s">
        <v>10</v>
      </c>
      <c r="G769" t="str" cm="1">
        <f t="array" ref="G769">FindCountryName(F769)</f>
        <v>None</v>
      </c>
      <c r="H769" s="3">
        <v>45141.27449074074</v>
      </c>
      <c r="I769" s="3">
        <v>45141.27449074074</v>
      </c>
      <c r="J769" s="3">
        <v>44258.705648148149</v>
      </c>
      <c r="K769" cm="1">
        <f t="array" ref="K769">sentimentCalc(C769)</f>
        <v>0</v>
      </c>
      <c r="L769" t="str" cm="1">
        <f t="array" ref="L769">sentimentCategory(K769)</f>
        <v>Neutral</v>
      </c>
    </row>
    <row r="770" spans="1:12" x14ac:dyDescent="0.25">
      <c r="A770" t="s">
        <v>1667</v>
      </c>
      <c r="B770" t="s">
        <v>1668</v>
      </c>
      <c r="C770" t="str" cm="1">
        <f t="array" ref="C770">CleanText(B770)</f>
        <v>dang from the trailer seems like i need to watch it</v>
      </c>
      <c r="D770">
        <v>0</v>
      </c>
      <c r="E770">
        <v>0</v>
      </c>
      <c r="F770" t="s">
        <v>227</v>
      </c>
      <c r="G770" t="str" cm="1">
        <f t="array" ref="G770">FindCountryName(F770)</f>
        <v>United States of America (the)</v>
      </c>
      <c r="H770" s="3">
        <v>45203.973854166667</v>
      </c>
      <c r="I770" s="3">
        <v>45203.973854166667</v>
      </c>
      <c r="J770" s="3">
        <v>41551.768773148149</v>
      </c>
      <c r="K770" cm="1">
        <f t="array" ref="K770">sentimentCalc(C770)</f>
        <v>2</v>
      </c>
      <c r="L770" t="str" cm="1">
        <f t="array" ref="L770">sentimentCategory(K770)</f>
        <v>Positive</v>
      </c>
    </row>
    <row r="771" spans="1:12" x14ac:dyDescent="0.25">
      <c r="A771" t="s">
        <v>169</v>
      </c>
      <c r="B771" t="s">
        <v>4217</v>
      </c>
      <c r="C771" t="str" cm="1">
        <f t="array" ref="C771">CleanText(B771)</f>
        <v>dayum ken is literally me fr</v>
      </c>
      <c r="D771">
        <v>0</v>
      </c>
      <c r="E771">
        <v>0</v>
      </c>
      <c r="F771" t="s">
        <v>1274</v>
      </c>
      <c r="G771" t="str" cm="1">
        <f t="array" ref="G771">FindCountryName(F771)</f>
        <v>Russian Federation (the)</v>
      </c>
      <c r="H771" s="3">
        <v>45141.80872685185</v>
      </c>
      <c r="I771" s="3">
        <v>45141.80872685185</v>
      </c>
      <c r="J771" s="3">
        <v>44522.343854166669</v>
      </c>
      <c r="K771" cm="1">
        <f t="array" ref="K771">sentimentCalc(C771)</f>
        <v>0</v>
      </c>
      <c r="L771" t="str" cm="1">
        <f t="array" ref="L771">sentimentCategory(K771)</f>
        <v>Neutral</v>
      </c>
    </row>
    <row r="772" spans="1:12" x14ac:dyDescent="0.25">
      <c r="A772" t="s">
        <v>1677</v>
      </c>
      <c r="B772" t="s">
        <v>1678</v>
      </c>
      <c r="C772" t="str" cm="1">
        <f t="array" ref="C772">CleanText(B772)</f>
        <v>dear mattel can you make more weird barbies please weird barbie is my favorite character of all time thats all i want for christmas i love weird barbie so much</v>
      </c>
      <c r="D772">
        <v>0</v>
      </c>
      <c r="E772">
        <v>0</v>
      </c>
      <c r="F772" t="s">
        <v>10</v>
      </c>
      <c r="G772" t="str" cm="1">
        <f t="array" ref="G772">FindCountryName(F772)</f>
        <v>None</v>
      </c>
      <c r="H772" s="3">
        <v>45202.895775462966</v>
      </c>
      <c r="I772" s="3">
        <v>45202.895775462966</v>
      </c>
      <c r="J772" s="3">
        <v>44384.975497685184</v>
      </c>
      <c r="K772" cm="1">
        <f t="array" ref="K772">sentimentCalc(C772)</f>
        <v>3</v>
      </c>
      <c r="L772" t="str" cm="1">
        <f t="array" ref="L772">sentimentCategory(K772)</f>
        <v>Positive</v>
      </c>
    </row>
    <row r="773" spans="1:12" x14ac:dyDescent="0.25">
      <c r="A773" t="s">
        <v>557</v>
      </c>
      <c r="B773" t="s">
        <v>746</v>
      </c>
      <c r="C773" t="str" cm="1">
        <f t="array" ref="C773">CleanText(B773)</f>
        <v>deiik bir film</v>
      </c>
      <c r="D773">
        <v>0</v>
      </c>
      <c r="E773">
        <v>0</v>
      </c>
      <c r="F773" t="s">
        <v>10</v>
      </c>
      <c r="G773" t="str" cm="1">
        <f t="array" ref="G773">FindCountryName(F773)</f>
        <v>None</v>
      </c>
      <c r="H773" s="3">
        <v>45310.252534722225</v>
      </c>
      <c r="I773" s="3">
        <v>45310.252534722225</v>
      </c>
      <c r="J773" s="3">
        <v>40844.655925925923</v>
      </c>
      <c r="K773" cm="1">
        <f t="array" ref="K773">sentimentCalc(C773)</f>
        <v>0</v>
      </c>
      <c r="L773" t="str" cm="1">
        <f t="array" ref="L773">sentimentCategory(K773)</f>
        <v>Neutral</v>
      </c>
    </row>
    <row r="774" spans="1:12" x14ac:dyDescent="0.25">
      <c r="A774" t="s">
        <v>199</v>
      </c>
      <c r="B774" t="s">
        <v>200</v>
      </c>
      <c r="C774" t="str" cm="1">
        <f t="array" ref="C774">CleanText(B774)</f>
        <v>decided to purchase this because of all the positive reviews however i thought it was quite rubbish pretty boring in most places i kept wanting to fast forward bits but forced myself not to i saw so many say it was really emotional and made them cry but i never felt any emotion like that and im a very emotional person i guess what really threw me off was how it was all about gender roles and the whole lets pity women for everything they go through im a woman and i disagree that women have it worse men definitely have it worse in society ever heard of toxic masculinity men are made to feel like garbage and i found myself siding with ken and really despising barbie the whole way through it just really irritated me to the point that i couldnt enjoy it</v>
      </c>
      <c r="D774">
        <v>1</v>
      </c>
      <c r="E774">
        <v>1</v>
      </c>
      <c r="F774" t="s">
        <v>10</v>
      </c>
      <c r="G774" t="str" cm="1">
        <f t="array" ref="G774">FindCountryName(F774)</f>
        <v>None</v>
      </c>
      <c r="H774" s="3">
        <v>45334.462511574071</v>
      </c>
      <c r="I774" s="3">
        <v>45334.462511574071</v>
      </c>
      <c r="J774" s="3">
        <v>39391.479664351849</v>
      </c>
      <c r="K774" cm="1">
        <f t="array" ref="K774">sentimentCalc(C774)</f>
        <v>-7</v>
      </c>
      <c r="L774" t="str" cm="1">
        <f t="array" ref="L774">sentimentCategory(K774)</f>
        <v>Negative</v>
      </c>
    </row>
    <row r="775" spans="1:12" x14ac:dyDescent="0.25">
      <c r="A775" t="s">
        <v>1270</v>
      </c>
      <c r="B775" t="s">
        <v>3379</v>
      </c>
      <c r="C775" t="str" cm="1">
        <f t="array" ref="C775">CleanText(B775)</f>
        <v>definitely curious if aqua  barbie girl is played in the film thats all</v>
      </c>
      <c r="D775">
        <v>2</v>
      </c>
      <c r="E775">
        <v>2</v>
      </c>
      <c r="F775" t="s">
        <v>10</v>
      </c>
      <c r="G775" t="str" cm="1">
        <f t="array" ref="G775">FindCountryName(F775)</f>
        <v>None</v>
      </c>
      <c r="H775" s="3">
        <v>45149.420717592591</v>
      </c>
      <c r="I775" s="3">
        <v>45149.420706018522</v>
      </c>
      <c r="J775" s="3">
        <v>42974.143946759257</v>
      </c>
      <c r="K775" cm="1">
        <f t="array" ref="K775">sentimentCalc(C775)</f>
        <v>1</v>
      </c>
      <c r="L775" t="str" cm="1">
        <f t="array" ref="L775">sentimentCategory(K775)</f>
        <v>Positive</v>
      </c>
    </row>
    <row r="776" spans="1:12" x14ac:dyDescent="0.25">
      <c r="A776" t="s">
        <v>472</v>
      </c>
      <c r="B776" t="s">
        <v>2293</v>
      </c>
      <c r="C776" t="str" cm="1">
        <f t="array" ref="C776">CleanText(B776)</f>
        <v>definitely not a kids movie although the kids probably wont get the adult theme and quotes but stillputting will ferrell in this just ruined the whole movie</v>
      </c>
      <c r="D776">
        <v>1</v>
      </c>
      <c r="E776">
        <v>2</v>
      </c>
      <c r="F776" t="s">
        <v>10</v>
      </c>
      <c r="G776" t="str" cm="1">
        <f t="array" ref="G776">FindCountryName(F776)</f>
        <v>None</v>
      </c>
      <c r="H776" s="3">
        <v>45172.54583333333</v>
      </c>
      <c r="I776" s="3">
        <v>45172.54582175926</v>
      </c>
      <c r="J776" s="3">
        <v>44179.961412037039</v>
      </c>
      <c r="K776" cm="1">
        <f t="array" ref="K776">sentimentCalc(C776)</f>
        <v>-2</v>
      </c>
      <c r="L776" t="str" cm="1">
        <f t="array" ref="L776">sentimentCategory(K776)</f>
        <v>Negative</v>
      </c>
    </row>
    <row r="777" spans="1:12" x14ac:dyDescent="0.25">
      <c r="A777" t="s">
        <v>30</v>
      </c>
      <c r="B777" t="s">
        <v>3976</v>
      </c>
      <c r="C777" t="str" cm="1">
        <f t="array" ref="C777">CleanText(B777)</f>
        <v>definitely not a movie for kids or small children</v>
      </c>
      <c r="D777">
        <v>2</v>
      </c>
      <c r="E777">
        <v>0</v>
      </c>
      <c r="F777" t="s">
        <v>10</v>
      </c>
      <c r="G777" t="str" cm="1">
        <f t="array" ref="G777">FindCountryName(F777)</f>
        <v>None</v>
      </c>
      <c r="H777" s="3">
        <v>45144.108749999999</v>
      </c>
      <c r="I777" s="3">
        <v>45144.108749999999</v>
      </c>
      <c r="J777" s="3">
        <v>40119.036574074074</v>
      </c>
      <c r="K777" cm="1">
        <f t="array" ref="K777">sentimentCalc(C777)</f>
        <v>0</v>
      </c>
      <c r="L777" t="str" cm="1">
        <f t="array" ref="L777">sentimentCategory(K777)</f>
        <v>Neutral</v>
      </c>
    </row>
    <row r="778" spans="1:12" x14ac:dyDescent="0.25">
      <c r="A778" t="s">
        <v>282</v>
      </c>
      <c r="B778" t="s">
        <v>1850</v>
      </c>
      <c r="C778" t="str" cm="1">
        <f t="array" ref="C778">CleanText(B778)</f>
        <v>definitely not for small kids what a shame</v>
      </c>
      <c r="D778">
        <v>1</v>
      </c>
      <c r="E778">
        <v>1</v>
      </c>
      <c r="F778" t="s">
        <v>10</v>
      </c>
      <c r="G778" t="str" cm="1">
        <f t="array" ref="G778">FindCountryName(F778)</f>
        <v>None</v>
      </c>
      <c r="H778" s="3">
        <v>45190.893171296295</v>
      </c>
      <c r="I778" s="3">
        <v>45190.893171296295</v>
      </c>
      <c r="J778" s="3">
        <v>44040.856921296298</v>
      </c>
      <c r="K778" cm="1">
        <f t="array" ref="K778">sentimentCalc(C778)</f>
        <v>-2</v>
      </c>
      <c r="L778" t="str" cm="1">
        <f t="array" ref="L778">sentimentCategory(K778)</f>
        <v>Negative</v>
      </c>
    </row>
    <row r="779" spans="1:12" x14ac:dyDescent="0.25">
      <c r="A779" t="s">
        <v>143</v>
      </c>
      <c r="B779" t="s">
        <v>2138</v>
      </c>
      <c r="C779" t="str" cm="1">
        <f t="array" ref="C779">CleanText(B779)</f>
        <v>definitely underwhelming had a lot of potential though but i expected to see more it was too fast paced for me felt like i watched half a movie</v>
      </c>
      <c r="D779">
        <v>0</v>
      </c>
      <c r="E779">
        <v>0</v>
      </c>
      <c r="F779" t="s">
        <v>10</v>
      </c>
      <c r="G779" t="str" cm="1">
        <f t="array" ref="G779">FindCountryName(F779)</f>
        <v>None</v>
      </c>
      <c r="H779" s="3">
        <v>45178.815868055557</v>
      </c>
      <c r="I779" s="3">
        <v>45178.818958333337</v>
      </c>
      <c r="J779" s="3">
        <v>43497.449201388888</v>
      </c>
      <c r="K779" cm="1">
        <f t="array" ref="K779">sentimentCalc(C779)</f>
        <v>2</v>
      </c>
      <c r="L779" t="str" cm="1">
        <f t="array" ref="L779">sentimentCategory(K779)</f>
        <v>Positive</v>
      </c>
    </row>
    <row r="780" spans="1:12" x14ac:dyDescent="0.25">
      <c r="A780" t="s">
        <v>92</v>
      </c>
      <c r="B780" t="s">
        <v>1802</v>
      </c>
      <c r="C780" t="str" cm="1">
        <f t="array" ref="C780">CleanText(B780)</f>
        <v>degeneracy the movie</v>
      </c>
      <c r="D780">
        <v>0</v>
      </c>
      <c r="E780">
        <v>8</v>
      </c>
      <c r="F780" t="s">
        <v>10</v>
      </c>
      <c r="G780" t="str" cm="1">
        <f t="array" ref="G780">FindCountryName(F780)</f>
        <v>None</v>
      </c>
      <c r="H780" s="3">
        <v>45193.766018518516</v>
      </c>
      <c r="I780" s="3">
        <v>45193.766018518516</v>
      </c>
      <c r="J780" s="3">
        <v>44593.870532407411</v>
      </c>
      <c r="K780" cm="1">
        <f t="array" ref="K780">sentimentCalc(C780)</f>
        <v>0</v>
      </c>
      <c r="L780" t="str" cm="1">
        <f t="array" ref="L780">sentimentCategory(K780)</f>
        <v>Neutral</v>
      </c>
    </row>
    <row r="781" spans="1:12" x14ac:dyDescent="0.25">
      <c r="A781" t="s">
        <v>2047</v>
      </c>
      <c r="B781" t="s">
        <v>2154</v>
      </c>
      <c r="C781" t="str" cm="1">
        <f t="array" ref="C781">CleanText(B781)</f>
        <v>despicable</v>
      </c>
      <c r="D781">
        <v>0</v>
      </c>
      <c r="E781">
        <v>0</v>
      </c>
      <c r="F781" t="s">
        <v>10</v>
      </c>
      <c r="G781" t="str" cm="1">
        <f t="array" ref="G781">FindCountryName(F781)</f>
        <v>None</v>
      </c>
      <c r="H781" s="3">
        <v>45177.650277777779</v>
      </c>
      <c r="I781" s="3">
        <v>45177.650266203702</v>
      </c>
      <c r="J781" s="3">
        <v>44877.251886574071</v>
      </c>
      <c r="K781" cm="1">
        <f t="array" ref="K781">sentimentCalc(C781)</f>
        <v>0</v>
      </c>
      <c r="L781" t="str" cm="1">
        <f t="array" ref="L781">sentimentCategory(K781)</f>
        <v>Neutral</v>
      </c>
    </row>
    <row r="782" spans="1:12" x14ac:dyDescent="0.25">
      <c r="A782" t="s">
        <v>549</v>
      </c>
      <c r="B782" t="s">
        <v>550</v>
      </c>
      <c r="C782" t="str" cm="1">
        <f t="array" ref="C782">CleanText(B782)</f>
        <v>dev yldz kadrosu ile ok gzel bir filim olmu</v>
      </c>
      <c r="D782">
        <v>0</v>
      </c>
      <c r="E782">
        <v>0</v>
      </c>
      <c r="F782" t="s">
        <v>10</v>
      </c>
      <c r="G782" t="str" cm="1">
        <f t="array" ref="G782">FindCountryName(F782)</f>
        <v>None</v>
      </c>
      <c r="H782" s="3">
        <v>45317.275011574071</v>
      </c>
      <c r="I782" s="3">
        <v>45317.275011574071</v>
      </c>
      <c r="J782" s="3">
        <v>42232.325277777774</v>
      </c>
      <c r="K782" cm="1">
        <f t="array" ref="K782">sentimentCalc(C782)</f>
        <v>0</v>
      </c>
      <c r="L782" t="str" cm="1">
        <f t="array" ref="L782">sentimentCategory(K782)</f>
        <v>Neutral</v>
      </c>
    </row>
    <row r="783" spans="1:12" x14ac:dyDescent="0.25">
      <c r="A783" t="s">
        <v>553</v>
      </c>
      <c r="B783" t="s">
        <v>3917</v>
      </c>
      <c r="C783" t="str" cm="1">
        <f t="array" ref="C783">CleanText(B783)</f>
        <v>did any notice when ryan gosling was in the movie the grey man that he gets called ken doll</v>
      </c>
      <c r="D783">
        <v>1</v>
      </c>
      <c r="E783">
        <v>1</v>
      </c>
      <c r="F783" t="s">
        <v>10</v>
      </c>
      <c r="G783" t="str" cm="1">
        <f t="array" ref="G783">FindCountryName(F783)</f>
        <v>None</v>
      </c>
      <c r="H783" s="3">
        <v>45144.503634259258</v>
      </c>
      <c r="I783" s="3">
        <v>45144.503634259258</v>
      </c>
      <c r="J783" s="3">
        <v>44164.333761574075</v>
      </c>
      <c r="K783" cm="1">
        <f t="array" ref="K783">sentimentCalc(C783)</f>
        <v>-1</v>
      </c>
      <c r="L783" t="str" cm="1">
        <f t="array" ref="L783">sentimentCategory(K783)</f>
        <v>Negative</v>
      </c>
    </row>
    <row r="784" spans="1:12" x14ac:dyDescent="0.25">
      <c r="A784" t="s">
        <v>90</v>
      </c>
      <c r="B784" t="s">
        <v>2206</v>
      </c>
      <c r="C784" t="str" cm="1">
        <f t="array" ref="C784">CleanText(B784)</f>
        <v>did anyone else thing that barbie was pretty mean to ken for most of this movie</v>
      </c>
      <c r="D784">
        <v>2</v>
      </c>
      <c r="E784">
        <v>0</v>
      </c>
      <c r="F784" t="s">
        <v>10</v>
      </c>
      <c r="G784" t="str" cm="1">
        <f t="array" ref="G784">FindCountryName(F784)</f>
        <v>None</v>
      </c>
      <c r="H784" s="3">
        <v>45175.892152777778</v>
      </c>
      <c r="I784" s="3">
        <v>45175.892152777778</v>
      </c>
      <c r="J784" s="3">
        <v>41400.826539351852</v>
      </c>
      <c r="K784" cm="1">
        <f t="array" ref="K784">sentimentCalc(C784)</f>
        <v>1</v>
      </c>
      <c r="L784" t="str" cm="1">
        <f t="array" ref="L784">sentimentCategory(K784)</f>
        <v>Positive</v>
      </c>
    </row>
    <row r="785" spans="1:12" x14ac:dyDescent="0.25">
      <c r="A785" t="s">
        <v>1428</v>
      </c>
      <c r="B785" t="s">
        <v>1429</v>
      </c>
      <c r="C785" t="str" cm="1">
        <f t="array" ref="C785">CleanText(B785)</f>
        <v>did anyone see the hidden message in this satire</v>
      </c>
      <c r="D785">
        <v>0</v>
      </c>
      <c r="E785">
        <v>0</v>
      </c>
      <c r="F785" t="s">
        <v>10</v>
      </c>
      <c r="G785" t="str" cm="1">
        <f t="array" ref="G785">FindCountryName(F785)</f>
        <v>None</v>
      </c>
      <c r="H785" s="3">
        <v>45228.886400462965</v>
      </c>
      <c r="I785" s="3">
        <v>45228.886400462965</v>
      </c>
      <c r="J785" s="3">
        <v>45226.628252314818</v>
      </c>
      <c r="K785" cm="1">
        <f t="array" ref="K785">sentimentCalc(C785)</f>
        <v>0</v>
      </c>
      <c r="L785" t="str" cm="1">
        <f t="array" ref="L785">sentimentCategory(K785)</f>
        <v>Neutral</v>
      </c>
    </row>
    <row r="786" spans="1:12" x14ac:dyDescent="0.25">
      <c r="A786" t="s">
        <v>1492</v>
      </c>
      <c r="B786" t="s">
        <v>1493</v>
      </c>
      <c r="C786" t="str" cm="1">
        <f t="array" ref="C786">CleanText(B786)</f>
        <v>did she takes her shoes</v>
      </c>
      <c r="D786">
        <v>0</v>
      </c>
      <c r="E786">
        <v>0</v>
      </c>
      <c r="F786" t="s">
        <v>10</v>
      </c>
      <c r="G786" t="str" cm="1">
        <f t="array" ref="G786">FindCountryName(F786)</f>
        <v>None</v>
      </c>
      <c r="H786" s="3">
        <v>45220.263472222221</v>
      </c>
      <c r="I786" s="3">
        <v>45220.26363425926</v>
      </c>
      <c r="J786" s="3">
        <v>45104.634826388887</v>
      </c>
      <c r="K786" cm="1">
        <f t="array" ref="K786">sentimentCalc(C786)</f>
        <v>0</v>
      </c>
      <c r="L786" t="str" cm="1">
        <f t="array" ref="L786">sentimentCategory(K786)</f>
        <v>Neutral</v>
      </c>
    </row>
    <row r="787" spans="1:12" x14ac:dyDescent="0.25">
      <c r="A787" t="s">
        <v>4342</v>
      </c>
      <c r="B787" t="s">
        <v>4343</v>
      </c>
      <c r="C787" t="str" cm="1">
        <f t="array" ref="C787">CleanText(B787)</f>
        <v>did you guys know barbie came out first in japan just like the thing the other movie is about</v>
      </c>
      <c r="D787">
        <v>1</v>
      </c>
      <c r="E787">
        <v>0</v>
      </c>
      <c r="F787" t="s">
        <v>10</v>
      </c>
      <c r="G787" t="str" cm="1">
        <f t="array" ref="G787">FindCountryName(F787)</f>
        <v>None</v>
      </c>
      <c r="H787" s="3">
        <v>45140.788773148146</v>
      </c>
      <c r="I787" s="3">
        <v>45140.788773148146</v>
      </c>
      <c r="J787" s="3">
        <v>39130.553240740737</v>
      </c>
      <c r="K787" cm="1">
        <f t="array" ref="K787">sentimentCalc(C787)</f>
        <v>2</v>
      </c>
      <c r="L787" t="str" cm="1">
        <f t="array" ref="L787">sentimentCategory(K787)</f>
        <v>Positive</v>
      </c>
    </row>
    <row r="788" spans="1:12" x14ac:dyDescent="0.25">
      <c r="A788" t="s">
        <v>501</v>
      </c>
      <c r="B788" t="s">
        <v>4215</v>
      </c>
      <c r="C788" t="str" cm="1">
        <f t="array" ref="C788">CleanText(B788)</f>
        <v>did you knowbarbie had her own game from nintendo nes i like the last level it reminds me of american graffiti a must play</v>
      </c>
      <c r="D788">
        <v>0</v>
      </c>
      <c r="E788">
        <v>0</v>
      </c>
      <c r="F788" t="s">
        <v>10</v>
      </c>
      <c r="G788" t="str" cm="1">
        <f t="array" ref="G788">FindCountryName(F788)</f>
        <v>None</v>
      </c>
      <c r="H788" s="3">
        <v>45141.831863425927</v>
      </c>
      <c r="I788" s="3">
        <v>45141.832731481481</v>
      </c>
      <c r="J788" s="3">
        <v>45067.599849537037</v>
      </c>
      <c r="K788" cm="1">
        <f t="array" ref="K788">sentimentCalc(C788)</f>
        <v>2</v>
      </c>
      <c r="L788" t="str" cm="1">
        <f t="array" ref="L788">sentimentCategory(K788)</f>
        <v>Positive</v>
      </c>
    </row>
    <row r="789" spans="1:12" x14ac:dyDescent="0.25">
      <c r="A789" t="s">
        <v>195</v>
      </c>
      <c r="B789" t="s">
        <v>2834</v>
      </c>
      <c r="C789" t="str" cm="1">
        <f t="array" ref="C789">CleanText(B789)</f>
        <v>did you see the hand that rocks the cradle barbie</v>
      </c>
      <c r="D789">
        <v>1</v>
      </c>
      <c r="E789">
        <v>0</v>
      </c>
      <c r="F789" t="s">
        <v>10</v>
      </c>
      <c r="G789" t="str" cm="1">
        <f t="array" ref="G789">FindCountryName(F789)</f>
        <v>None</v>
      </c>
      <c r="H789" s="3">
        <v>45156.97011574074</v>
      </c>
      <c r="I789" s="3">
        <v>45156.97011574074</v>
      </c>
      <c r="J789" s="3">
        <v>40508.124293981484</v>
      </c>
      <c r="K789" cm="1">
        <f t="array" ref="K789">sentimentCalc(C789)</f>
        <v>0</v>
      </c>
      <c r="L789" t="str" cm="1">
        <f t="array" ref="L789">sentimentCategory(K789)</f>
        <v>Neutral</v>
      </c>
    </row>
    <row r="790" spans="1:12" x14ac:dyDescent="0.25">
      <c r="A790" t="s">
        <v>94</v>
      </c>
      <c r="B790" t="s">
        <v>2235</v>
      </c>
      <c r="C790" t="str" cm="1">
        <f t="array" ref="C790">CleanText(B790)</f>
        <v>didnt see it and wont because of this trailer its the new emoji movie</v>
      </c>
      <c r="D790">
        <v>1</v>
      </c>
      <c r="E790">
        <v>4</v>
      </c>
      <c r="F790" t="s">
        <v>10</v>
      </c>
      <c r="G790" t="str" cm="1">
        <f t="array" ref="G790">FindCountryName(F790)</f>
        <v>None</v>
      </c>
      <c r="H790" s="3">
        <v>45175.167071759257</v>
      </c>
      <c r="I790" s="3">
        <v>45175.167071759257</v>
      </c>
      <c r="J790" s="3">
        <v>43558.010879629626</v>
      </c>
      <c r="K790" cm="1">
        <f t="array" ref="K790">sentimentCalc(C790)</f>
        <v>0</v>
      </c>
      <c r="L790" t="str" cm="1">
        <f t="array" ref="L790">sentimentCategory(K790)</f>
        <v>Neutral</v>
      </c>
    </row>
    <row r="791" spans="1:12" x14ac:dyDescent="0.25">
      <c r="A791" t="s">
        <v>1825</v>
      </c>
      <c r="B791" t="s">
        <v>1826</v>
      </c>
      <c r="C791" t="str" cm="1">
        <f t="array" ref="C791">CleanText(B791)</f>
        <v>didnt ken have brown hair though</v>
      </c>
      <c r="D791">
        <v>0</v>
      </c>
      <c r="E791">
        <v>1</v>
      </c>
      <c r="F791" t="s">
        <v>10</v>
      </c>
      <c r="G791" t="str" cm="1">
        <f t="array" ref="G791">FindCountryName(F791)</f>
        <v>None</v>
      </c>
      <c r="H791" s="3">
        <v>45192.380798611113</v>
      </c>
      <c r="I791" s="3">
        <v>45192.381030092591</v>
      </c>
      <c r="J791" s="3">
        <v>39781.67769675926</v>
      </c>
      <c r="K791" cm="1">
        <f t="array" ref="K791">sentimentCalc(C791)</f>
        <v>0</v>
      </c>
      <c r="L791" t="str" cm="1">
        <f t="array" ref="L791">sentimentCategory(K791)</f>
        <v>Neutral</v>
      </c>
    </row>
    <row r="792" spans="1:12" x14ac:dyDescent="0.25">
      <c r="A792" t="s">
        <v>105</v>
      </c>
      <c r="B792" t="s">
        <v>1003</v>
      </c>
      <c r="C792" t="str" cm="1">
        <f t="array" ref="C792">CleanText(B792)</f>
        <v>dikkat ekici nitelikte bir film</v>
      </c>
      <c r="D792">
        <v>0</v>
      </c>
      <c r="E792">
        <v>0</v>
      </c>
      <c r="F792" t="s">
        <v>10</v>
      </c>
      <c r="G792" t="str" cm="1">
        <f t="array" ref="G792">FindCountryName(F792)</f>
        <v>None</v>
      </c>
      <c r="H792" s="3">
        <v>45299.252210648148</v>
      </c>
      <c r="I792" s="3">
        <v>45299.252210648148</v>
      </c>
      <c r="J792" s="3">
        <v>45299.252199074072</v>
      </c>
      <c r="K792" cm="1">
        <f t="array" ref="K792">sentimentCalc(C792)</f>
        <v>0</v>
      </c>
      <c r="L792" t="str" cm="1">
        <f t="array" ref="L792">sentimentCategory(K792)</f>
        <v>Neutral</v>
      </c>
    </row>
    <row r="793" spans="1:12" x14ac:dyDescent="0.25">
      <c r="A793" t="s">
        <v>891</v>
      </c>
      <c r="B793" t="s">
        <v>892</v>
      </c>
      <c r="C793" t="str" cm="1">
        <f t="array" ref="C793">CleanText(B793)</f>
        <v>dinlediim dier arklara oranla farkl fakat kulaa ho geliyor</v>
      </c>
      <c r="D793">
        <v>0</v>
      </c>
      <c r="E793">
        <v>0</v>
      </c>
      <c r="F793" t="s">
        <v>10</v>
      </c>
      <c r="G793" t="str" cm="1">
        <f t="array" ref="G793">FindCountryName(F793)</f>
        <v>None</v>
      </c>
      <c r="H793" s="3">
        <v>45299.318136574075</v>
      </c>
      <c r="I793" s="3">
        <v>45299.318136574075</v>
      </c>
      <c r="J793" s="3">
        <v>41715.660381944443</v>
      </c>
      <c r="K793" cm="1">
        <f t="array" ref="K793">sentimentCalc(C793)</f>
        <v>0</v>
      </c>
      <c r="L793" t="str" cm="1">
        <f t="array" ref="L793">sentimentCategory(K793)</f>
        <v>Neutral</v>
      </c>
    </row>
    <row r="794" spans="1:12" x14ac:dyDescent="0.25">
      <c r="A794" t="s">
        <v>2266</v>
      </c>
      <c r="B794" t="s">
        <v>2267</v>
      </c>
      <c r="C794" t="str" cm="1">
        <f t="array" ref="C794">CleanText(B794)</f>
        <v>disgusting</v>
      </c>
      <c r="D794">
        <v>1</v>
      </c>
      <c r="E794">
        <v>0</v>
      </c>
      <c r="F794" t="s">
        <v>1373</v>
      </c>
      <c r="G794" t="str" cm="1">
        <f t="array" ref="G794">FindCountryName(F794)</f>
        <v>Belgium</v>
      </c>
      <c r="H794" s="3">
        <v>45173.245694444442</v>
      </c>
      <c r="I794" s="3">
        <v>45173.245694444442</v>
      </c>
      <c r="J794" s="3">
        <v>42940.524861111109</v>
      </c>
      <c r="K794" cm="1">
        <f t="array" ref="K794">sentimentCalc(C794)</f>
        <v>-3</v>
      </c>
      <c r="L794" t="str" cm="1">
        <f t="array" ref="L794">sentimentCategory(K794)</f>
        <v>Negative</v>
      </c>
    </row>
    <row r="795" spans="1:12" x14ac:dyDescent="0.25">
      <c r="A795" t="s">
        <v>1857</v>
      </c>
      <c r="B795" t="s">
        <v>1858</v>
      </c>
      <c r="C795" t="str" cm="1">
        <f t="array" ref="C795">CleanText(B795)</f>
        <v>divertido</v>
      </c>
      <c r="D795">
        <v>1</v>
      </c>
      <c r="E795">
        <v>0</v>
      </c>
      <c r="F795" t="s">
        <v>10</v>
      </c>
      <c r="G795" t="str" cm="1">
        <f t="array" ref="G795">FindCountryName(F795)</f>
        <v>None</v>
      </c>
      <c r="H795" s="3">
        <v>45190.697557870371</v>
      </c>
      <c r="I795" s="3">
        <v>45190.697557870371</v>
      </c>
      <c r="J795" s="3">
        <v>42563.029583333337</v>
      </c>
      <c r="K795" cm="1">
        <f t="array" ref="K795">sentimentCalc(C795)</f>
        <v>0</v>
      </c>
      <c r="L795" t="str" cm="1">
        <f t="array" ref="L795">sentimentCategory(K795)</f>
        <v>Neutral</v>
      </c>
    </row>
    <row r="796" spans="1:12" x14ac:dyDescent="0.25">
      <c r="A796" t="s">
        <v>158</v>
      </c>
      <c r="B796" t="s">
        <v>1956</v>
      </c>
      <c r="C796" t="str" cm="1">
        <f t="array" ref="C796">CleanText(B796)</f>
        <v>divertido otimo filme  recomendo muito</v>
      </c>
      <c r="D796">
        <v>1</v>
      </c>
      <c r="E796">
        <v>0</v>
      </c>
      <c r="F796" t="s">
        <v>10</v>
      </c>
      <c r="G796" t="str" cm="1">
        <f t="array" ref="G796">FindCountryName(F796)</f>
        <v>None</v>
      </c>
      <c r="H796" s="3">
        <v>45186.548680555556</v>
      </c>
      <c r="I796" s="3">
        <v>45186.548680555556</v>
      </c>
      <c r="J796" s="3">
        <v>41886.936076388891</v>
      </c>
      <c r="K796" cm="1">
        <f t="array" ref="K796">sentimentCalc(C796)</f>
        <v>0</v>
      </c>
      <c r="L796" t="str" cm="1">
        <f t="array" ref="L796">sentimentCategory(K796)</f>
        <v>Neutral</v>
      </c>
    </row>
    <row r="797" spans="1:12" x14ac:dyDescent="0.25">
      <c r="A797" t="s">
        <v>1912</v>
      </c>
      <c r="B797" t="s">
        <v>2765</v>
      </c>
      <c r="C797" t="str" cm="1">
        <f t="array" ref="C797">CleanText(B797)</f>
        <v>division between men and women has began</v>
      </c>
      <c r="D797">
        <v>1</v>
      </c>
      <c r="E797">
        <v>3</v>
      </c>
      <c r="F797" t="s">
        <v>10</v>
      </c>
      <c r="G797" t="str" cm="1">
        <f t="array" ref="G797">FindCountryName(F797)</f>
        <v>None</v>
      </c>
      <c r="H797" s="3">
        <v>45158.341354166667</v>
      </c>
      <c r="I797" s="3">
        <v>45158.341354166667</v>
      </c>
      <c r="J797" s="3">
        <v>40248.927453703705</v>
      </c>
      <c r="K797" cm="1">
        <f t="array" ref="K797">sentimentCalc(C797)</f>
        <v>0</v>
      </c>
      <c r="L797" t="str" cm="1">
        <f t="array" ref="L797">sentimentCategory(K797)</f>
        <v>Neutral</v>
      </c>
    </row>
    <row r="798" spans="1:12" x14ac:dyDescent="0.25">
      <c r="A798" t="s">
        <v>192</v>
      </c>
      <c r="B798" t="s">
        <v>193</v>
      </c>
      <c r="C798" t="str" cm="1">
        <f t="array" ref="C798">CleanText(B798)</f>
        <v>djc</v>
      </c>
      <c r="D798">
        <v>0</v>
      </c>
      <c r="E798">
        <v>0</v>
      </c>
      <c r="F798" t="s">
        <v>10</v>
      </c>
      <c r="G798" t="str" cm="1">
        <f t="array" ref="G798">FindCountryName(F798)</f>
        <v>None</v>
      </c>
      <c r="H798" s="3">
        <v>45334.776192129626</v>
      </c>
      <c r="I798" s="3">
        <v>45334.776192129626</v>
      </c>
      <c r="J798" s="3">
        <v>45333.752662037034</v>
      </c>
      <c r="K798" cm="1">
        <f t="array" ref="K798">sentimentCalc(C798)</f>
        <v>0</v>
      </c>
      <c r="L798" t="str" cm="1">
        <f t="array" ref="L798">sentimentCategory(K798)</f>
        <v>Neutral</v>
      </c>
    </row>
    <row r="799" spans="1:12" x14ac:dyDescent="0.25">
      <c r="A799" t="s">
        <v>171</v>
      </c>
      <c r="B799" t="s">
        <v>175</v>
      </c>
      <c r="C799" t="str" cm="1">
        <f t="array" ref="C799">CleanText(B799)</f>
        <v>n</v>
      </c>
      <c r="D799">
        <v>0</v>
      </c>
      <c r="E799">
        <v>0</v>
      </c>
      <c r="F799" t="s">
        <v>10</v>
      </c>
      <c r="G799" t="str" cm="1">
        <f t="array" ref="G799">FindCountryName(F799)</f>
        <v>None</v>
      </c>
      <c r="H799" s="3">
        <v>45336.455717592595</v>
      </c>
      <c r="I799" s="3">
        <v>45336.455717592595</v>
      </c>
      <c r="J799" s="3">
        <v>45336.455706018518</v>
      </c>
      <c r="K799" cm="1">
        <f t="array" ref="K799">sentimentCalc(C799)</f>
        <v>0</v>
      </c>
      <c r="L799" t="str" cm="1">
        <f t="array" ref="L799">sentimentCategory(K799)</f>
        <v>Neutral</v>
      </c>
    </row>
    <row r="800" spans="1:12" x14ac:dyDescent="0.25">
      <c r="A800" t="s">
        <v>534</v>
      </c>
      <c r="B800" t="s">
        <v>4034</v>
      </c>
      <c r="C800" t="str" cm="1">
        <f t="array" ref="C800">CleanText(B800)</f>
        <v>do not let younger than  watch that movie its sexual</v>
      </c>
      <c r="D800">
        <v>0</v>
      </c>
      <c r="E800">
        <v>2</v>
      </c>
      <c r="F800" t="s">
        <v>10</v>
      </c>
      <c r="G800" t="str" cm="1">
        <f t="array" ref="G800">FindCountryName(F800)</f>
        <v>None</v>
      </c>
      <c r="H800" s="3">
        <v>45143.527743055558</v>
      </c>
      <c r="I800" s="3">
        <v>45143.527743055558</v>
      </c>
      <c r="J800" s="3">
        <v>42837.268113425926</v>
      </c>
      <c r="K800" cm="1">
        <f t="array" ref="K800">sentimentCalc(C800)</f>
        <v>0</v>
      </c>
      <c r="L800" t="str" cm="1">
        <f t="array" ref="L800">sentimentCategory(K800)</f>
        <v>Neutral</v>
      </c>
    </row>
    <row r="801" spans="1:12" x14ac:dyDescent="0.25">
      <c r="A801" t="s">
        <v>571</v>
      </c>
      <c r="B801" t="s">
        <v>3912</v>
      </c>
      <c r="C801" t="str" cm="1">
        <f t="array" ref="C801">CleanText(B801)</f>
        <v>do not vaste your time watching this</v>
      </c>
      <c r="D801">
        <v>1</v>
      </c>
      <c r="E801">
        <v>0</v>
      </c>
      <c r="F801" t="s">
        <v>10</v>
      </c>
      <c r="G801" t="str" cm="1">
        <f t="array" ref="G801">FindCountryName(F801)</f>
        <v>None</v>
      </c>
      <c r="H801" s="3">
        <v>45144.570405092592</v>
      </c>
      <c r="I801" s="3">
        <v>45144.570405092592</v>
      </c>
      <c r="J801" s="3">
        <v>41751.156539351854</v>
      </c>
      <c r="K801" cm="1">
        <f t="array" ref="K801">sentimentCalc(C801)</f>
        <v>0</v>
      </c>
      <c r="L801" t="str" cm="1">
        <f t="array" ref="L801">sentimentCategory(K801)</f>
        <v>Neutral</v>
      </c>
    </row>
    <row r="802" spans="1:12" x14ac:dyDescent="0.25">
      <c r="A802" t="s">
        <v>878</v>
      </c>
      <c r="B802" t="s">
        <v>3512</v>
      </c>
      <c r="C802" t="str" cm="1">
        <f t="array" ref="C802">CleanText(B802)</f>
        <v>do people never get tired of silly american movies when will the real movies come back again</v>
      </c>
      <c r="D802">
        <v>2</v>
      </c>
      <c r="E802">
        <v>0</v>
      </c>
      <c r="F802" t="s">
        <v>10</v>
      </c>
      <c r="G802" t="str" cm="1">
        <f t="array" ref="G802">FindCountryName(F802)</f>
        <v>None</v>
      </c>
      <c r="H802" s="3">
        <v>45148.130370370367</v>
      </c>
      <c r="I802" s="3">
        <v>45148.130370370367</v>
      </c>
      <c r="J802" s="3">
        <v>39639.196828703702</v>
      </c>
      <c r="K802" cm="1">
        <f t="array" ref="K802">sentimentCalc(C802)</f>
        <v>-3</v>
      </c>
      <c r="L802" t="str" cm="1">
        <f t="array" ref="L802">sentimentCategory(K802)</f>
        <v>Negative</v>
      </c>
    </row>
    <row r="803" spans="1:12" x14ac:dyDescent="0.25">
      <c r="A803" t="s">
        <v>213</v>
      </c>
      <c r="B803" t="s">
        <v>3300</v>
      </c>
      <c r="C803" t="str" cm="1">
        <f t="array" ref="C803">CleanText(B803)</f>
        <v>do you guys ever think about dying barbie</v>
      </c>
      <c r="D803">
        <v>0</v>
      </c>
      <c r="E803">
        <v>0</v>
      </c>
      <c r="F803" t="s">
        <v>10</v>
      </c>
      <c r="G803" t="str" cm="1">
        <f t="array" ref="G803">FindCountryName(F803)</f>
        <v>None</v>
      </c>
      <c r="H803" s="3">
        <v>45150.571608796294</v>
      </c>
      <c r="I803" s="3">
        <v>45150.571608796294</v>
      </c>
      <c r="J803" s="3">
        <v>44335.359699074077</v>
      </c>
      <c r="K803" cm="1">
        <f t="array" ref="K803">sentimentCalc(C803)</f>
        <v>0</v>
      </c>
      <c r="L803" t="str" cm="1">
        <f t="array" ref="L803">sentimentCategory(K803)</f>
        <v>Neutral</v>
      </c>
    </row>
    <row r="804" spans="1:12" x14ac:dyDescent="0.25">
      <c r="A804" t="s">
        <v>239</v>
      </c>
      <c r="B804" t="s">
        <v>4368</v>
      </c>
      <c r="C804" t="str" cm="1">
        <f t="array" ref="C804">CleanText(B804)</f>
        <v>do you know that barbie is  i am  so im too young to watch it</v>
      </c>
      <c r="D804">
        <v>0</v>
      </c>
      <c r="E804">
        <v>3</v>
      </c>
      <c r="F804" t="s">
        <v>10</v>
      </c>
      <c r="G804" t="str" cm="1">
        <f t="array" ref="G804">FindCountryName(F804)</f>
        <v>None</v>
      </c>
      <c r="H804" s="3">
        <v>45140.62605324074</v>
      </c>
      <c r="I804" s="3">
        <v>45140.62605324074</v>
      </c>
      <c r="J804" s="3">
        <v>42170.454814814817</v>
      </c>
      <c r="K804" cm="1">
        <f t="array" ref="K804">sentimentCalc(C804)</f>
        <v>0</v>
      </c>
      <c r="L804" t="str" cm="1">
        <f t="array" ref="L804">sentimentCategory(K804)</f>
        <v>Neutral</v>
      </c>
    </row>
    <row r="805" spans="1:12" x14ac:dyDescent="0.25">
      <c r="A805" t="s">
        <v>4118</v>
      </c>
      <c r="B805" t="s">
        <v>4120</v>
      </c>
      <c r="C805" t="str" cm="1">
        <f t="array" ref="C805">CleanText(B805)</f>
        <v>doctor barbie this is the best day ever barbie it is the best day ever so was yesterday and so is tomorrow and every day from now until forevereveryone cheeringbarbie do you guys ever think about dyingeveryone barbie</v>
      </c>
      <c r="D805">
        <v>1</v>
      </c>
      <c r="E805">
        <v>0</v>
      </c>
      <c r="F805" t="s">
        <v>10</v>
      </c>
      <c r="G805" t="str" cm="1">
        <f t="array" ref="G805">FindCountryName(F805)</f>
        <v>None</v>
      </c>
      <c r="H805" s="3">
        <v>45142.705034722225</v>
      </c>
      <c r="I805" s="3">
        <v>45142.705034722225</v>
      </c>
      <c r="J805" s="3">
        <v>42418.286828703705</v>
      </c>
      <c r="K805" cm="1">
        <f t="array" ref="K805">sentimentCalc(C805)</f>
        <v>6</v>
      </c>
      <c r="L805" t="str" cm="1">
        <f t="array" ref="L805">sentimentCategory(K805)</f>
        <v>Positive</v>
      </c>
    </row>
    <row r="806" spans="1:12" x14ac:dyDescent="0.25">
      <c r="A806" t="s">
        <v>286</v>
      </c>
      <c r="B806" t="s">
        <v>287</v>
      </c>
      <c r="C806" t="str" cm="1">
        <f t="array" ref="C806">CleanText(B806)</f>
        <v>n</v>
      </c>
      <c r="D806">
        <v>0</v>
      </c>
      <c r="E806">
        <v>0</v>
      </c>
      <c r="F806" t="s">
        <v>10</v>
      </c>
      <c r="G806" t="str" cm="1">
        <f t="array" ref="G806">FindCountryName(F806)</f>
        <v>None</v>
      </c>
      <c r="H806" s="3">
        <v>45322.449456018519</v>
      </c>
      <c r="I806" s="3">
        <v>45322.449456018519</v>
      </c>
      <c r="J806" s="3">
        <v>45161.234895833331</v>
      </c>
      <c r="K806" cm="1">
        <f t="array" ref="K806">sentimentCalc(C806)</f>
        <v>0</v>
      </c>
      <c r="L806" t="str" cm="1">
        <f t="array" ref="L806">sentimentCategory(K806)</f>
        <v>Neutral</v>
      </c>
    </row>
    <row r="807" spans="1:12" x14ac:dyDescent="0.25">
      <c r="A807" t="s">
        <v>1031</v>
      </c>
      <c r="B807" t="s">
        <v>2382</v>
      </c>
      <c r="C807" t="str" cm="1">
        <f t="array" ref="C807">CleanText(B807)</f>
        <v>does anyone know if barbie movie will play on netflix or disney</v>
      </c>
      <c r="D807">
        <v>0</v>
      </c>
      <c r="E807">
        <v>1</v>
      </c>
      <c r="F807" t="s">
        <v>10</v>
      </c>
      <c r="G807" t="str" cm="1">
        <f t="array" ref="G807">FindCountryName(F807)</f>
        <v>None</v>
      </c>
      <c r="H807" s="3">
        <v>45169.639363425929</v>
      </c>
      <c r="I807" s="3">
        <v>45169.639351851853</v>
      </c>
      <c r="J807" s="3">
        <v>45169.639340277776</v>
      </c>
      <c r="K807" cm="1">
        <f t="array" ref="K807">sentimentCalc(C807)</f>
        <v>0</v>
      </c>
      <c r="L807" t="str" cm="1">
        <f t="array" ref="L807">sentimentCategory(K807)</f>
        <v>Neutral</v>
      </c>
    </row>
    <row r="808" spans="1:12" x14ac:dyDescent="0.25">
      <c r="A808" t="s">
        <v>505</v>
      </c>
      <c r="B808" t="s">
        <v>4272</v>
      </c>
      <c r="C808" t="str" cm="1">
        <f t="array" ref="C808">CleanText(B808)</f>
        <v>dogecon dogecon</v>
      </c>
      <c r="D808">
        <v>0</v>
      </c>
      <c r="E808">
        <v>0</v>
      </c>
      <c r="F808" t="s">
        <v>10</v>
      </c>
      <c r="G808" t="str" cm="1">
        <f t="array" ref="G808">FindCountryName(F808)</f>
        <v>None</v>
      </c>
      <c r="H808" s="3">
        <v>45141.327465277776</v>
      </c>
      <c r="I808" s="3">
        <v>45141.327465277776</v>
      </c>
      <c r="J808" s="3">
        <v>43646.693067129629</v>
      </c>
      <c r="K808" cm="1">
        <f t="array" ref="K808">sentimentCalc(C808)</f>
        <v>0</v>
      </c>
      <c r="L808" t="str" cm="1">
        <f t="array" ref="L808">sentimentCategory(K808)</f>
        <v>Neutral</v>
      </c>
    </row>
    <row r="809" spans="1:12" x14ac:dyDescent="0.25">
      <c r="A809" t="s">
        <v>571</v>
      </c>
      <c r="B809" t="s">
        <v>799</v>
      </c>
      <c r="C809" t="str" cm="1">
        <f t="array" ref="C809">CleanText(B809)</f>
        <v>doing the soundtrack to this film was my best decision ever  yes im dua lipa</v>
      </c>
      <c r="D809">
        <v>0</v>
      </c>
      <c r="E809">
        <v>0</v>
      </c>
      <c r="F809" t="s">
        <v>10</v>
      </c>
      <c r="G809" t="str" cm="1">
        <f t="array" ref="G809">FindCountryName(F809)</f>
        <v>None</v>
      </c>
      <c r="H809" s="3">
        <v>45308.201805555553</v>
      </c>
      <c r="I809" s="3">
        <v>45308.201805555553</v>
      </c>
      <c r="J809" s="3">
        <v>39298.392141203702</v>
      </c>
      <c r="K809" cm="1">
        <f t="array" ref="K809">sentimentCalc(C809)</f>
        <v>4</v>
      </c>
      <c r="L809" t="str" cm="1">
        <f t="array" ref="L809">sentimentCategory(K809)</f>
        <v>Positive</v>
      </c>
    </row>
    <row r="810" spans="1:12" x14ac:dyDescent="0.25">
      <c r="A810" t="s">
        <v>1394</v>
      </c>
      <c r="B810" t="s">
        <v>3496</v>
      </c>
      <c r="C810" t="str" cm="1">
        <f t="array" ref="C810">CleanText(B810)</f>
        <v>done watching it</v>
      </c>
      <c r="D810">
        <v>0</v>
      </c>
      <c r="E810">
        <v>0</v>
      </c>
      <c r="F810" t="s">
        <v>10</v>
      </c>
      <c r="G810" t="str" cm="1">
        <f t="array" ref="G810">FindCountryName(F810)</f>
        <v>None</v>
      </c>
      <c r="H810" s="3">
        <v>45148.258009259262</v>
      </c>
      <c r="I810" s="3">
        <v>45148.257997685185</v>
      </c>
      <c r="J810" s="3">
        <v>44625.019386574073</v>
      </c>
      <c r="K810" cm="1">
        <f t="array" ref="K810">sentimentCalc(C810)</f>
        <v>0</v>
      </c>
      <c r="L810" t="str" cm="1">
        <f t="array" ref="L810">sentimentCategory(K810)</f>
        <v>Neutral</v>
      </c>
    </row>
    <row r="811" spans="1:12" x14ac:dyDescent="0.25">
      <c r="A811" t="s">
        <v>4430</v>
      </c>
      <c r="B811" t="s">
        <v>4431</v>
      </c>
      <c r="C811" t="str" cm="1">
        <f t="array" ref="C811">CleanText(B811)</f>
        <v>dont like the movie youre supporting  the kids will watch it and theyll be affected and also this company supports them</v>
      </c>
      <c r="D811">
        <v>1</v>
      </c>
      <c r="E811">
        <v>0</v>
      </c>
      <c r="F811" t="s">
        <v>10</v>
      </c>
      <c r="G811" t="str" cm="1">
        <f t="array" ref="G811">FindCountryName(F811)</f>
        <v>None</v>
      </c>
      <c r="H811" s="3">
        <v>45140.302627314813</v>
      </c>
      <c r="I811" s="3">
        <v>45140.302627314813</v>
      </c>
      <c r="J811" s="3">
        <v>44887.763460648152</v>
      </c>
      <c r="K811" cm="1">
        <f t="array" ref="K811">sentimentCalc(C811)</f>
        <v>4</v>
      </c>
      <c r="L811" t="str" cm="1">
        <f t="array" ref="L811">sentimentCategory(K811)</f>
        <v>Positive</v>
      </c>
    </row>
    <row r="812" spans="1:12" x14ac:dyDescent="0.25">
      <c r="A812" t="s">
        <v>30</v>
      </c>
      <c r="B812" t="s">
        <v>3541</v>
      </c>
      <c r="C812" t="str" cm="1">
        <f t="array" ref="C812">CleanText(B812)</f>
        <v>dont watch this movie</v>
      </c>
      <c r="D812">
        <v>1</v>
      </c>
      <c r="E812">
        <v>0</v>
      </c>
      <c r="F812" t="s">
        <v>1073</v>
      </c>
      <c r="G812" t="str" cm="1">
        <f t="array" ref="G812">FindCountryName(F812)</f>
        <v>India</v>
      </c>
      <c r="H812" s="3">
        <v>45147.670451388891</v>
      </c>
      <c r="I812" s="3">
        <v>45147.670439814814</v>
      </c>
      <c r="J812" s="3">
        <v>43960.552928240744</v>
      </c>
      <c r="K812" cm="1">
        <f t="array" ref="K812">sentimentCalc(C812)</f>
        <v>0</v>
      </c>
      <c r="L812" t="str" cm="1">
        <f t="array" ref="L812">sentimentCategory(K812)</f>
        <v>Neutral</v>
      </c>
    </row>
    <row r="813" spans="1:12" x14ac:dyDescent="0.25">
      <c r="A813" t="s">
        <v>2447</v>
      </c>
      <c r="B813" t="s">
        <v>2448</v>
      </c>
      <c r="C813" t="str" cm="1">
        <f t="array" ref="C813">CleanText(B813)</f>
        <v>dont you think rayan is little old for the ken role</v>
      </c>
      <c r="D813">
        <v>0</v>
      </c>
      <c r="E813">
        <v>0</v>
      </c>
      <c r="F813" t="s">
        <v>10</v>
      </c>
      <c r="G813" t="str" cm="1">
        <f t="array" ref="G813">FindCountryName(F813)</f>
        <v>None</v>
      </c>
      <c r="H813" s="3">
        <v>45167.108703703707</v>
      </c>
      <c r="I813" s="3">
        <v>45167.108703703707</v>
      </c>
      <c r="J813" s="3">
        <v>41775.134606481479</v>
      </c>
      <c r="K813" cm="1">
        <f t="array" ref="K813">sentimentCalc(C813)</f>
        <v>0</v>
      </c>
      <c r="L813" t="str" cm="1">
        <f t="array" ref="L813">sentimentCategory(K813)</f>
        <v>Neutral</v>
      </c>
    </row>
    <row r="814" spans="1:12" x14ac:dyDescent="0.25">
      <c r="A814" t="s">
        <v>315</v>
      </c>
      <c r="B814" t="s">
        <v>4464</v>
      </c>
      <c r="C814" t="str" cm="1">
        <f t="array" ref="C814">CleanText(B814)</f>
        <v>dora</v>
      </c>
      <c r="D814">
        <v>0</v>
      </c>
      <c r="E814">
        <v>0</v>
      </c>
      <c r="F814" t="s">
        <v>10</v>
      </c>
      <c r="G814" t="str" cm="1">
        <f t="array" ref="G814">FindCountryName(F814)</f>
        <v>None</v>
      </c>
      <c r="H814" s="3">
        <v>45140.130868055552</v>
      </c>
      <c r="I814" s="3">
        <v>45140.130868055552</v>
      </c>
      <c r="J814" s="3">
        <v>44845.200868055559</v>
      </c>
      <c r="K814" cm="1">
        <f t="array" ref="K814">sentimentCalc(C814)</f>
        <v>0</v>
      </c>
      <c r="L814" t="str" cm="1">
        <f t="array" ref="L814">sentimentCategory(K814)</f>
        <v>Neutral</v>
      </c>
    </row>
    <row r="815" spans="1:12" x14ac:dyDescent="0.25">
      <c r="A815" t="s">
        <v>105</v>
      </c>
      <c r="B815" t="s">
        <v>1815</v>
      </c>
      <c r="C815" t="str" cm="1">
        <f t="array" ref="C815">CleanText(B815)</f>
        <v>n</v>
      </c>
      <c r="D815">
        <v>0</v>
      </c>
      <c r="E815">
        <v>0</v>
      </c>
      <c r="F815" t="s">
        <v>10</v>
      </c>
      <c r="G815" t="str" cm="1">
        <f t="array" ref="G815">FindCountryName(F815)</f>
        <v>None</v>
      </c>
      <c r="H815" s="3">
        <v>45193.165138888886</v>
      </c>
      <c r="I815" s="3">
        <v>45193.165138888886</v>
      </c>
      <c r="J815" s="3">
        <v>45168.252581018518</v>
      </c>
      <c r="K815" cm="1">
        <f t="array" ref="K815">sentimentCalc(C815)</f>
        <v>0</v>
      </c>
      <c r="L815" t="str" cm="1">
        <f t="array" ref="L815">sentimentCategory(K815)</f>
        <v>Neutral</v>
      </c>
    </row>
    <row r="816" spans="1:12" x14ac:dyDescent="0.25">
      <c r="A816" t="s">
        <v>197</v>
      </c>
      <c r="B816" t="s">
        <v>198</v>
      </c>
      <c r="C816" t="str" cm="1">
        <f t="array" ref="C816">CleanText(B816)</f>
        <v>n</v>
      </c>
      <c r="D816">
        <v>1</v>
      </c>
      <c r="E816">
        <v>0</v>
      </c>
      <c r="F816" t="s">
        <v>10</v>
      </c>
      <c r="G816" t="str" cm="1">
        <f t="array" ref="G816">FindCountryName(F816)</f>
        <v>None</v>
      </c>
      <c r="H816" s="3">
        <v>45334.575497685182</v>
      </c>
      <c r="I816" s="3">
        <v>45334.575497685182</v>
      </c>
      <c r="J816" s="3">
        <v>42854.532210648147</v>
      </c>
      <c r="K816" cm="1">
        <f t="array" ref="K816">sentimentCalc(C816)</f>
        <v>0</v>
      </c>
      <c r="L816" t="str" cm="1">
        <f t="array" ref="L816">sentimentCategory(K816)</f>
        <v>Neutral</v>
      </c>
    </row>
    <row r="817" spans="1:12" x14ac:dyDescent="0.25">
      <c r="A817" t="s">
        <v>228</v>
      </c>
      <c r="B817" t="s">
        <v>1958</v>
      </c>
      <c r="C817" t="str" cm="1">
        <f t="array" ref="C817">CleanText(B817)</f>
        <v>n</v>
      </c>
      <c r="D817">
        <v>1</v>
      </c>
      <c r="E817">
        <v>0</v>
      </c>
      <c r="F817" t="s">
        <v>10</v>
      </c>
      <c r="G817" t="str" cm="1">
        <f t="array" ref="G817">FindCountryName(F817)</f>
        <v>None</v>
      </c>
      <c r="H817" s="3">
        <v>45186.512326388889</v>
      </c>
      <c r="I817" s="3">
        <v>45186.512326388889</v>
      </c>
      <c r="J817" s="3">
        <v>43153.712870370371</v>
      </c>
      <c r="K817" cm="1">
        <f t="array" ref="K817">sentimentCalc(C817)</f>
        <v>0</v>
      </c>
      <c r="L817" t="str" cm="1">
        <f t="array" ref="L817">sentimentCategory(K817)</f>
        <v>Neutral</v>
      </c>
    </row>
    <row r="818" spans="1:12" x14ac:dyDescent="0.25">
      <c r="A818" t="s">
        <v>596</v>
      </c>
      <c r="B818" t="s">
        <v>597</v>
      </c>
      <c r="C818" t="str" cm="1">
        <f t="array" ref="C818">CleanText(B818)</f>
        <v>dua lipa  dance the night</v>
      </c>
      <c r="D818">
        <v>1</v>
      </c>
      <c r="E818">
        <v>0</v>
      </c>
      <c r="F818" t="s">
        <v>10</v>
      </c>
      <c r="G818" t="str" cm="1">
        <f t="array" ref="G818">FindCountryName(F818)</f>
        <v>None</v>
      </c>
      <c r="H818" s="3">
        <v>45317.201423611114</v>
      </c>
      <c r="I818" s="3">
        <v>45317.201423611114</v>
      </c>
      <c r="J818" s="3">
        <v>45305.556805555556</v>
      </c>
      <c r="K818" cm="1">
        <f t="array" ref="K818">sentimentCalc(C818)</f>
        <v>0</v>
      </c>
      <c r="L818" t="str" cm="1">
        <f t="array" ref="L818">sentimentCategory(K818)</f>
        <v>Neutral</v>
      </c>
    </row>
    <row r="819" spans="1:12" x14ac:dyDescent="0.25">
      <c r="A819" t="s">
        <v>256</v>
      </c>
      <c r="B819" t="s">
        <v>3326</v>
      </c>
      <c r="C819" t="str" cm="1">
        <f t="array" ref="C819">CleanText(B819)</f>
        <v>dua lipa</v>
      </c>
      <c r="D819">
        <v>2</v>
      </c>
      <c r="E819">
        <v>0</v>
      </c>
      <c r="F819" t="s">
        <v>10</v>
      </c>
      <c r="G819" t="str" cm="1">
        <f t="array" ref="G819">FindCountryName(F819)</f>
        <v>None</v>
      </c>
      <c r="H819" s="3">
        <v>45150.302870370368</v>
      </c>
      <c r="I819" s="3">
        <v>45150.302870370368</v>
      </c>
      <c r="J819" s="3">
        <v>44909.210706018515</v>
      </c>
      <c r="K819" cm="1">
        <f t="array" ref="K819">sentimentCalc(C819)</f>
        <v>0</v>
      </c>
      <c r="L819" t="str" cm="1">
        <f t="array" ref="L819">sentimentCategory(K819)</f>
        <v>Neutral</v>
      </c>
    </row>
    <row r="820" spans="1:12" x14ac:dyDescent="0.25">
      <c r="A820" t="s">
        <v>3415</v>
      </c>
      <c r="B820" t="s">
        <v>3416</v>
      </c>
      <c r="C820" t="str" cm="1">
        <f t="array" ref="C820">CleanText(B820)</f>
        <v>dua lipa be getting real famous right now</v>
      </c>
      <c r="D820">
        <v>0</v>
      </c>
      <c r="E820">
        <v>0</v>
      </c>
      <c r="F820" t="s">
        <v>10</v>
      </c>
      <c r="G820" t="str" cm="1">
        <f t="array" ref="G820">FindCountryName(F820)</f>
        <v>None</v>
      </c>
      <c r="H820" s="3">
        <v>45149.16605324074</v>
      </c>
      <c r="I820" s="3">
        <v>45149.16605324074</v>
      </c>
      <c r="J820" s="3">
        <v>44718.013298611113</v>
      </c>
      <c r="K820" cm="1">
        <f t="array" ref="K820">sentimentCalc(C820)</f>
        <v>0</v>
      </c>
      <c r="L820" t="str" cm="1">
        <f t="array" ref="L820">sentimentCategory(K820)</f>
        <v>Neutral</v>
      </c>
    </row>
    <row r="821" spans="1:12" x14ac:dyDescent="0.25">
      <c r="A821" t="s">
        <v>3733</v>
      </c>
      <c r="B821" t="s">
        <v>3734</v>
      </c>
      <c r="C821" t="str" cm="1">
        <f t="array" ref="C821">CleanText(B821)</f>
        <v>dua lipas is song is so good</v>
      </c>
      <c r="D821">
        <v>0</v>
      </c>
      <c r="E821">
        <v>0</v>
      </c>
      <c r="F821" t="s">
        <v>10</v>
      </c>
      <c r="G821" t="str" cm="1">
        <f t="array" ref="G821">FindCountryName(F821)</f>
        <v>None</v>
      </c>
      <c r="H821" s="3">
        <v>45145.963750000003</v>
      </c>
      <c r="I821" s="3">
        <v>45145.963750000003</v>
      </c>
      <c r="J821" s="3">
        <v>45105.982129629629</v>
      </c>
      <c r="K821" cm="1">
        <f t="array" ref="K821">sentimentCalc(C821)</f>
        <v>3</v>
      </c>
      <c r="L821" t="str" cm="1">
        <f t="array" ref="L821">sentimentCategory(K821)</f>
        <v>Positive</v>
      </c>
    </row>
    <row r="822" spans="1:12" x14ac:dyDescent="0.25">
      <c r="A822" t="s">
        <v>137</v>
      </c>
      <c r="B822" t="s">
        <v>2014</v>
      </c>
      <c r="C822" t="str" cm="1">
        <f t="array" ref="C822">CleanText(B822)</f>
        <v>dualipa music</v>
      </c>
      <c r="D822">
        <v>0</v>
      </c>
      <c r="E822">
        <v>0</v>
      </c>
      <c r="F822" t="s">
        <v>227</v>
      </c>
      <c r="G822" t="str" cm="1">
        <f t="array" ref="G822">FindCountryName(F822)</f>
        <v>United States of America (the)</v>
      </c>
      <c r="H822" s="3">
        <v>45184.40556712963</v>
      </c>
      <c r="I822" s="3">
        <v>45184.40556712963</v>
      </c>
      <c r="J822" s="3">
        <v>41962.134675925925</v>
      </c>
      <c r="K822" cm="1">
        <f t="array" ref="K822">sentimentCalc(C822)</f>
        <v>0</v>
      </c>
      <c r="L822" t="str" cm="1">
        <f t="array" ref="L822">sentimentCategory(K822)</f>
        <v>Neutral</v>
      </c>
    </row>
    <row r="823" spans="1:12" x14ac:dyDescent="0.25">
      <c r="A823" t="s">
        <v>1290</v>
      </c>
      <c r="B823" t="s">
        <v>2729</v>
      </c>
      <c r="C823" t="str" cm="1">
        <f t="array" ref="C823">CleanText(B823)</f>
        <v>dude if you punch barbie she will do the same as twice</v>
      </c>
      <c r="D823">
        <v>0</v>
      </c>
      <c r="E823">
        <v>0</v>
      </c>
      <c r="F823" t="s">
        <v>10</v>
      </c>
      <c r="G823" t="str" cm="1">
        <f t="array" ref="G823">FindCountryName(F823)</f>
        <v>None</v>
      </c>
      <c r="H823" s="3">
        <v>45159.144756944443</v>
      </c>
      <c r="I823" s="3">
        <v>45159.144756944443</v>
      </c>
      <c r="J823" s="3">
        <v>45103.600335648145</v>
      </c>
      <c r="K823" cm="1">
        <f t="array" ref="K823">sentimentCalc(C823)</f>
        <v>0</v>
      </c>
      <c r="L823" t="str" cm="1">
        <f t="array" ref="L823">sentimentCategory(K823)</f>
        <v>Neutral</v>
      </c>
    </row>
    <row r="824" spans="1:12" x14ac:dyDescent="0.25">
      <c r="A824" t="s">
        <v>712</v>
      </c>
      <c r="B824" t="s">
        <v>713</v>
      </c>
      <c r="C824" t="str" cm="1">
        <f t="array" ref="C824">CleanText(B824)</f>
        <v>dumb</v>
      </c>
      <c r="D824">
        <v>0</v>
      </c>
      <c r="E824">
        <v>0</v>
      </c>
      <c r="F824" t="s">
        <v>10</v>
      </c>
      <c r="G824" t="str" cm="1">
        <f t="array" ref="G824">FindCountryName(F824)</f>
        <v>None</v>
      </c>
      <c r="H824" s="3">
        <v>45311.576782407406</v>
      </c>
      <c r="I824" s="3">
        <v>45311.576782407406</v>
      </c>
      <c r="J824" s="3">
        <v>38948.044618055559</v>
      </c>
      <c r="K824" cm="1">
        <f t="array" ref="K824">sentimentCalc(C824)</f>
        <v>-3</v>
      </c>
      <c r="L824" t="str" cm="1">
        <f t="array" ref="L824">sentimentCategory(K824)</f>
        <v>Negative</v>
      </c>
    </row>
    <row r="825" spans="1:12" x14ac:dyDescent="0.25">
      <c r="A825" t="s">
        <v>60</v>
      </c>
      <c r="B825" t="s">
        <v>4326</v>
      </c>
      <c r="C825" t="str" cm="1">
        <f t="array" ref="C825">CleanText(B825)</f>
        <v>n</v>
      </c>
      <c r="D825">
        <v>0</v>
      </c>
      <c r="E825">
        <v>0</v>
      </c>
      <c r="F825" t="s">
        <v>10</v>
      </c>
      <c r="G825" t="str" cm="1">
        <f t="array" ref="G825">FindCountryName(F825)</f>
        <v>None</v>
      </c>
      <c r="H825" s="3">
        <v>45140.937916666669</v>
      </c>
      <c r="I825" s="3">
        <v>45140.937916666669</v>
      </c>
      <c r="J825" s="3">
        <v>42337.788587962961</v>
      </c>
      <c r="K825" cm="1">
        <f t="array" ref="K825">sentimentCalc(C825)</f>
        <v>0</v>
      </c>
      <c r="L825" t="str" cm="1">
        <f t="array" ref="L825">sentimentCategory(K825)</f>
        <v>Neutral</v>
      </c>
    </row>
    <row r="826" spans="1:12" x14ac:dyDescent="0.25">
      <c r="A826" t="s">
        <v>11</v>
      </c>
      <c r="B826" t="s">
        <v>3070</v>
      </c>
      <c r="C826" t="str" cm="1">
        <f t="array" ref="C826">CleanText(B826)</f>
        <v>n</v>
      </c>
      <c r="D826">
        <v>1</v>
      </c>
      <c r="E826">
        <v>0</v>
      </c>
      <c r="F826" t="s">
        <v>10</v>
      </c>
      <c r="G826" t="str" cm="1">
        <f t="array" ref="G826">FindCountryName(F826)</f>
        <v>None</v>
      </c>
      <c r="H826" s="3">
        <v>45153.750798611109</v>
      </c>
      <c r="I826" s="3">
        <v>45153.750798611109</v>
      </c>
      <c r="J826" s="3">
        <v>44834.510243055556</v>
      </c>
      <c r="K826" cm="1">
        <f t="array" ref="K826">sentimentCalc(C826)</f>
        <v>0</v>
      </c>
      <c r="L826" t="str" cm="1">
        <f t="array" ref="L826">sentimentCategory(K826)</f>
        <v>Neutral</v>
      </c>
    </row>
    <row r="827" spans="1:12" x14ac:dyDescent="0.25">
      <c r="A827" t="s">
        <v>171</v>
      </c>
      <c r="B827" t="s">
        <v>3153</v>
      </c>
      <c r="C827" t="str" cm="1">
        <f t="array" ref="C827">CleanText(B827)</f>
        <v>n</v>
      </c>
      <c r="D827">
        <v>3</v>
      </c>
      <c r="E827">
        <v>0</v>
      </c>
      <c r="F827" t="s">
        <v>10</v>
      </c>
      <c r="G827" t="str" cm="1">
        <f t="array" ref="G827">FindCountryName(F827)</f>
        <v>None</v>
      </c>
      <c r="H827" s="3">
        <v>45152.662534722222</v>
      </c>
      <c r="I827" s="3">
        <v>45152.662523148145</v>
      </c>
      <c r="J827" s="3">
        <v>44129.621400462966</v>
      </c>
      <c r="K827" cm="1">
        <f t="array" ref="K827">sentimentCalc(C827)</f>
        <v>0</v>
      </c>
      <c r="L827" t="str" cm="1">
        <f t="array" ref="L827">sentimentCategory(K827)</f>
        <v>Neutral</v>
      </c>
    </row>
    <row r="828" spans="1:12" x14ac:dyDescent="0.25">
      <c r="A828" t="s">
        <v>11</v>
      </c>
      <c r="B828" t="s">
        <v>2544</v>
      </c>
      <c r="C828" t="str" cm="1">
        <f t="array" ref="C828">CleanText(B828)</f>
        <v>noooooooooo</v>
      </c>
      <c r="D828">
        <v>0</v>
      </c>
      <c r="E828">
        <v>0</v>
      </c>
      <c r="F828" t="s">
        <v>10</v>
      </c>
      <c r="G828" t="str" cm="1">
        <f t="array" ref="G828">FindCountryName(F828)</f>
        <v>None</v>
      </c>
      <c r="H828" s="3">
        <v>45163.742812500001</v>
      </c>
      <c r="I828" s="3">
        <v>45163.742812500001</v>
      </c>
      <c r="J828" s="3">
        <v>44834.510243055556</v>
      </c>
      <c r="K828" cm="1">
        <f t="array" ref="K828">sentimentCalc(C828)</f>
        <v>0</v>
      </c>
      <c r="L828" t="str" cm="1">
        <f t="array" ref="L828">sentimentCategory(K828)</f>
        <v>Neutral</v>
      </c>
    </row>
    <row r="829" spans="1:12" x14ac:dyDescent="0.25">
      <c r="A829" t="s">
        <v>130</v>
      </c>
      <c r="B829" t="s">
        <v>1441</v>
      </c>
      <c r="C829" t="str" cm="1">
        <f t="array" ref="C829">CleanText(B829)</f>
        <v>n</v>
      </c>
      <c r="D829">
        <v>0</v>
      </c>
      <c r="E829">
        <v>0</v>
      </c>
      <c r="F829" t="s">
        <v>10</v>
      </c>
      <c r="G829" t="str" cm="1">
        <f t="array" ref="G829">FindCountryName(F829)</f>
        <v>None</v>
      </c>
      <c r="H829" s="3">
        <v>45226.667361111111</v>
      </c>
      <c r="I829" s="3">
        <v>45226.667361111111</v>
      </c>
      <c r="J829" s="3">
        <v>45163.776562500003</v>
      </c>
      <c r="K829" cm="1">
        <f t="array" ref="K829">sentimentCalc(C829)</f>
        <v>0</v>
      </c>
      <c r="L829" t="str" cm="1">
        <f t="array" ref="L829">sentimentCategory(K829)</f>
        <v>Neutral</v>
      </c>
    </row>
    <row r="830" spans="1:12" x14ac:dyDescent="0.25">
      <c r="A830" t="s">
        <v>180</v>
      </c>
      <c r="B830" t="s">
        <v>181</v>
      </c>
      <c r="C830" t="str" cm="1">
        <f t="array" ref="C830">CleanText(B830)</f>
        <v>n</v>
      </c>
      <c r="D830">
        <v>0</v>
      </c>
      <c r="E830">
        <v>0</v>
      </c>
      <c r="F830" t="s">
        <v>10</v>
      </c>
      <c r="G830" t="str" cm="1">
        <f t="array" ref="G830">FindCountryName(F830)</f>
        <v>None</v>
      </c>
      <c r="H830" s="3">
        <v>45335.865162037036</v>
      </c>
      <c r="I830" s="3">
        <v>45335.865162037036</v>
      </c>
      <c r="J830" s="3">
        <v>45308.852777777778</v>
      </c>
      <c r="K830" cm="1">
        <f t="array" ref="K830">sentimentCalc(C830)</f>
        <v>0</v>
      </c>
      <c r="L830" t="str" cm="1">
        <f t="array" ref="L830">sentimentCategory(K830)</f>
        <v>Neutral</v>
      </c>
    </row>
    <row r="831" spans="1:12" x14ac:dyDescent="0.25">
      <c r="A831" t="s">
        <v>197</v>
      </c>
      <c r="B831" t="s">
        <v>1347</v>
      </c>
      <c r="C831" t="str" cm="1">
        <f t="array" ref="C831">CleanText(B831)</f>
        <v>n</v>
      </c>
      <c r="D831">
        <v>1</v>
      </c>
      <c r="E831">
        <v>0</v>
      </c>
      <c r="F831" t="s">
        <v>10</v>
      </c>
      <c r="G831" t="str" cm="1">
        <f t="array" ref="G831">FindCountryName(F831)</f>
        <v>None</v>
      </c>
      <c r="H831" s="3">
        <v>45242.569953703707</v>
      </c>
      <c r="I831" s="3">
        <v>45242.569953703707</v>
      </c>
      <c r="J831" s="3">
        <v>41578.84814814815</v>
      </c>
      <c r="K831" cm="1">
        <f t="array" ref="K831">sentimentCalc(C831)</f>
        <v>0</v>
      </c>
      <c r="L831" t="str" cm="1">
        <f t="array" ref="L831">sentimentCategory(K831)</f>
        <v>Neutral</v>
      </c>
    </row>
    <row r="832" spans="1:12" x14ac:dyDescent="0.25">
      <c r="A832" t="s">
        <v>2786</v>
      </c>
      <c r="B832" t="s">
        <v>4097</v>
      </c>
      <c r="C832" t="str" cm="1">
        <f t="array" ref="C832">CleanText(B832)</f>
        <v>n</v>
      </c>
      <c r="D832">
        <v>0</v>
      </c>
      <c r="E832">
        <v>0</v>
      </c>
      <c r="F832" t="s">
        <v>10</v>
      </c>
      <c r="G832" t="str" cm="1">
        <f t="array" ref="G832">FindCountryName(F832)</f>
        <v>None</v>
      </c>
      <c r="H832" s="3">
        <v>45142.918611111112</v>
      </c>
      <c r="I832" s="3">
        <v>45142.918611111112</v>
      </c>
      <c r="J832" s="3">
        <v>45056.640648148146</v>
      </c>
      <c r="K832" cm="1">
        <f t="array" ref="K832">sentimentCalc(C832)</f>
        <v>0</v>
      </c>
      <c r="L832" t="str" cm="1">
        <f t="array" ref="L832">sentimentCategory(K832)</f>
        <v>Neutral</v>
      </c>
    </row>
    <row r="833" spans="1:12" x14ac:dyDescent="0.25">
      <c r="A833" t="s">
        <v>45</v>
      </c>
      <c r="B833" t="s">
        <v>2690</v>
      </c>
      <c r="C833" t="str" cm="1">
        <f t="array" ref="C833">CleanText(B833)</f>
        <v>stupid barbie  looool</v>
      </c>
      <c r="D833">
        <v>0</v>
      </c>
      <c r="E833">
        <v>0</v>
      </c>
      <c r="F833" t="s">
        <v>10</v>
      </c>
      <c r="G833" t="str" cm="1">
        <f t="array" ref="G833">FindCountryName(F833)</f>
        <v>None</v>
      </c>
      <c r="H833" s="3">
        <v>45160.082905092589</v>
      </c>
      <c r="I833" s="3">
        <v>45160.082905092589</v>
      </c>
      <c r="J833" s="3">
        <v>45037.335312499999</v>
      </c>
      <c r="K833" cm="1">
        <f t="array" ref="K833">sentimentCalc(C833)</f>
        <v>-2</v>
      </c>
      <c r="L833" t="str" cm="1">
        <f t="array" ref="L833">sentimentCategory(K833)</f>
        <v>Negative</v>
      </c>
    </row>
    <row r="834" spans="1:12" x14ac:dyDescent="0.25">
      <c r="A834" t="s">
        <v>209</v>
      </c>
      <c r="B834" t="s">
        <v>258</v>
      </c>
      <c r="C834" t="str" cm="1">
        <f t="array" ref="C834">CleanText(B834)</f>
        <v>to this day i dont get why he agreed to plan this role like me all the people born in the mid s think that hes sooo not the guy to play ken havent watched the movie  dont intend to no need to ruin the memories of barbie with a film</v>
      </c>
      <c r="D834">
        <v>0</v>
      </c>
      <c r="E834">
        <v>0</v>
      </c>
      <c r="F834" t="s">
        <v>10</v>
      </c>
      <c r="G834" t="str" cm="1">
        <f t="array" ref="G834">FindCountryName(F834)</f>
        <v>None</v>
      </c>
      <c r="H834" s="3">
        <v>45324.833020833335</v>
      </c>
      <c r="I834" s="3">
        <v>45324.833020833335</v>
      </c>
      <c r="J834" s="3">
        <v>40772.427002314813</v>
      </c>
      <c r="K834" cm="1">
        <f t="array" ref="K834">sentimentCalc(C834)</f>
        <v>0</v>
      </c>
      <c r="L834" t="str" cm="1">
        <f t="array" ref="L834">sentimentCategory(K834)</f>
        <v>Neutral</v>
      </c>
    </row>
    <row r="835" spans="1:12" x14ac:dyDescent="0.25">
      <c r="A835" t="s">
        <v>587</v>
      </c>
      <c r="B835" t="s">
        <v>588</v>
      </c>
      <c r="C835" t="str" cm="1">
        <f t="array" ref="C835">CleanText(B835)</f>
        <v>ok gzel</v>
      </c>
      <c r="D835">
        <v>0</v>
      </c>
      <c r="E835">
        <v>0</v>
      </c>
      <c r="F835" t="s">
        <v>10</v>
      </c>
      <c r="G835" t="str" cm="1">
        <f t="array" ref="G835">FindCountryName(F835)</f>
        <v>None</v>
      </c>
      <c r="H835" s="3">
        <v>45317.271550925929</v>
      </c>
      <c r="I835" s="3">
        <v>45317.271550925929</v>
      </c>
      <c r="J835" s="3">
        <v>45133.632581018515</v>
      </c>
      <c r="K835" cm="1">
        <f t="array" ref="K835">sentimentCalc(C835)</f>
        <v>0</v>
      </c>
      <c r="L835" t="str" cm="1">
        <f t="array" ref="L835">sentimentCategory(K835)</f>
        <v>Neutral</v>
      </c>
    </row>
    <row r="836" spans="1:12" x14ac:dyDescent="0.25">
      <c r="A836" t="s">
        <v>1215</v>
      </c>
      <c r="B836" t="s">
        <v>2289</v>
      </c>
      <c r="C836" t="str" cm="1">
        <f t="array" ref="C836">CleanText(B836)</f>
        <v>n</v>
      </c>
      <c r="D836">
        <v>0</v>
      </c>
      <c r="E836">
        <v>0</v>
      </c>
      <c r="F836" t="s">
        <v>10</v>
      </c>
      <c r="G836" t="str" cm="1">
        <f t="array" ref="G836">FindCountryName(F836)</f>
        <v>None</v>
      </c>
      <c r="H836" s="3">
        <v>45172.67628472222</v>
      </c>
      <c r="I836" s="3">
        <v>45172.67628472222</v>
      </c>
      <c r="J836" s="3">
        <v>44758.404467592591</v>
      </c>
      <c r="K836" cm="1">
        <f t="array" ref="K836">sentimentCalc(C836)</f>
        <v>0</v>
      </c>
      <c r="L836" t="str" cm="1">
        <f t="array" ref="L836">sentimentCategory(K836)</f>
        <v>Neutral</v>
      </c>
    </row>
    <row r="837" spans="1:12" x14ac:dyDescent="0.25">
      <c r="A837" t="s">
        <v>112</v>
      </c>
      <c r="B837" t="s">
        <v>3155</v>
      </c>
      <c r="C837" t="str" cm="1">
        <f t="array" ref="C837">CleanText(B837)</f>
        <v>n</v>
      </c>
      <c r="D837">
        <v>0</v>
      </c>
      <c r="E837">
        <v>0</v>
      </c>
      <c r="F837" t="s">
        <v>10</v>
      </c>
      <c r="G837" t="str" cm="1">
        <f t="array" ref="G837">FindCountryName(F837)</f>
        <v>None</v>
      </c>
      <c r="H837" s="3">
        <v>45152.621689814812</v>
      </c>
      <c r="I837" s="3">
        <v>45152.621689814812</v>
      </c>
      <c r="J837" s="3">
        <v>42495.721319444441</v>
      </c>
      <c r="K837" cm="1">
        <f t="array" ref="K837">sentimentCalc(C837)</f>
        <v>0</v>
      </c>
      <c r="L837" t="str" cm="1">
        <f t="array" ref="L837">sentimentCategory(K837)</f>
        <v>Neutral</v>
      </c>
    </row>
    <row r="838" spans="1:12" x14ac:dyDescent="0.25">
      <c r="A838" t="s">
        <v>1008</v>
      </c>
      <c r="B838" t="s">
        <v>2362</v>
      </c>
      <c r="C838" t="str" cm="1">
        <f t="array" ref="C838">CleanText(B838)</f>
        <v>n</v>
      </c>
      <c r="D838">
        <v>0</v>
      </c>
      <c r="E838">
        <v>0</v>
      </c>
      <c r="F838" t="s">
        <v>10</v>
      </c>
      <c r="G838" t="str" cm="1">
        <f t="array" ref="G838">FindCountryName(F838)</f>
        <v>None</v>
      </c>
      <c r="H838" s="3">
        <v>45170.580868055556</v>
      </c>
      <c r="I838" s="3">
        <v>45170.580868055556</v>
      </c>
      <c r="J838" s="3">
        <v>44394.257048611114</v>
      </c>
      <c r="K838" cm="1">
        <f t="array" ref="K838">sentimentCalc(C838)</f>
        <v>0</v>
      </c>
      <c r="L838" t="str" cm="1">
        <f t="array" ref="L838">sentimentCategory(K838)</f>
        <v>Neutral</v>
      </c>
    </row>
    <row r="839" spans="1:12" x14ac:dyDescent="0.25">
      <c r="A839" t="s">
        <v>118</v>
      </c>
      <c r="B839" t="s">
        <v>3932</v>
      </c>
      <c r="C839" t="str" cm="1">
        <f t="array" ref="C839">CleanText(B839)</f>
        <v>n</v>
      </c>
      <c r="D839">
        <v>0</v>
      </c>
      <c r="E839">
        <v>1</v>
      </c>
      <c r="F839" t="s">
        <v>10</v>
      </c>
      <c r="G839" t="str" cm="1">
        <f t="array" ref="G839">FindCountryName(F839)</f>
        <v>None</v>
      </c>
      <c r="H839" s="3">
        <v>45144.427615740744</v>
      </c>
      <c r="I839" s="3">
        <v>45144.427615740744</v>
      </c>
      <c r="J839" s="3">
        <v>44323.935763888891</v>
      </c>
      <c r="K839" cm="1">
        <f t="array" ref="K839">sentimentCalc(C839)</f>
        <v>0</v>
      </c>
      <c r="L839" t="str" cm="1">
        <f t="array" ref="L839">sentimentCategory(K839)</f>
        <v>Neutral</v>
      </c>
    </row>
    <row r="840" spans="1:12" x14ac:dyDescent="0.25">
      <c r="A840" t="s">
        <v>2829</v>
      </c>
      <c r="B840" t="s">
        <v>2830</v>
      </c>
      <c r="C840" t="str" cm="1">
        <f t="array" ref="C840">CleanText(B840)</f>
        <v>n</v>
      </c>
      <c r="D840">
        <v>0</v>
      </c>
      <c r="E840">
        <v>0</v>
      </c>
      <c r="F840" t="s">
        <v>10</v>
      </c>
      <c r="G840" t="str" cm="1">
        <f t="array" ref="G840">FindCountryName(F840)</f>
        <v>None</v>
      </c>
      <c r="H840" s="3">
        <v>45157.039583333331</v>
      </c>
      <c r="I840" s="3">
        <v>45157.039583333331</v>
      </c>
      <c r="J840" s="3">
        <v>45074.126458333332</v>
      </c>
      <c r="K840" cm="1">
        <f t="array" ref="K840">sentimentCalc(C840)</f>
        <v>0</v>
      </c>
      <c r="L840" t="str" cm="1">
        <f t="array" ref="L840">sentimentCategory(K840)</f>
        <v>Neutral</v>
      </c>
    </row>
    <row r="841" spans="1:12" x14ac:dyDescent="0.25">
      <c r="A841" t="s">
        <v>322</v>
      </c>
      <c r="B841" t="s">
        <v>4254</v>
      </c>
      <c r="C841" t="str" cm="1">
        <f t="array" ref="C841">CleanText(B841)</f>
        <v>n</v>
      </c>
      <c r="D841">
        <v>1</v>
      </c>
      <c r="E841">
        <v>0</v>
      </c>
      <c r="F841" t="s">
        <v>10</v>
      </c>
      <c r="G841" t="str" cm="1">
        <f t="array" ref="G841">FindCountryName(F841)</f>
        <v>None</v>
      </c>
      <c r="H841" s="3">
        <v>45141.451701388891</v>
      </c>
      <c r="I841" s="3">
        <v>45141.451701388891</v>
      </c>
      <c r="J841" s="3">
        <v>44568.265520833331</v>
      </c>
      <c r="K841" cm="1">
        <f t="array" ref="K841">sentimentCalc(C841)</f>
        <v>0</v>
      </c>
      <c r="L841" t="str" cm="1">
        <f t="array" ref="L841">sentimentCategory(K841)</f>
        <v>Neutral</v>
      </c>
    </row>
    <row r="842" spans="1:12" x14ac:dyDescent="0.25">
      <c r="A842" t="s">
        <v>442</v>
      </c>
      <c r="B842" t="s">
        <v>2857</v>
      </c>
      <c r="C842" t="str" cm="1">
        <f t="array" ref="C842">CleanText(B842)</f>
        <v>this movie is epic so good good job margot robbie</v>
      </c>
      <c r="D842">
        <v>11</v>
      </c>
      <c r="E842">
        <v>0</v>
      </c>
      <c r="F842" t="s">
        <v>10</v>
      </c>
      <c r="G842" t="str" cm="1">
        <f t="array" ref="G842">FindCountryName(F842)</f>
        <v>None</v>
      </c>
      <c r="H842" s="3">
        <v>45156.806180555555</v>
      </c>
      <c r="I842" s="3">
        <v>45156.806168981479</v>
      </c>
      <c r="J842" s="3">
        <v>44488.11378472222</v>
      </c>
      <c r="K842" cm="1">
        <f t="array" ref="K842">sentimentCalc(C842)</f>
        <v>6</v>
      </c>
      <c r="L842" t="str" cm="1">
        <f t="array" ref="L842">sentimentCategory(K842)</f>
        <v>Positive</v>
      </c>
    </row>
    <row r="843" spans="1:12" x14ac:dyDescent="0.25">
      <c r="A843" t="s">
        <v>618</v>
      </c>
      <c r="B843" t="s">
        <v>3409</v>
      </c>
      <c r="C843" t="str" cm="1">
        <f t="array" ref="C843">CleanText(B843)</f>
        <v>l love barbie l want that movie</v>
      </c>
      <c r="D843">
        <v>0</v>
      </c>
      <c r="E843">
        <v>0</v>
      </c>
      <c r="F843" t="s">
        <v>10</v>
      </c>
      <c r="G843" t="str" cm="1">
        <f t="array" ref="G843">FindCountryName(F843)</f>
        <v>None</v>
      </c>
      <c r="H843" s="3">
        <v>45149.226342592592</v>
      </c>
      <c r="I843" s="3">
        <v>45149.226342592592</v>
      </c>
      <c r="J843" s="3">
        <v>44966.98746527778</v>
      </c>
      <c r="K843" cm="1">
        <f t="array" ref="K843">sentimentCalc(C843)</f>
        <v>4</v>
      </c>
      <c r="L843" t="str" cm="1">
        <f t="array" ref="L843">sentimentCategory(K843)</f>
        <v>Positive</v>
      </c>
    </row>
    <row r="844" spans="1:12" x14ac:dyDescent="0.25">
      <c r="A844" t="s">
        <v>932</v>
      </c>
      <c r="B844" t="s">
        <v>1927</v>
      </c>
      <c r="C844" t="str" cm="1">
        <f t="array" ref="C844">CleanText(B844)</f>
        <v>muito bom legal</v>
      </c>
      <c r="D844">
        <v>0</v>
      </c>
      <c r="E844">
        <v>0</v>
      </c>
      <c r="F844" t="s">
        <v>10</v>
      </c>
      <c r="G844" t="str" cm="1">
        <f t="array" ref="G844">FindCountryName(F844)</f>
        <v>None</v>
      </c>
      <c r="H844" s="3">
        <v>45187.558645833335</v>
      </c>
      <c r="I844" s="3">
        <v>45187.558634259258</v>
      </c>
      <c r="J844" s="3">
        <v>44976.866307870368</v>
      </c>
      <c r="K844" cm="1">
        <f t="array" ref="K844">sentimentCalc(C844)</f>
        <v>1</v>
      </c>
      <c r="L844" t="str" cm="1">
        <f t="array" ref="L844">sentimentCategory(K844)</f>
        <v>Positive</v>
      </c>
    </row>
    <row r="845" spans="1:12" x14ac:dyDescent="0.25">
      <c r="A845" t="s">
        <v>707</v>
      </c>
      <c r="B845" t="s">
        <v>3816</v>
      </c>
      <c r="C845" t="str" cm="1">
        <f t="array" ref="C845">CleanText(B845)</f>
        <v>omg  im so glad im an adult instead of leaving a fantasy land like i live in reality these comments hilarious im glad ill save my money and spend it on more important things the waste my money ridiculous movies</v>
      </c>
      <c r="D845">
        <v>2</v>
      </c>
      <c r="E845">
        <v>0</v>
      </c>
      <c r="F845" t="s">
        <v>10</v>
      </c>
      <c r="G845" t="str" cm="1">
        <f t="array" ref="G845">FindCountryName(F845)</f>
        <v>None</v>
      </c>
      <c r="H845" s="3">
        <v>45145.298229166663</v>
      </c>
      <c r="I845" s="3">
        <v>45145.299502314818</v>
      </c>
      <c r="J845" s="3">
        <v>41292.976354166669</v>
      </c>
      <c r="K845" cm="1">
        <f t="array" ref="K845">sentimentCalc(C845)</f>
        <v>8</v>
      </c>
      <c r="L845" t="str" cm="1">
        <f t="array" ref="L845">sentimentCategory(K845)</f>
        <v>Positive</v>
      </c>
    </row>
    <row r="846" spans="1:12" x14ac:dyDescent="0.25">
      <c r="A846" t="s">
        <v>2489</v>
      </c>
      <c r="B846" t="s">
        <v>2490</v>
      </c>
      <c r="C846" t="str" cm="1">
        <f t="array" ref="C846">CleanText(B846)</f>
        <v>llll</v>
      </c>
      <c r="D846">
        <v>0</v>
      </c>
      <c r="E846">
        <v>0</v>
      </c>
      <c r="F846" t="s">
        <v>10</v>
      </c>
      <c r="G846" t="str" cm="1">
        <f t="array" ref="G846">FindCountryName(F846)</f>
        <v>None</v>
      </c>
      <c r="H846" s="3">
        <v>45165.315682870372</v>
      </c>
      <c r="I846" s="3">
        <v>45165.315682870372</v>
      </c>
      <c r="J846" s="3">
        <v>44937.180636574078</v>
      </c>
      <c r="K846" cm="1">
        <f t="array" ref="K846">sentimentCalc(C846)</f>
        <v>0</v>
      </c>
      <c r="L846" t="str" cm="1">
        <f t="array" ref="L846">sentimentCategory(K846)</f>
        <v>Neutral</v>
      </c>
    </row>
    <row r="847" spans="1:12" x14ac:dyDescent="0.25">
      <c r="A847" t="s">
        <v>313</v>
      </c>
      <c r="B847" t="s">
        <v>3184</v>
      </c>
      <c r="C847" t="str" cm="1">
        <f t="array" ref="C847">CleanText(B847)</f>
        <v>n</v>
      </c>
      <c r="D847">
        <v>2</v>
      </c>
      <c r="E847">
        <v>0</v>
      </c>
      <c r="F847" t="s">
        <v>10</v>
      </c>
      <c r="G847" t="str" cm="1">
        <f t="array" ref="G847">FindCountryName(F847)</f>
        <v>None</v>
      </c>
      <c r="H847" s="3">
        <v>45152.199259259258</v>
      </c>
      <c r="I847" s="3">
        <v>45152.199259259258</v>
      </c>
      <c r="J847" s="3">
        <v>45116.7422337963</v>
      </c>
      <c r="K847" cm="1">
        <f t="array" ref="K847">sentimentCalc(C847)</f>
        <v>0</v>
      </c>
      <c r="L847" t="str" cm="1">
        <f t="array" ref="L847">sentimentCategory(K847)</f>
        <v>Neutral</v>
      </c>
    </row>
    <row r="848" spans="1:12" x14ac:dyDescent="0.25">
      <c r="A848" t="s">
        <v>114</v>
      </c>
      <c r="B848" t="s">
        <v>2352</v>
      </c>
      <c r="C848" t="str" cm="1">
        <f t="array" ref="C848">CleanText(B848)</f>
        <v>n</v>
      </c>
      <c r="D848">
        <v>1</v>
      </c>
      <c r="E848">
        <v>0</v>
      </c>
      <c r="F848" t="s">
        <v>10</v>
      </c>
      <c r="G848" t="str" cm="1">
        <f t="array" ref="G848">FindCountryName(F848)</f>
        <v>None</v>
      </c>
      <c r="H848" s="3">
        <v>45171.279270833336</v>
      </c>
      <c r="I848" s="3">
        <v>45171.279270833336</v>
      </c>
      <c r="J848" s="3">
        <v>42760.344953703701</v>
      </c>
      <c r="K848" cm="1">
        <f t="array" ref="K848">sentimentCalc(C848)</f>
        <v>0</v>
      </c>
      <c r="L848" t="str" cm="1">
        <f t="array" ref="L848">sentimentCategory(K848)</f>
        <v>Neutral</v>
      </c>
    </row>
    <row r="849" spans="1:12" x14ac:dyDescent="0.25">
      <c r="A849" t="s">
        <v>620</v>
      </c>
      <c r="B849" t="s">
        <v>2294</v>
      </c>
      <c r="C849" t="str" cm="1">
        <f t="array" ref="C849">CleanText(B849)</f>
        <v>n</v>
      </c>
      <c r="D849">
        <v>1</v>
      </c>
      <c r="E849">
        <v>0</v>
      </c>
      <c r="F849" t="s">
        <v>10</v>
      </c>
      <c r="G849" t="str" cm="1">
        <f t="array" ref="G849">FindCountryName(F849)</f>
        <v>None</v>
      </c>
      <c r="H849" s="3">
        <v>45172.542939814812</v>
      </c>
      <c r="I849" s="3">
        <v>45172.542939814812</v>
      </c>
      <c r="J849" s="3">
        <v>45152.515173611115</v>
      </c>
      <c r="K849" cm="1">
        <f t="array" ref="K849">sentimentCalc(C849)</f>
        <v>0</v>
      </c>
      <c r="L849" t="str" cm="1">
        <f t="array" ref="L849">sentimentCategory(K849)</f>
        <v>Neutral</v>
      </c>
    </row>
    <row r="850" spans="1:12" x14ac:dyDescent="0.25">
      <c r="A850" t="s">
        <v>1195</v>
      </c>
      <c r="B850" t="s">
        <v>2143</v>
      </c>
      <c r="C850" t="str" cm="1">
        <f t="array" ref="C850">CleanText(B850)</f>
        <v>n</v>
      </c>
      <c r="D850">
        <v>0</v>
      </c>
      <c r="E850">
        <v>0</v>
      </c>
      <c r="F850" t="s">
        <v>1073</v>
      </c>
      <c r="G850" t="str" cm="1">
        <f t="array" ref="G850">FindCountryName(F850)</f>
        <v>India</v>
      </c>
      <c r="H850" s="3">
        <v>45178.657164351855</v>
      </c>
      <c r="I850" s="3">
        <v>45178.657152777778</v>
      </c>
      <c r="J850" s="3">
        <v>43022.524247685185</v>
      </c>
      <c r="K850" cm="1">
        <f t="array" ref="K850">sentimentCalc(C850)</f>
        <v>0</v>
      </c>
      <c r="L850" t="str" cm="1">
        <f t="array" ref="L850">sentimentCategory(K850)</f>
        <v>Neutral</v>
      </c>
    </row>
    <row r="851" spans="1:12" x14ac:dyDescent="0.25">
      <c r="A851" t="s">
        <v>60</v>
      </c>
      <c r="B851" t="s">
        <v>2955</v>
      </c>
      <c r="C851" t="str" cm="1">
        <f t="array" ref="C851">CleanText(B851)</f>
        <v>n</v>
      </c>
      <c r="D851">
        <v>0</v>
      </c>
      <c r="E851">
        <v>0</v>
      </c>
      <c r="F851" t="s">
        <v>10</v>
      </c>
      <c r="G851" t="str" cm="1">
        <f t="array" ref="G851">FindCountryName(F851)</f>
        <v>None</v>
      </c>
      <c r="H851" s="3">
        <v>45155.495949074073</v>
      </c>
      <c r="I851" s="3">
        <v>45155.495937500003</v>
      </c>
      <c r="J851" s="3">
        <v>44581.381504629629</v>
      </c>
      <c r="K851" cm="1">
        <f t="array" ref="K851">sentimentCalc(C851)</f>
        <v>0</v>
      </c>
      <c r="L851" t="str" cm="1">
        <f t="array" ref="L851">sentimentCategory(K851)</f>
        <v>Neutral</v>
      </c>
    </row>
    <row r="852" spans="1:12" x14ac:dyDescent="0.25">
      <c r="A852" t="s">
        <v>773</v>
      </c>
      <c r="B852" t="s">
        <v>2416</v>
      </c>
      <c r="C852" t="str" cm="1">
        <f t="array" ref="C852">CleanText(B852)</f>
        <v>n</v>
      </c>
      <c r="D852">
        <v>0</v>
      </c>
      <c r="E852">
        <v>0</v>
      </c>
      <c r="F852" t="s">
        <v>10</v>
      </c>
      <c r="G852" t="str" cm="1">
        <f t="array" ref="G852">FindCountryName(F852)</f>
        <v>None</v>
      </c>
      <c r="H852" s="3">
        <v>45168.264282407406</v>
      </c>
      <c r="I852" s="3">
        <v>45168.264282407406</v>
      </c>
      <c r="J852" s="3">
        <v>45105.17763888889</v>
      </c>
      <c r="K852" cm="1">
        <f t="array" ref="K852">sentimentCalc(C852)</f>
        <v>0</v>
      </c>
      <c r="L852" t="str" cm="1">
        <f t="array" ref="L852">sentimentCategory(K852)</f>
        <v>Neutral</v>
      </c>
    </row>
    <row r="853" spans="1:12" x14ac:dyDescent="0.25">
      <c r="A853" t="s">
        <v>609</v>
      </c>
      <c r="B853" t="s">
        <v>2120</v>
      </c>
      <c r="C853" t="str" cm="1">
        <f t="array" ref="C853">CleanText(B853)</f>
        <v>n</v>
      </c>
      <c r="D853">
        <v>0</v>
      </c>
      <c r="E853">
        <v>0</v>
      </c>
      <c r="F853" t="s">
        <v>10</v>
      </c>
      <c r="G853" t="str" cm="1">
        <f t="array" ref="G853">FindCountryName(F853)</f>
        <v>None</v>
      </c>
      <c r="H853" s="3">
        <v>45179.820057870369</v>
      </c>
      <c r="I853" s="3">
        <v>45179.820057870369</v>
      </c>
      <c r="J853" s="3">
        <v>42636.303217592591</v>
      </c>
      <c r="K853" cm="1">
        <f t="array" ref="K853">sentimentCalc(C853)</f>
        <v>0</v>
      </c>
      <c r="L853" t="str" cm="1">
        <f t="array" ref="L853">sentimentCategory(K853)</f>
        <v>Neutral</v>
      </c>
    </row>
    <row r="854" spans="1:12" x14ac:dyDescent="0.25">
      <c r="A854" t="s">
        <v>1057</v>
      </c>
      <c r="B854" t="s">
        <v>2343</v>
      </c>
      <c r="C854" t="str" cm="1">
        <f t="array" ref="C854">CleanText(B854)</f>
        <v>n</v>
      </c>
      <c r="D854">
        <v>0</v>
      </c>
      <c r="E854">
        <v>0</v>
      </c>
      <c r="F854" t="s">
        <v>227</v>
      </c>
      <c r="G854" t="str" cm="1">
        <f t="array" ref="G854">FindCountryName(F854)</f>
        <v>United States of America (the)</v>
      </c>
      <c r="H854" s="3">
        <v>45171.508888888886</v>
      </c>
      <c r="I854" s="3">
        <v>45171.508888888886</v>
      </c>
      <c r="J854" s="3">
        <v>45161.193726851852</v>
      </c>
      <c r="K854" cm="1">
        <f t="array" ref="K854">sentimentCalc(C854)</f>
        <v>0</v>
      </c>
      <c r="L854" t="str" cm="1">
        <f t="array" ref="L854">sentimentCategory(K854)</f>
        <v>Neutral</v>
      </c>
    </row>
    <row r="855" spans="1:12" x14ac:dyDescent="0.25">
      <c r="A855" t="s">
        <v>213</v>
      </c>
      <c r="B855" t="s">
        <v>2572</v>
      </c>
      <c r="C855" t="str" cm="1">
        <f t="array" ref="C855">CleanText(B855)</f>
        <v>n</v>
      </c>
      <c r="D855">
        <v>0</v>
      </c>
      <c r="E855">
        <v>0</v>
      </c>
      <c r="F855" t="s">
        <v>10</v>
      </c>
      <c r="G855" t="str" cm="1">
        <f t="array" ref="G855">FindCountryName(F855)</f>
        <v>None</v>
      </c>
      <c r="H855" s="3">
        <v>45162.835219907407</v>
      </c>
      <c r="I855" s="3">
        <v>45162.835219907407</v>
      </c>
      <c r="J855" s="3">
        <v>44766.884641203702</v>
      </c>
      <c r="K855" cm="1">
        <f t="array" ref="K855">sentimentCalc(C855)</f>
        <v>0</v>
      </c>
      <c r="L855" t="str" cm="1">
        <f t="array" ref="L855">sentimentCategory(K855)</f>
        <v>Neutral</v>
      </c>
    </row>
    <row r="856" spans="1:12" x14ac:dyDescent="0.25">
      <c r="A856" t="s">
        <v>773</v>
      </c>
      <c r="B856" t="s">
        <v>2415</v>
      </c>
      <c r="C856" t="str" cm="1">
        <f t="array" ref="C856">CleanText(B856)</f>
        <v>sdhkon sdrb barbie</v>
      </c>
      <c r="D856">
        <v>0</v>
      </c>
      <c r="E856">
        <v>0</v>
      </c>
      <c r="F856" t="s">
        <v>10</v>
      </c>
      <c r="G856" t="str" cm="1">
        <f t="array" ref="G856">FindCountryName(F856)</f>
        <v>None</v>
      </c>
      <c r="H856" s="3">
        <v>45168.269224537034</v>
      </c>
      <c r="I856" s="3">
        <v>45168.269224537034</v>
      </c>
      <c r="J856" s="3">
        <v>45105.17763888889</v>
      </c>
      <c r="K856" cm="1">
        <f t="array" ref="K856">sentimentCalc(C856)</f>
        <v>0</v>
      </c>
      <c r="L856" t="str" cm="1">
        <f t="array" ref="L856">sentimentCategory(K856)</f>
        <v>Neutral</v>
      </c>
    </row>
    <row r="857" spans="1:12" x14ac:dyDescent="0.25">
      <c r="A857" t="s">
        <v>256</v>
      </c>
      <c r="B857" t="s">
        <v>2153</v>
      </c>
      <c r="C857" t="str" cm="1">
        <f t="array" ref="C857">CleanText(B857)</f>
        <v>n</v>
      </c>
      <c r="D857">
        <v>0</v>
      </c>
      <c r="E857">
        <v>0</v>
      </c>
      <c r="F857" t="s">
        <v>10</v>
      </c>
      <c r="G857" t="str" cm="1">
        <f t="array" ref="G857">FindCountryName(F857)</f>
        <v>None</v>
      </c>
      <c r="H857" s="3">
        <v>45177.688680555555</v>
      </c>
      <c r="I857" s="3">
        <v>45177.688680555555</v>
      </c>
      <c r="J857" s="3">
        <v>43997.063020833331</v>
      </c>
      <c r="K857" cm="1">
        <f t="array" ref="K857">sentimentCalc(C857)</f>
        <v>0</v>
      </c>
      <c r="L857" t="str" cm="1">
        <f t="array" ref="L857">sentimentCategory(K857)</f>
        <v>Neutral</v>
      </c>
    </row>
    <row r="858" spans="1:12" x14ac:dyDescent="0.25">
      <c r="A858" t="s">
        <v>3845</v>
      </c>
      <c r="B858" t="s">
        <v>3846</v>
      </c>
      <c r="C858" t="str" cm="1">
        <f t="array" ref="C858">CleanText(B858)</f>
        <v>congratulations on barbies box office hit  billion</v>
      </c>
      <c r="D858">
        <v>0</v>
      </c>
      <c r="E858">
        <v>0</v>
      </c>
      <c r="F858" t="s">
        <v>10</v>
      </c>
      <c r="G858" t="str" cm="1">
        <f t="array" ref="G858">FindCountryName(F858)</f>
        <v>None</v>
      </c>
      <c r="H858" s="3">
        <v>45145.032731481479</v>
      </c>
      <c r="I858" s="3">
        <v>45145.032731481479</v>
      </c>
      <c r="J858" s="3">
        <v>43359.882534722223</v>
      </c>
      <c r="K858" cm="1">
        <f t="array" ref="K858">sentimentCalc(C858)</f>
        <v>2</v>
      </c>
      <c r="L858" t="str" cm="1">
        <f t="array" ref="L858">sentimentCategory(K858)</f>
        <v>Positive</v>
      </c>
    </row>
    <row r="859" spans="1:12" x14ac:dyDescent="0.25">
      <c r="A859" t="s">
        <v>720</v>
      </c>
      <c r="B859" t="s">
        <v>721</v>
      </c>
      <c r="C859" t="str" cm="1">
        <f t="array" ref="C859">CleanText(B859)</f>
        <v>n</v>
      </c>
      <c r="D859">
        <v>0</v>
      </c>
      <c r="E859">
        <v>0</v>
      </c>
      <c r="F859" t="s">
        <v>10</v>
      </c>
      <c r="G859" t="str" cm="1">
        <f t="array" ref="G859">FindCountryName(F859)</f>
        <v>None</v>
      </c>
      <c r="H859" s="3">
        <v>45310.411377314813</v>
      </c>
      <c r="I859" s="3">
        <v>45310.411377314813</v>
      </c>
      <c r="J859" s="3">
        <v>41995.749699074076</v>
      </c>
      <c r="K859" cm="1">
        <f t="array" ref="K859">sentimentCalc(C859)</f>
        <v>0</v>
      </c>
      <c r="L859" t="str" cm="1">
        <f t="array" ref="L859">sentimentCategory(K859)</f>
        <v>Neutral</v>
      </c>
    </row>
    <row r="860" spans="1:12" x14ac:dyDescent="0.25">
      <c r="A860" t="s">
        <v>105</v>
      </c>
      <c r="B860" t="s">
        <v>3642</v>
      </c>
      <c r="C860" t="str" cm="1">
        <f t="array" ref="C860">CleanText(B860)</f>
        <v>n</v>
      </c>
      <c r="D860">
        <v>0</v>
      </c>
      <c r="E860">
        <v>0</v>
      </c>
      <c r="F860" t="s">
        <v>10</v>
      </c>
      <c r="G860" t="str" cm="1">
        <f t="array" ref="G860">FindCountryName(F860)</f>
        <v>None</v>
      </c>
      <c r="H860" s="3">
        <v>45146.877662037034</v>
      </c>
      <c r="I860" s="3">
        <v>45146.877662037034</v>
      </c>
      <c r="J860" s="3">
        <v>45119.881504629629</v>
      </c>
      <c r="K860" cm="1">
        <f t="array" ref="K860">sentimentCalc(C860)</f>
        <v>0</v>
      </c>
      <c r="L860" t="str" cm="1">
        <f t="array" ref="L860">sentimentCategory(K860)</f>
        <v>Neutral</v>
      </c>
    </row>
    <row r="861" spans="1:12" x14ac:dyDescent="0.25">
      <c r="A861" t="s">
        <v>105</v>
      </c>
      <c r="B861" t="s">
        <v>1030</v>
      </c>
      <c r="C861" t="str" cm="1">
        <f t="array" ref="C861">CleanText(B861)</f>
        <v>n</v>
      </c>
      <c r="D861">
        <v>0</v>
      </c>
      <c r="E861">
        <v>0</v>
      </c>
      <c r="F861" t="s">
        <v>10</v>
      </c>
      <c r="G861" t="str" cm="1">
        <f t="array" ref="G861">FindCountryName(F861)</f>
        <v>None</v>
      </c>
      <c r="H861" s="3">
        <v>45299.250127314815</v>
      </c>
      <c r="I861" s="3">
        <v>45299.250127314815</v>
      </c>
      <c r="J861" s="3">
        <v>45299.250104166669</v>
      </c>
      <c r="K861" cm="1">
        <f t="array" ref="K861">sentimentCalc(C861)</f>
        <v>0</v>
      </c>
      <c r="L861" t="str" cm="1">
        <f t="array" ref="L861">sentimentCategory(K861)</f>
        <v>Neutral</v>
      </c>
    </row>
    <row r="862" spans="1:12" x14ac:dyDescent="0.25">
      <c r="A862" t="s">
        <v>354</v>
      </c>
      <c r="B862" t="s">
        <v>3620</v>
      </c>
      <c r="C862" t="str" cm="1">
        <f t="array" ref="C862">CleanText(B862)</f>
        <v>n</v>
      </c>
      <c r="D862">
        <v>0</v>
      </c>
      <c r="E862">
        <v>0</v>
      </c>
      <c r="F862" t="s">
        <v>10</v>
      </c>
      <c r="G862" t="str" cm="1">
        <f t="array" ref="G862">FindCountryName(F862)</f>
        <v>None</v>
      </c>
      <c r="H862" s="3">
        <v>45147.044814814813</v>
      </c>
      <c r="I862" s="3">
        <v>45147.044814814813</v>
      </c>
      <c r="J862" s="3">
        <v>42828.591944444444</v>
      </c>
      <c r="K862" cm="1">
        <f t="array" ref="K862">sentimentCalc(C862)</f>
        <v>0</v>
      </c>
      <c r="L862" t="str" cm="1">
        <f t="array" ref="L862">sentimentCategory(K862)</f>
        <v>Neutral</v>
      </c>
    </row>
    <row r="863" spans="1:12" x14ac:dyDescent="0.25">
      <c r="A863" t="s">
        <v>3988</v>
      </c>
      <c r="B863" t="s">
        <v>3989</v>
      </c>
      <c r="C863" t="str" cm="1">
        <f t="array" ref="C863">CleanText(B863)</f>
        <v>n</v>
      </c>
      <c r="D863">
        <v>2</v>
      </c>
      <c r="E863">
        <v>0</v>
      </c>
      <c r="F863" t="s">
        <v>10</v>
      </c>
      <c r="G863" t="str" cm="1">
        <f t="array" ref="G863">FindCountryName(F863)</f>
        <v>None</v>
      </c>
      <c r="H863" s="3">
        <v>45143.944571759261</v>
      </c>
      <c r="I863" s="3">
        <v>45143.944571759261</v>
      </c>
      <c r="J863" s="3">
        <v>45060.40483796296</v>
      </c>
      <c r="K863" cm="1">
        <f t="array" ref="K863">sentimentCalc(C863)</f>
        <v>0</v>
      </c>
      <c r="L863" t="str" cm="1">
        <f t="array" ref="L863">sentimentCategory(K863)</f>
        <v>Neutral</v>
      </c>
    </row>
    <row r="864" spans="1:12" x14ac:dyDescent="0.25">
      <c r="A864" t="s">
        <v>737</v>
      </c>
      <c r="B864" t="s">
        <v>2396</v>
      </c>
      <c r="C864" t="str" cm="1">
        <f t="array" ref="C864">CleanText(B864)</f>
        <v>n</v>
      </c>
      <c r="D864">
        <v>2</v>
      </c>
      <c r="E864">
        <v>0</v>
      </c>
      <c r="F864" t="s">
        <v>10</v>
      </c>
      <c r="G864" t="str" cm="1">
        <f t="array" ref="G864">FindCountryName(F864)</f>
        <v>None</v>
      </c>
      <c r="H864" s="3">
        <v>45168.818680555552</v>
      </c>
      <c r="I864" s="3">
        <v>45168.818668981483</v>
      </c>
      <c r="J864" s="3">
        <v>44979.7656712963</v>
      </c>
      <c r="K864" cm="1">
        <f t="array" ref="K864">sentimentCalc(C864)</f>
        <v>0</v>
      </c>
      <c r="L864" t="str" cm="1">
        <f t="array" ref="L864">sentimentCategory(K864)</f>
        <v>Neutral</v>
      </c>
    </row>
    <row r="865" spans="1:12" x14ac:dyDescent="0.25">
      <c r="A865" t="s">
        <v>503</v>
      </c>
      <c r="B865" t="s">
        <v>4104</v>
      </c>
      <c r="C865" t="str" cm="1">
        <f t="array" ref="C865">CleanText(B865)</f>
        <v>n</v>
      </c>
      <c r="D865">
        <v>2</v>
      </c>
      <c r="E865">
        <v>0</v>
      </c>
      <c r="F865" t="s">
        <v>10</v>
      </c>
      <c r="G865" t="str" cm="1">
        <f t="array" ref="G865">FindCountryName(F865)</f>
        <v>None</v>
      </c>
      <c r="H865" s="3">
        <v>45142.864965277775</v>
      </c>
      <c r="I865" s="3">
        <v>45142.864965277775</v>
      </c>
      <c r="J865" s="3">
        <v>40924.400277777779</v>
      </c>
      <c r="K865" cm="1">
        <f t="array" ref="K865">sentimentCalc(C865)</f>
        <v>0</v>
      </c>
      <c r="L865" t="str" cm="1">
        <f t="array" ref="L865">sentimentCategory(K865)</f>
        <v>Neutral</v>
      </c>
    </row>
    <row r="866" spans="1:12" x14ac:dyDescent="0.25">
      <c r="A866" t="s">
        <v>358</v>
      </c>
      <c r="B866" t="s">
        <v>3923</v>
      </c>
      <c r="C866" t="str" cm="1">
        <f t="array" ref="C866">CleanText(B866)</f>
        <v>n</v>
      </c>
      <c r="D866">
        <v>6</v>
      </c>
      <c r="E866">
        <v>0</v>
      </c>
      <c r="F866" t="s">
        <v>10</v>
      </c>
      <c r="G866" t="str" cm="1">
        <f t="array" ref="G866">FindCountryName(F866)</f>
        <v>None</v>
      </c>
      <c r="H866" s="3">
        <v>45144.46607638889</v>
      </c>
      <c r="I866" s="3">
        <v>45144.46607638889</v>
      </c>
      <c r="J866" s="3">
        <v>43845.266863425924</v>
      </c>
      <c r="K866" cm="1">
        <f t="array" ref="K866">sentimentCalc(C866)</f>
        <v>0</v>
      </c>
      <c r="L866" t="str" cm="1">
        <f t="array" ref="L866">sentimentCategory(K866)</f>
        <v>Neutral</v>
      </c>
    </row>
    <row r="867" spans="1:12" x14ac:dyDescent="0.25">
      <c r="A867" t="s">
        <v>358</v>
      </c>
      <c r="B867" t="s">
        <v>1121</v>
      </c>
      <c r="C867" t="str" cm="1">
        <f t="array" ref="C867">CleanText(B867)</f>
        <v>n</v>
      </c>
      <c r="D867">
        <v>0</v>
      </c>
      <c r="E867">
        <v>0</v>
      </c>
      <c r="F867" t="s">
        <v>10</v>
      </c>
      <c r="G867" t="str" cm="1">
        <f t="array" ref="G867">FindCountryName(F867)</f>
        <v>None</v>
      </c>
      <c r="H867" s="3">
        <v>45287.247777777775</v>
      </c>
      <c r="I867" s="3">
        <v>45287.247777777775</v>
      </c>
      <c r="J867" s="3">
        <v>43968.671469907407</v>
      </c>
      <c r="K867" cm="1">
        <f t="array" ref="K867">sentimentCalc(C867)</f>
        <v>0</v>
      </c>
      <c r="L867" t="str" cm="1">
        <f t="array" ref="L867">sentimentCategory(K867)</f>
        <v>Neutral</v>
      </c>
    </row>
    <row r="868" spans="1:12" x14ac:dyDescent="0.25">
      <c r="A868" t="s">
        <v>432</v>
      </c>
      <c r="B868" t="s">
        <v>2046</v>
      </c>
      <c r="C868" t="str" cm="1">
        <f t="array" ref="C868">CleanText(B868)</f>
        <v>n</v>
      </c>
      <c r="D868">
        <v>1</v>
      </c>
      <c r="E868">
        <v>0</v>
      </c>
      <c r="F868" t="s">
        <v>10</v>
      </c>
      <c r="G868" t="str" cm="1">
        <f t="array" ref="G868">FindCountryName(F868)</f>
        <v>None</v>
      </c>
      <c r="H868" s="3">
        <v>45182.836064814815</v>
      </c>
      <c r="I868" s="3">
        <v>45182.836064814815</v>
      </c>
      <c r="J868" s="3">
        <v>43158.61991898148</v>
      </c>
      <c r="K868" cm="1">
        <f t="array" ref="K868">sentimentCalc(C868)</f>
        <v>0</v>
      </c>
      <c r="L868" t="str" cm="1">
        <f t="array" ref="L868">sentimentCategory(K868)</f>
        <v>Neutral</v>
      </c>
    </row>
    <row r="869" spans="1:12" x14ac:dyDescent="0.25">
      <c r="A869" t="s">
        <v>20</v>
      </c>
      <c r="B869" t="s">
        <v>3780</v>
      </c>
      <c r="C869" t="str" cm="1">
        <f t="array" ref="C869">CleanText(B869)</f>
        <v>n</v>
      </c>
      <c r="D869">
        <v>0</v>
      </c>
      <c r="E869">
        <v>0</v>
      </c>
      <c r="F869" t="s">
        <v>10</v>
      </c>
      <c r="G869" t="str" cm="1">
        <f t="array" ref="G869">FindCountryName(F869)</f>
        <v>None</v>
      </c>
      <c r="H869" s="3">
        <v>45145.557604166665</v>
      </c>
      <c r="I869" s="3">
        <v>45145.557604166665</v>
      </c>
      <c r="J869" s="3">
        <v>44862.458958333336</v>
      </c>
      <c r="K869" cm="1">
        <f t="array" ref="K869">sentimentCalc(C869)</f>
        <v>0</v>
      </c>
      <c r="L869" t="str" cm="1">
        <f t="array" ref="L869">sentimentCategory(K869)</f>
        <v>Neutral</v>
      </c>
    </row>
    <row r="870" spans="1:12" x14ac:dyDescent="0.25">
      <c r="A870" t="s">
        <v>4264</v>
      </c>
      <c r="B870" t="s">
        <v>4265</v>
      </c>
      <c r="C870" t="str" cm="1">
        <f t="array" ref="C870">CleanText(B870)</f>
        <v>hi barbie</v>
      </c>
      <c r="D870">
        <v>0</v>
      </c>
      <c r="E870">
        <v>0</v>
      </c>
      <c r="F870" t="s">
        <v>10</v>
      </c>
      <c r="G870" t="str" cm="1">
        <f t="array" ref="G870">FindCountryName(F870)</f>
        <v>None</v>
      </c>
      <c r="H870" s="3">
        <v>45141.382905092592</v>
      </c>
      <c r="I870" s="3">
        <v>45141.382905092592</v>
      </c>
      <c r="J870" s="3">
        <v>44765.744201388887</v>
      </c>
      <c r="K870" cm="1">
        <f t="array" ref="K870">sentimentCalc(C870)</f>
        <v>0</v>
      </c>
      <c r="L870" t="str" cm="1">
        <f t="array" ref="L870">sentimentCategory(K870)</f>
        <v>Neutral</v>
      </c>
    </row>
    <row r="871" spans="1:12" x14ac:dyDescent="0.25">
      <c r="A871" t="s">
        <v>1912</v>
      </c>
      <c r="B871" t="s">
        <v>1913</v>
      </c>
      <c r="C871" t="str" cm="1">
        <f t="array" ref="C871">CleanText(B871)</f>
        <v>n</v>
      </c>
      <c r="D871">
        <v>0</v>
      </c>
      <c r="E871">
        <v>0</v>
      </c>
      <c r="F871" t="s">
        <v>10</v>
      </c>
      <c r="G871" t="str" cm="1">
        <f t="array" ref="G871">FindCountryName(F871)</f>
        <v>None</v>
      </c>
      <c r="H871" s="3">
        <v>45188.247719907406</v>
      </c>
      <c r="I871" s="3">
        <v>45188.247719907406</v>
      </c>
      <c r="J871" s="3">
        <v>45187.30091435185</v>
      </c>
      <c r="K871" cm="1">
        <f t="array" ref="K871">sentimentCalc(C871)</f>
        <v>0</v>
      </c>
      <c r="L871" t="str" cm="1">
        <f t="array" ref="L871">sentimentCategory(K871)</f>
        <v>Neutral</v>
      </c>
    </row>
    <row r="872" spans="1:12" x14ac:dyDescent="0.25">
      <c r="A872" t="s">
        <v>195</v>
      </c>
      <c r="B872" t="s">
        <v>3585</v>
      </c>
      <c r="C872" t="str" cm="1">
        <f t="array" ref="C872">CleanText(B872)</f>
        <v>n</v>
      </c>
      <c r="D872">
        <v>1</v>
      </c>
      <c r="E872">
        <v>1</v>
      </c>
      <c r="F872" t="s">
        <v>10</v>
      </c>
      <c r="G872" t="str" cm="1">
        <f t="array" ref="G872">FindCountryName(F872)</f>
        <v>None</v>
      </c>
      <c r="H872" s="3">
        <v>45147.400972222225</v>
      </c>
      <c r="I872" s="3">
        <v>45147.400972222225</v>
      </c>
      <c r="J872" s="3">
        <v>41185.667164351849</v>
      </c>
      <c r="K872" cm="1">
        <f t="array" ref="K872">sentimentCalc(C872)</f>
        <v>0</v>
      </c>
      <c r="L872" t="str" cm="1">
        <f t="array" ref="L872">sentimentCategory(K872)</f>
        <v>Neutral</v>
      </c>
    </row>
    <row r="873" spans="1:12" x14ac:dyDescent="0.25">
      <c r="A873" t="s">
        <v>197</v>
      </c>
      <c r="B873" t="s">
        <v>3174</v>
      </c>
      <c r="C873" t="str" cm="1">
        <f t="array" ref="C873">CleanText(B873)</f>
        <v>i forget very cringe this movie how can this movie the most watched movie</v>
      </c>
      <c r="D873">
        <v>4</v>
      </c>
      <c r="E873">
        <v>1</v>
      </c>
      <c r="F873" t="s">
        <v>10</v>
      </c>
      <c r="G873" t="str" cm="1">
        <f t="array" ref="G873">FindCountryName(F873)</f>
        <v>None</v>
      </c>
      <c r="H873" s="3">
        <v>45152.399756944447</v>
      </c>
      <c r="I873" s="3">
        <v>45152.599479166667</v>
      </c>
      <c r="J873" s="3">
        <v>41526.648206018515</v>
      </c>
      <c r="K873" cm="1">
        <f t="array" ref="K873">sentimentCalc(C873)</f>
        <v>-1</v>
      </c>
      <c r="L873" t="str" cm="1">
        <f t="array" ref="L873">sentimentCategory(K873)</f>
        <v>Negative</v>
      </c>
    </row>
    <row r="874" spans="1:12" x14ac:dyDescent="0.25">
      <c r="A874" t="s">
        <v>133</v>
      </c>
      <c r="B874" t="s">
        <v>2696</v>
      </c>
      <c r="C874" t="str" cm="1">
        <f t="array" ref="C874">CleanText(B874)</f>
        <v>n</v>
      </c>
      <c r="D874">
        <v>0</v>
      </c>
      <c r="E874">
        <v>0</v>
      </c>
      <c r="F874" t="s">
        <v>10</v>
      </c>
      <c r="G874" t="str" cm="1">
        <f t="array" ref="G874">FindCountryName(F874)</f>
        <v>None</v>
      </c>
      <c r="H874" s="3">
        <v>45159.754780092589</v>
      </c>
      <c r="I874" s="3">
        <v>45159.75476851852</v>
      </c>
      <c r="J874" s="3">
        <v>45070.808495370373</v>
      </c>
      <c r="K874" cm="1">
        <f t="array" ref="K874">sentimentCalc(C874)</f>
        <v>0</v>
      </c>
      <c r="L874" t="str" cm="1">
        <f t="array" ref="L874">sentimentCategory(K874)</f>
        <v>Neutral</v>
      </c>
    </row>
    <row r="875" spans="1:12" x14ac:dyDescent="0.25">
      <c r="A875" t="s">
        <v>1659</v>
      </c>
      <c r="B875" t="s">
        <v>2891</v>
      </c>
      <c r="C875" t="str" cm="1">
        <f t="array" ref="C875">CleanText(B875)</f>
        <v>n</v>
      </c>
      <c r="D875">
        <v>3</v>
      </c>
      <c r="E875">
        <v>0</v>
      </c>
      <c r="F875" t="s">
        <v>10</v>
      </c>
      <c r="G875" t="str" cm="1">
        <f t="array" ref="G875">FindCountryName(F875)</f>
        <v>None</v>
      </c>
      <c r="H875" s="3">
        <v>45156.359930555554</v>
      </c>
      <c r="I875" s="3">
        <v>45156.359930555554</v>
      </c>
      <c r="J875" s="3">
        <v>42728.69332175926</v>
      </c>
      <c r="K875" cm="1">
        <f t="array" ref="K875">sentimentCalc(C875)</f>
        <v>0</v>
      </c>
      <c r="L875" t="str" cm="1">
        <f t="array" ref="L875">sentimentCategory(K875)</f>
        <v>Neutral</v>
      </c>
    </row>
    <row r="876" spans="1:12" x14ac:dyDescent="0.25">
      <c r="A876" t="s">
        <v>171</v>
      </c>
      <c r="B876" t="s">
        <v>3151</v>
      </c>
      <c r="C876" t="str" cm="1">
        <f t="array" ref="C876">CleanText(B876)</f>
        <v>n</v>
      </c>
      <c r="D876">
        <v>4</v>
      </c>
      <c r="E876">
        <v>0</v>
      </c>
      <c r="F876" t="s">
        <v>10</v>
      </c>
      <c r="G876" t="str" cm="1">
        <f t="array" ref="G876">FindCountryName(F876)</f>
        <v>None</v>
      </c>
      <c r="H876" s="3">
        <v>45152.662974537037</v>
      </c>
      <c r="I876" s="3">
        <v>45152.662974537037</v>
      </c>
      <c r="J876" s="3">
        <v>44129.621400462966</v>
      </c>
      <c r="K876" cm="1">
        <f t="array" ref="K876">sentimentCalc(C876)</f>
        <v>0</v>
      </c>
      <c r="L876" t="str" cm="1">
        <f t="array" ref="L876">sentimentCategory(K876)</f>
        <v>Neutral</v>
      </c>
    </row>
    <row r="877" spans="1:12" x14ac:dyDescent="0.25">
      <c r="A877" t="s">
        <v>171</v>
      </c>
      <c r="B877" t="s">
        <v>3150</v>
      </c>
      <c r="C877" t="str" cm="1">
        <f t="array" ref="C877">CleanText(B877)</f>
        <v>n</v>
      </c>
      <c r="D877">
        <v>4</v>
      </c>
      <c r="E877">
        <v>0</v>
      </c>
      <c r="F877" t="s">
        <v>10</v>
      </c>
      <c r="G877" t="str" cm="1">
        <f t="array" ref="G877">FindCountryName(F877)</f>
        <v>None</v>
      </c>
      <c r="H877" s="3">
        <v>45152.664710648147</v>
      </c>
      <c r="I877" s="3">
        <v>45152.664699074077</v>
      </c>
      <c r="J877" s="3">
        <v>44129.621400462966</v>
      </c>
      <c r="K877" cm="1">
        <f t="array" ref="K877">sentimentCalc(C877)</f>
        <v>0</v>
      </c>
      <c r="L877" t="str" cm="1">
        <f t="array" ref="L877">sentimentCategory(K877)</f>
        <v>Neutral</v>
      </c>
    </row>
    <row r="878" spans="1:12" x14ac:dyDescent="0.25">
      <c r="A878" t="s">
        <v>4312</v>
      </c>
      <c r="B878" t="s">
        <v>4313</v>
      </c>
      <c r="C878" t="str" cm="1">
        <f t="array" ref="C878">CleanText(B878)</f>
        <v>n</v>
      </c>
      <c r="D878">
        <v>0</v>
      </c>
      <c r="E878">
        <v>0</v>
      </c>
      <c r="F878" t="s">
        <v>10</v>
      </c>
      <c r="G878" t="str" cm="1">
        <f t="array" ref="G878">FindCountryName(F878)</f>
        <v>None</v>
      </c>
      <c r="H878" s="3">
        <v>45141.026469907411</v>
      </c>
      <c r="I878" s="3">
        <v>45141.026469907411</v>
      </c>
      <c r="J878" s="3">
        <v>44914.24291666667</v>
      </c>
      <c r="K878" cm="1">
        <f t="array" ref="K878">sentimentCalc(C878)</f>
        <v>0</v>
      </c>
      <c r="L878" t="str" cm="1">
        <f t="array" ref="L878">sentimentCategory(K878)</f>
        <v>Neutral</v>
      </c>
    </row>
    <row r="879" spans="1:12" x14ac:dyDescent="0.25">
      <c r="A879" t="s">
        <v>235</v>
      </c>
      <c r="B879" t="s">
        <v>3480</v>
      </c>
      <c r="C879" t="str" cm="1">
        <f t="array" ref="C879">CleanText(B879)</f>
        <v>n</v>
      </c>
      <c r="D879">
        <v>1</v>
      </c>
      <c r="E879">
        <v>0</v>
      </c>
      <c r="F879" t="s">
        <v>10</v>
      </c>
      <c r="G879" t="str" cm="1">
        <f t="array" ref="G879">FindCountryName(F879)</f>
        <v>None</v>
      </c>
      <c r="H879" s="3">
        <v>45148.477835648147</v>
      </c>
      <c r="I879" s="3">
        <v>45148.477824074071</v>
      </c>
      <c r="J879" s="3">
        <v>43198.073321759257</v>
      </c>
      <c r="K879" cm="1">
        <f t="array" ref="K879">sentimentCalc(C879)</f>
        <v>0</v>
      </c>
      <c r="L879" t="str" cm="1">
        <f t="array" ref="L879">sentimentCategory(K879)</f>
        <v>Neutral</v>
      </c>
    </row>
    <row r="880" spans="1:12" x14ac:dyDescent="0.25">
      <c r="A880" t="s">
        <v>1319</v>
      </c>
      <c r="B880" t="s">
        <v>1320</v>
      </c>
      <c r="C880" t="str" cm="1">
        <f t="array" ref="C880">CleanText(B880)</f>
        <v>n</v>
      </c>
      <c r="D880">
        <v>2</v>
      </c>
      <c r="E880">
        <v>0</v>
      </c>
      <c r="F880" t="s">
        <v>10</v>
      </c>
      <c r="G880" t="str" cm="1">
        <f t="array" ref="G880">FindCountryName(F880)</f>
        <v>None</v>
      </c>
      <c r="H880" s="3">
        <v>45245.508587962962</v>
      </c>
      <c r="I880" s="3">
        <v>45245.508587962962</v>
      </c>
      <c r="J880" s="3">
        <v>44973.337291666663</v>
      </c>
      <c r="K880" cm="1">
        <f t="array" ref="K880">sentimentCalc(C880)</f>
        <v>0</v>
      </c>
      <c r="L880" t="str" cm="1">
        <f t="array" ref="L880">sentimentCategory(K880)</f>
        <v>Neutral</v>
      </c>
    </row>
    <row r="881" spans="1:12" x14ac:dyDescent="0.25">
      <c r="A881" t="s">
        <v>3355</v>
      </c>
      <c r="B881" t="s">
        <v>3356</v>
      </c>
      <c r="C881" t="str" cm="1">
        <f t="array" ref="C881">CleanText(B881)</f>
        <v>i love  barbie</v>
      </c>
      <c r="D881">
        <v>2</v>
      </c>
      <c r="E881">
        <v>0</v>
      </c>
      <c r="F881" t="s">
        <v>10</v>
      </c>
      <c r="G881" t="str" cm="1">
        <f t="array" ref="G881">FindCountryName(F881)</f>
        <v>None</v>
      </c>
      <c r="H881" s="3">
        <v>45149.693043981482</v>
      </c>
      <c r="I881" s="3">
        <v>45149.693043981482</v>
      </c>
      <c r="J881" s="3">
        <v>44780.276053240741</v>
      </c>
      <c r="K881" cm="1">
        <f t="array" ref="K881">sentimentCalc(C881)</f>
        <v>3</v>
      </c>
      <c r="L881" t="str" cm="1">
        <f t="array" ref="L881">sentimentCategory(K881)</f>
        <v>Positive</v>
      </c>
    </row>
    <row r="882" spans="1:12" x14ac:dyDescent="0.25">
      <c r="A882" t="s">
        <v>4011</v>
      </c>
      <c r="B882" t="s">
        <v>4012</v>
      </c>
      <c r="C882" t="str" cm="1">
        <f t="array" ref="C882">CleanText(B882)</f>
        <v>n</v>
      </c>
      <c r="D882">
        <v>0</v>
      </c>
      <c r="E882">
        <v>0</v>
      </c>
      <c r="F882" t="s">
        <v>10</v>
      </c>
      <c r="G882" t="str" cm="1">
        <f t="array" ref="G882">FindCountryName(F882)</f>
        <v>None</v>
      </c>
      <c r="H882" s="3">
        <v>45143.765173611115</v>
      </c>
      <c r="I882" s="3">
        <v>45143.765173611115</v>
      </c>
      <c r="J882" s="3">
        <v>40863.707928240743</v>
      </c>
      <c r="K882" cm="1">
        <f t="array" ref="K882">sentimentCalc(C882)</f>
        <v>0</v>
      </c>
      <c r="L882" t="str" cm="1">
        <f t="array" ref="L882">sentimentCategory(K882)</f>
        <v>Neutral</v>
      </c>
    </row>
    <row r="883" spans="1:12" x14ac:dyDescent="0.25">
      <c r="A883" t="s">
        <v>3397</v>
      </c>
      <c r="B883" t="s">
        <v>3398</v>
      </c>
      <c r="C883" t="str" cm="1">
        <f t="array" ref="C883">CleanText(B883)</f>
        <v>n</v>
      </c>
      <c r="D883">
        <v>0</v>
      </c>
      <c r="E883">
        <v>0</v>
      </c>
      <c r="F883" t="s">
        <v>10</v>
      </c>
      <c r="G883" t="str" cm="1">
        <f t="array" ref="G883">FindCountryName(F883)</f>
        <v>None</v>
      </c>
      <c r="H883" s="3">
        <v>45149.313194444447</v>
      </c>
      <c r="I883" s="3">
        <v>45149.313194444447</v>
      </c>
      <c r="J883" s="3">
        <v>45147.785011574073</v>
      </c>
      <c r="K883" cm="1">
        <f t="array" ref="K883">sentimentCalc(C883)</f>
        <v>0</v>
      </c>
      <c r="L883" t="str" cm="1">
        <f t="array" ref="L883">sentimentCategory(K883)</f>
        <v>Neutral</v>
      </c>
    </row>
    <row r="884" spans="1:12" x14ac:dyDescent="0.25">
      <c r="A884" t="s">
        <v>171</v>
      </c>
      <c r="B884" t="s">
        <v>172</v>
      </c>
      <c r="C884" t="str" cm="1">
        <f t="array" ref="C884">CleanText(B884)</f>
        <v>n</v>
      </c>
      <c r="D884">
        <v>0</v>
      </c>
      <c r="E884">
        <v>0</v>
      </c>
      <c r="F884" t="s">
        <v>10</v>
      </c>
      <c r="G884" t="str" cm="1">
        <f t="array" ref="G884">FindCountryName(F884)</f>
        <v>None</v>
      </c>
      <c r="H884" s="3">
        <v>45337.275023148148</v>
      </c>
      <c r="I884" s="3">
        <v>45337.275023148148</v>
      </c>
      <c r="J884" s="3">
        <v>45012.316828703704</v>
      </c>
      <c r="K884" cm="1">
        <f t="array" ref="K884">sentimentCalc(C884)</f>
        <v>0</v>
      </c>
      <c r="L884" t="str" cm="1">
        <f t="array" ref="L884">sentimentCategory(K884)</f>
        <v>Neutral</v>
      </c>
    </row>
    <row r="885" spans="1:12" x14ac:dyDescent="0.25">
      <c r="A885" t="s">
        <v>1281</v>
      </c>
      <c r="B885" t="s">
        <v>4171</v>
      </c>
      <c r="C885" t="str" cm="1">
        <f t="array" ref="C885">CleanText(B885)</f>
        <v>n</v>
      </c>
      <c r="D885">
        <v>1</v>
      </c>
      <c r="E885">
        <v>0</v>
      </c>
      <c r="F885" t="s">
        <v>10</v>
      </c>
      <c r="G885" t="str" cm="1">
        <f t="array" ref="G885">FindCountryName(F885)</f>
        <v>None</v>
      </c>
      <c r="H885" s="3">
        <v>45142.333067129628</v>
      </c>
      <c r="I885" s="3">
        <v>45142.333067129628</v>
      </c>
      <c r="J885" s="3">
        <v>44458.310706018521</v>
      </c>
      <c r="K885" cm="1">
        <f t="array" ref="K885">sentimentCalc(C885)</f>
        <v>0</v>
      </c>
      <c r="L885" t="str" cm="1">
        <f t="array" ref="L885">sentimentCategory(K885)</f>
        <v>Neutral</v>
      </c>
    </row>
    <row r="886" spans="1:12" x14ac:dyDescent="0.25">
      <c r="A886" t="s">
        <v>3772</v>
      </c>
      <c r="B886" t="s">
        <v>4017</v>
      </c>
      <c r="C886" t="str" cm="1">
        <f t="array" ref="C886">CleanText(B886)</f>
        <v>n</v>
      </c>
      <c r="D886">
        <v>0</v>
      </c>
      <c r="E886">
        <v>0</v>
      </c>
      <c r="F886" t="s">
        <v>1274</v>
      </c>
      <c r="G886" t="str" cm="1">
        <f t="array" ref="G886">FindCountryName(F886)</f>
        <v>Russian Federation (the)</v>
      </c>
      <c r="H886" s="3">
        <v>45143.634525462963</v>
      </c>
      <c r="I886" s="3">
        <v>45143.634525462963</v>
      </c>
      <c r="J886" s="3">
        <v>42995.684606481482</v>
      </c>
      <c r="K886" cm="1">
        <f t="array" ref="K886">sentimentCalc(C886)</f>
        <v>0</v>
      </c>
      <c r="L886" t="str" cm="1">
        <f t="array" ref="L886">sentimentCategory(K886)</f>
        <v>Neutral</v>
      </c>
    </row>
    <row r="887" spans="1:12" x14ac:dyDescent="0.25">
      <c r="A887" t="s">
        <v>1384</v>
      </c>
      <c r="B887" t="s">
        <v>2720</v>
      </c>
      <c r="C887" t="str" cm="1">
        <f t="array" ref="C887">CleanText(B887)</f>
        <v>n</v>
      </c>
      <c r="D887">
        <v>1</v>
      </c>
      <c r="E887">
        <v>0</v>
      </c>
      <c r="F887" t="s">
        <v>10</v>
      </c>
      <c r="G887" t="str" cm="1">
        <f t="array" ref="G887">FindCountryName(F887)</f>
        <v>None</v>
      </c>
      <c r="H887" s="3">
        <v>45159.268692129626</v>
      </c>
      <c r="I887" s="3">
        <v>45159.268692129626</v>
      </c>
      <c r="J887" s="3">
        <v>44710.420902777776</v>
      </c>
      <c r="K887" cm="1">
        <f t="array" ref="K887">sentimentCalc(C887)</f>
        <v>0</v>
      </c>
      <c r="L887" t="str" cm="1">
        <f t="array" ref="L887">sentimentCategory(K887)</f>
        <v>Neutral</v>
      </c>
    </row>
    <row r="888" spans="1:12" x14ac:dyDescent="0.25">
      <c r="A888" t="s">
        <v>98</v>
      </c>
      <c r="B888" t="s">
        <v>3094</v>
      </c>
      <c r="C888" t="str" cm="1">
        <f t="array" ref="C888">CleanText(B888)</f>
        <v>buuuu</v>
      </c>
      <c r="D888">
        <v>1</v>
      </c>
      <c r="E888">
        <v>0</v>
      </c>
      <c r="F888" t="s">
        <v>10</v>
      </c>
      <c r="G888" t="str" cm="1">
        <f t="array" ref="G888">FindCountryName(F888)</f>
        <v>None</v>
      </c>
      <c r="H888" s="3">
        <v>45153.521203703705</v>
      </c>
      <c r="I888" s="3">
        <v>45153.521203703705</v>
      </c>
      <c r="J888" s="3">
        <v>44162.278495370374</v>
      </c>
      <c r="K888" cm="1">
        <f t="array" ref="K888">sentimentCalc(C888)</f>
        <v>0</v>
      </c>
      <c r="L888" t="str" cm="1">
        <f t="array" ref="L888">sentimentCategory(K888)</f>
        <v>Neutral</v>
      </c>
    </row>
    <row r="889" spans="1:12" x14ac:dyDescent="0.25">
      <c r="A889" t="s">
        <v>2050</v>
      </c>
      <c r="B889" t="s">
        <v>2051</v>
      </c>
      <c r="C889" t="str" cm="1">
        <f t="array" ref="C889">CleanText(B889)</f>
        <v>n</v>
      </c>
      <c r="D889">
        <v>2</v>
      </c>
      <c r="E889">
        <v>0</v>
      </c>
      <c r="F889" t="s">
        <v>10</v>
      </c>
      <c r="G889" t="str" cm="1">
        <f t="array" ref="G889">FindCountryName(F889)</f>
        <v>None</v>
      </c>
      <c r="H889" s="3">
        <v>45182.720983796295</v>
      </c>
      <c r="I889" s="3">
        <v>45182.720983796295</v>
      </c>
      <c r="J889" s="3">
        <v>44105.801145833335</v>
      </c>
      <c r="K889" cm="1">
        <f t="array" ref="K889">sentimentCalc(C889)</f>
        <v>0</v>
      </c>
      <c r="L889" t="str" cm="1">
        <f t="array" ref="L889">sentimentCategory(K889)</f>
        <v>Neutral</v>
      </c>
    </row>
    <row r="890" spans="1:12" x14ac:dyDescent="0.25">
      <c r="A890" t="s">
        <v>195</v>
      </c>
      <c r="B890" t="s">
        <v>2760</v>
      </c>
      <c r="C890" t="str" cm="1">
        <f t="array" ref="C890">CleanText(B890)</f>
        <v>n</v>
      </c>
      <c r="D890">
        <v>1</v>
      </c>
      <c r="E890">
        <v>0</v>
      </c>
      <c r="F890" t="s">
        <v>10</v>
      </c>
      <c r="G890" t="str" cm="1">
        <f t="array" ref="G890">FindCountryName(F890)</f>
        <v>None</v>
      </c>
      <c r="H890" s="3">
        <v>45158.399837962963</v>
      </c>
      <c r="I890" s="3">
        <v>45158.399837962963</v>
      </c>
      <c r="J890" s="3">
        <v>44906.5003125</v>
      </c>
      <c r="K890" cm="1">
        <f t="array" ref="K890">sentimentCalc(C890)</f>
        <v>0</v>
      </c>
      <c r="L890" t="str" cm="1">
        <f t="array" ref="L890">sentimentCategory(K890)</f>
        <v>Neutral</v>
      </c>
    </row>
    <row r="891" spans="1:12" x14ac:dyDescent="0.25">
      <c r="A891" t="s">
        <v>609</v>
      </c>
      <c r="B891" t="s">
        <v>3325</v>
      </c>
      <c r="C891" t="str" cm="1">
        <f t="array" ref="C891">CleanText(B891)</f>
        <v>n</v>
      </c>
      <c r="D891">
        <v>4</v>
      </c>
      <c r="E891">
        <v>6</v>
      </c>
      <c r="F891" t="s">
        <v>10</v>
      </c>
      <c r="G891" t="str" cm="1">
        <f t="array" ref="G891">FindCountryName(F891)</f>
        <v>None</v>
      </c>
      <c r="H891" s="3">
        <v>45150.307291666664</v>
      </c>
      <c r="I891" s="3">
        <v>45150.307280092595</v>
      </c>
      <c r="J891" s="3">
        <v>41415.39671296296</v>
      </c>
      <c r="K891" cm="1">
        <f t="array" ref="K891">sentimentCalc(C891)</f>
        <v>0</v>
      </c>
      <c r="L891" t="str" cm="1">
        <f t="array" ref="L891">sentimentCategory(K891)</f>
        <v>Neutral</v>
      </c>
    </row>
    <row r="892" spans="1:12" x14ac:dyDescent="0.25">
      <c r="A892" t="s">
        <v>130</v>
      </c>
      <c r="B892" t="s">
        <v>1662</v>
      </c>
      <c r="C892" t="str" cm="1">
        <f t="array" ref="C892">CleanText(B892)</f>
        <v>n</v>
      </c>
      <c r="D892">
        <v>0</v>
      </c>
      <c r="E892">
        <v>0</v>
      </c>
      <c r="F892" t="s">
        <v>10</v>
      </c>
      <c r="G892" t="str" cm="1">
        <f t="array" ref="G892">FindCountryName(F892)</f>
        <v>None</v>
      </c>
      <c r="H892" s="3">
        <v>45204.576527777775</v>
      </c>
      <c r="I892" s="3">
        <v>45204.576527777775</v>
      </c>
      <c r="J892" s="3">
        <v>45161.63925925926</v>
      </c>
      <c r="K892" cm="1">
        <f t="array" ref="K892">sentimentCalc(C892)</f>
        <v>0</v>
      </c>
      <c r="L892" t="str" cm="1">
        <f t="array" ref="L892">sentimentCategory(K892)</f>
        <v>Neutral</v>
      </c>
    </row>
    <row r="893" spans="1:12" x14ac:dyDescent="0.25">
      <c r="A893" t="s">
        <v>130</v>
      </c>
      <c r="B893" t="s">
        <v>1661</v>
      </c>
      <c r="C893" t="str" cm="1">
        <f t="array" ref="C893">CleanText(B893)</f>
        <v>n</v>
      </c>
      <c r="D893">
        <v>0</v>
      </c>
      <c r="E893">
        <v>0</v>
      </c>
      <c r="F893" t="s">
        <v>10</v>
      </c>
      <c r="G893" t="str" cm="1">
        <f t="array" ref="G893">FindCountryName(F893)</f>
        <v>None</v>
      </c>
      <c r="H893" s="3">
        <v>45204.576817129629</v>
      </c>
      <c r="I893" s="3">
        <v>45204.576817129629</v>
      </c>
      <c r="J893" s="3">
        <v>45161.63925925926</v>
      </c>
      <c r="K893" cm="1">
        <f t="array" ref="K893">sentimentCalc(C893)</f>
        <v>0</v>
      </c>
      <c r="L893" t="str" cm="1">
        <f t="array" ref="L893">sentimentCategory(K893)</f>
        <v>Neutral</v>
      </c>
    </row>
    <row r="894" spans="1:12" x14ac:dyDescent="0.25">
      <c r="A894" t="s">
        <v>1598</v>
      </c>
      <c r="B894" t="s">
        <v>1861</v>
      </c>
      <c r="C894" t="str" cm="1">
        <f t="array" ref="C894">CleanText(B894)</f>
        <v>n</v>
      </c>
      <c r="D894">
        <v>2</v>
      </c>
      <c r="E894">
        <v>0</v>
      </c>
      <c r="F894" t="s">
        <v>10</v>
      </c>
      <c r="G894" t="str" cm="1">
        <f t="array" ref="G894">FindCountryName(F894)</f>
        <v>None</v>
      </c>
      <c r="H894" s="3">
        <v>45190.442175925928</v>
      </c>
      <c r="I894" s="3">
        <v>45190.442175925928</v>
      </c>
      <c r="J894" s="3">
        <v>45093.411712962959</v>
      </c>
      <c r="K894" cm="1">
        <f t="array" ref="K894">sentimentCalc(C894)</f>
        <v>0</v>
      </c>
      <c r="L894" t="str" cm="1">
        <f t="array" ref="L894">sentimentCategory(K894)</f>
        <v>Neutral</v>
      </c>
    </row>
    <row r="895" spans="1:12" x14ac:dyDescent="0.25">
      <c r="A895" t="s">
        <v>405</v>
      </c>
      <c r="B895" t="s">
        <v>519</v>
      </c>
      <c r="C895" t="str" cm="1">
        <f t="array" ref="C895">CleanText(B895)</f>
        <v>feminism rubbish</v>
      </c>
      <c r="D895">
        <v>1</v>
      </c>
      <c r="E895">
        <v>3</v>
      </c>
      <c r="F895" t="s">
        <v>10</v>
      </c>
      <c r="G895" t="str" cm="1">
        <f t="array" ref="G895">FindCountryName(F895)</f>
        <v>None</v>
      </c>
      <c r="H895" s="3">
        <v>45317.324097222219</v>
      </c>
      <c r="I895" s="3">
        <v>45317.324097222219</v>
      </c>
      <c r="J895" s="3">
        <v>45087.43277777778</v>
      </c>
      <c r="K895" cm="1">
        <f t="array" ref="K895">sentimentCalc(C895)</f>
        <v>0</v>
      </c>
      <c r="L895" t="str" cm="1">
        <f t="array" ref="L895">sentimentCategory(K895)</f>
        <v>Neutral</v>
      </c>
    </row>
    <row r="896" spans="1:12" x14ac:dyDescent="0.25">
      <c r="A896" t="s">
        <v>130</v>
      </c>
      <c r="B896" t="s">
        <v>2245</v>
      </c>
      <c r="C896" t="str" cm="1">
        <f t="array" ref="C896">CleanText(B896)</f>
        <v>n</v>
      </c>
      <c r="D896">
        <v>2</v>
      </c>
      <c r="E896">
        <v>0</v>
      </c>
      <c r="F896" t="s">
        <v>10</v>
      </c>
      <c r="G896" t="str" cm="1">
        <f t="array" ref="G896">FindCountryName(F896)</f>
        <v>None</v>
      </c>
      <c r="H896" s="3">
        <v>45174.381435185183</v>
      </c>
      <c r="I896" s="3">
        <v>45174.381435185183</v>
      </c>
      <c r="J896" s="3">
        <v>45086.440532407411</v>
      </c>
      <c r="K896" cm="1">
        <f t="array" ref="K896">sentimentCalc(C896)</f>
        <v>0</v>
      </c>
      <c r="L896" t="str" cm="1">
        <f t="array" ref="L896">sentimentCategory(K896)</f>
        <v>Neutral</v>
      </c>
    </row>
    <row r="897" spans="1:12" x14ac:dyDescent="0.25">
      <c r="A897" t="s">
        <v>646</v>
      </c>
      <c r="B897" t="s">
        <v>4229</v>
      </c>
      <c r="C897" t="str" cm="1">
        <f t="array" ref="C897">CleanText(B897)</f>
        <v>n</v>
      </c>
      <c r="D897">
        <v>3</v>
      </c>
      <c r="E897">
        <v>0</v>
      </c>
      <c r="F897" t="s">
        <v>10</v>
      </c>
      <c r="G897" t="str" cm="1">
        <f t="array" ref="G897">FindCountryName(F897)</f>
        <v>None</v>
      </c>
      <c r="H897" s="3">
        <v>45141.690636574072</v>
      </c>
      <c r="I897" s="3">
        <v>45141.690636574072</v>
      </c>
      <c r="J897" s="3">
        <v>44844.518310185187</v>
      </c>
      <c r="K897" cm="1">
        <f t="array" ref="K897">sentimentCalc(C897)</f>
        <v>0</v>
      </c>
      <c r="L897" t="str" cm="1">
        <f t="array" ref="L897">sentimentCategory(K897)</f>
        <v>Neutral</v>
      </c>
    </row>
    <row r="898" spans="1:12" x14ac:dyDescent="0.25">
      <c r="A898" t="s">
        <v>2388</v>
      </c>
      <c r="B898" t="s">
        <v>2389</v>
      </c>
      <c r="C898" t="str" cm="1">
        <f t="array" ref="C898">CleanText(B898)</f>
        <v>n</v>
      </c>
      <c r="D898">
        <v>1</v>
      </c>
      <c r="E898">
        <v>0</v>
      </c>
      <c r="F898" t="s">
        <v>10</v>
      </c>
      <c r="G898" t="str" cm="1">
        <f t="array" ref="G898">FindCountryName(F898)</f>
        <v>None</v>
      </c>
      <c r="H898" s="3">
        <v>45169.417118055557</v>
      </c>
      <c r="I898" s="3">
        <v>45169.417118055557</v>
      </c>
      <c r="J898" s="3">
        <v>42024.777453703704</v>
      </c>
      <c r="K898" cm="1">
        <f t="array" ref="K898">sentimentCalc(C898)</f>
        <v>0</v>
      </c>
      <c r="L898" t="str" cm="1">
        <f t="array" ref="L898">sentimentCategory(K898)</f>
        <v>Neutral</v>
      </c>
    </row>
    <row r="899" spans="1:12" x14ac:dyDescent="0.25">
      <c r="A899" t="s">
        <v>1766</v>
      </c>
      <c r="B899" t="s">
        <v>1782</v>
      </c>
      <c r="C899" t="str" cm="1">
        <f t="array" ref="C899">CleanText(B899)</f>
        <v>wat barbie</v>
      </c>
      <c r="D899">
        <v>0</v>
      </c>
      <c r="E899">
        <v>0</v>
      </c>
      <c r="F899" t="s">
        <v>10</v>
      </c>
      <c r="G899" t="str" cm="1">
        <f t="array" ref="G899">FindCountryName(F899)</f>
        <v>None</v>
      </c>
      <c r="H899" s="3">
        <v>45195.060277777775</v>
      </c>
      <c r="I899" s="3">
        <v>45195.060266203705</v>
      </c>
      <c r="J899" s="3">
        <v>40357.247824074075</v>
      </c>
      <c r="K899" cm="1">
        <f t="array" ref="K899">sentimentCalc(C899)</f>
        <v>0</v>
      </c>
      <c r="L899" t="str" cm="1">
        <f t="array" ref="L899">sentimentCategory(K899)</f>
        <v>Neutral</v>
      </c>
    </row>
    <row r="900" spans="1:12" x14ac:dyDescent="0.25">
      <c r="A900" t="s">
        <v>162</v>
      </c>
      <c r="B900" t="s">
        <v>4471</v>
      </c>
      <c r="C900" t="str" cm="1">
        <f t="array" ref="C900">CleanText(B900)</f>
        <v>n</v>
      </c>
      <c r="D900">
        <v>0</v>
      </c>
      <c r="E900">
        <v>0</v>
      </c>
      <c r="F900" t="s">
        <v>10</v>
      </c>
      <c r="G900" t="str" cm="1">
        <f t="array" ref="G900">FindCountryName(F900)</f>
        <v>None</v>
      </c>
      <c r="H900" s="3">
        <v>45140.084016203706</v>
      </c>
      <c r="I900" s="3">
        <v>45140.084016203706</v>
      </c>
      <c r="J900" s="3">
        <v>43410.455879629626</v>
      </c>
      <c r="K900" cm="1">
        <f t="array" ref="K900">sentimentCalc(C900)</f>
        <v>0</v>
      </c>
      <c r="L900" t="str" cm="1">
        <f t="array" ref="L900">sentimentCategory(K900)</f>
        <v>Neutral</v>
      </c>
    </row>
    <row r="901" spans="1:12" x14ac:dyDescent="0.25">
      <c r="A901" t="s">
        <v>3220</v>
      </c>
      <c r="B901" t="s">
        <v>3221</v>
      </c>
      <c r="C901" t="str" cm="1">
        <f t="array" ref="C901">CleanText(B901)</f>
        <v>n</v>
      </c>
      <c r="D901">
        <v>0</v>
      </c>
      <c r="E901">
        <v>0</v>
      </c>
      <c r="F901" t="s">
        <v>10</v>
      </c>
      <c r="G901" t="str" cm="1">
        <f t="array" ref="G901">FindCountryName(F901)</f>
        <v>None</v>
      </c>
      <c r="H901" s="3">
        <v>45151.645925925928</v>
      </c>
      <c r="I901" s="3">
        <v>45151.645925925928</v>
      </c>
      <c r="J901" s="3">
        <v>44263.226863425924</v>
      </c>
      <c r="K901" cm="1">
        <f t="array" ref="K901">sentimentCalc(C901)</f>
        <v>0</v>
      </c>
      <c r="L901" t="str" cm="1">
        <f t="array" ref="L901">sentimentCategory(K901)</f>
        <v>Neutral</v>
      </c>
    </row>
    <row r="902" spans="1:12" x14ac:dyDescent="0.25">
      <c r="A902" t="s">
        <v>192</v>
      </c>
      <c r="B902" t="s">
        <v>2115</v>
      </c>
      <c r="C902" t="str" cm="1">
        <f t="array" ref="C902">CleanText(B902)</f>
        <v>n</v>
      </c>
      <c r="D902">
        <v>0</v>
      </c>
      <c r="E902">
        <v>0</v>
      </c>
      <c r="F902" t="s">
        <v>10</v>
      </c>
      <c r="G902" t="str" cm="1">
        <f t="array" ref="G902">FindCountryName(F902)</f>
        <v>None</v>
      </c>
      <c r="H902" s="3">
        <v>45180.089791666665</v>
      </c>
      <c r="I902" s="3">
        <v>45180.089791666665</v>
      </c>
      <c r="J902" s="3">
        <v>45169.557141203702</v>
      </c>
      <c r="K902" cm="1">
        <f t="array" ref="K902">sentimentCalc(C902)</f>
        <v>0</v>
      </c>
      <c r="L902" t="str" cm="1">
        <f t="array" ref="L902">sentimentCategory(K902)</f>
        <v>Neutral</v>
      </c>
    </row>
    <row r="903" spans="1:12" x14ac:dyDescent="0.25">
      <c r="A903" t="s">
        <v>382</v>
      </c>
      <c r="B903" t="s">
        <v>1147</v>
      </c>
      <c r="C903" t="str" cm="1">
        <f t="array" ref="C903">CleanText(B903)</f>
        <v>n</v>
      </c>
      <c r="D903">
        <v>0</v>
      </c>
      <c r="E903">
        <v>0</v>
      </c>
      <c r="F903" t="s">
        <v>10</v>
      </c>
      <c r="G903" t="str" cm="1">
        <f t="array" ref="G903">FindCountryName(F903)</f>
        <v>None</v>
      </c>
      <c r="H903" s="3">
        <v>45283.294363425928</v>
      </c>
      <c r="I903" s="3">
        <v>45283.294363425928</v>
      </c>
      <c r="J903" s="3">
        <v>45275.45144675926</v>
      </c>
      <c r="K903" cm="1">
        <f t="array" ref="K903">sentimentCalc(C903)</f>
        <v>0</v>
      </c>
      <c r="L903" t="str" cm="1">
        <f t="array" ref="L903">sentimentCategory(K903)</f>
        <v>Neutral</v>
      </c>
    </row>
    <row r="904" spans="1:12" x14ac:dyDescent="0.25">
      <c r="A904" t="s">
        <v>1924</v>
      </c>
      <c r="B904" t="s">
        <v>3560</v>
      </c>
      <c r="C904" t="str" cm="1">
        <f t="array" ref="C904">CleanText(B904)</f>
        <v>n</v>
      </c>
      <c r="D904">
        <v>2</v>
      </c>
      <c r="E904">
        <v>0</v>
      </c>
      <c r="F904" t="s">
        <v>10</v>
      </c>
      <c r="G904" t="str" cm="1">
        <f t="array" ref="G904">FindCountryName(F904)</f>
        <v>None</v>
      </c>
      <c r="H904" s="3">
        <v>45147.51834490741</v>
      </c>
      <c r="I904" s="3">
        <v>45147.51834490741</v>
      </c>
      <c r="J904" s="3">
        <v>44522.625138888892</v>
      </c>
      <c r="K904" cm="1">
        <f t="array" ref="K904">sentimentCalc(C904)</f>
        <v>0</v>
      </c>
      <c r="L904" t="str" cm="1">
        <f t="array" ref="L904">sentimentCategory(K904)</f>
        <v>Neutral</v>
      </c>
    </row>
    <row r="905" spans="1:12" x14ac:dyDescent="0.25">
      <c r="A905" t="s">
        <v>1035</v>
      </c>
      <c r="B905" t="s">
        <v>4242</v>
      </c>
      <c r="C905" t="str" cm="1">
        <f t="array" ref="C905">CleanText(B905)</f>
        <v>n</v>
      </c>
      <c r="D905">
        <v>12</v>
      </c>
      <c r="E905">
        <v>0</v>
      </c>
      <c r="F905" t="s">
        <v>10</v>
      </c>
      <c r="G905" t="str" cm="1">
        <f t="array" ref="G905">FindCountryName(F905)</f>
        <v>None</v>
      </c>
      <c r="H905" s="3">
        <v>45141.520196759258</v>
      </c>
      <c r="I905" s="3">
        <v>45141.520196759258</v>
      </c>
      <c r="J905" s="3">
        <v>42599.810416666667</v>
      </c>
      <c r="K905" cm="1">
        <f t="array" ref="K905">sentimentCalc(C905)</f>
        <v>0</v>
      </c>
      <c r="L905" t="str" cm="1">
        <f t="array" ref="L905">sentimentCategory(K905)</f>
        <v>Neutral</v>
      </c>
    </row>
    <row r="906" spans="1:12" x14ac:dyDescent="0.25">
      <c r="A906" t="s">
        <v>2322</v>
      </c>
      <c r="B906" t="s">
        <v>3075</v>
      </c>
      <c r="C906" t="str" cm="1">
        <f t="array" ref="C906">CleanText(B906)</f>
        <v>n</v>
      </c>
      <c r="D906">
        <v>2</v>
      </c>
      <c r="E906">
        <v>1</v>
      </c>
      <c r="F906" t="s">
        <v>10</v>
      </c>
      <c r="G906" t="str" cm="1">
        <f t="array" ref="G906">FindCountryName(F906)</f>
        <v>None</v>
      </c>
      <c r="H906" s="3">
        <v>45153.718495370369</v>
      </c>
      <c r="I906" s="3">
        <v>45153.718495370369</v>
      </c>
      <c r="J906" s="3">
        <v>44606.652303240742</v>
      </c>
      <c r="K906" cm="1">
        <f t="array" ref="K906">sentimentCalc(C906)</f>
        <v>0</v>
      </c>
      <c r="L906" t="str" cm="1">
        <f t="array" ref="L906">sentimentCategory(K906)</f>
        <v>Neutral</v>
      </c>
    </row>
    <row r="907" spans="1:12" x14ac:dyDescent="0.25">
      <c r="A907" t="s">
        <v>2966</v>
      </c>
      <c r="B907" t="s">
        <v>2967</v>
      </c>
      <c r="C907" t="str" cm="1">
        <f t="array" ref="C907">CleanText(B907)</f>
        <v>n</v>
      </c>
      <c r="D907">
        <v>1</v>
      </c>
      <c r="E907">
        <v>0</v>
      </c>
      <c r="F907" t="s">
        <v>10</v>
      </c>
      <c r="G907" t="str" cm="1">
        <f t="array" ref="G907">FindCountryName(F907)</f>
        <v>None</v>
      </c>
      <c r="H907" s="3">
        <v>45155.369837962964</v>
      </c>
      <c r="I907" s="3">
        <v>45155.369826388887</v>
      </c>
      <c r="J907" s="3">
        <v>43735.631689814814</v>
      </c>
      <c r="K907" cm="1">
        <f t="array" ref="K907">sentimentCalc(C907)</f>
        <v>0</v>
      </c>
      <c r="L907" t="str" cm="1">
        <f t="array" ref="L907">sentimentCategory(K907)</f>
        <v>Neutral</v>
      </c>
    </row>
    <row r="908" spans="1:12" x14ac:dyDescent="0.25">
      <c r="A908" t="s">
        <v>171</v>
      </c>
      <c r="B908" t="s">
        <v>3152</v>
      </c>
      <c r="C908" t="str" cm="1">
        <f t="array" ref="C908">CleanText(B908)</f>
        <v>n</v>
      </c>
      <c r="D908">
        <v>3</v>
      </c>
      <c r="E908">
        <v>0</v>
      </c>
      <c r="F908" t="s">
        <v>10</v>
      </c>
      <c r="G908" t="str" cm="1">
        <f t="array" ref="G908">FindCountryName(F908)</f>
        <v>None</v>
      </c>
      <c r="H908" s="3">
        <v>45152.662743055553</v>
      </c>
      <c r="I908" s="3">
        <v>45152.662743055553</v>
      </c>
      <c r="J908" s="3">
        <v>44129.621400462966</v>
      </c>
      <c r="K908" cm="1">
        <f t="array" ref="K908">sentimentCalc(C908)</f>
        <v>0</v>
      </c>
      <c r="L908" t="str" cm="1">
        <f t="array" ref="L908">sentimentCategory(K908)</f>
        <v>Neutral</v>
      </c>
    </row>
    <row r="909" spans="1:12" x14ac:dyDescent="0.25">
      <c r="A909" t="s">
        <v>1112</v>
      </c>
      <c r="B909" t="s">
        <v>4271</v>
      </c>
      <c r="C909" t="str" cm="1">
        <f t="array" ref="C909">CleanText(B909)</f>
        <v>n</v>
      </c>
      <c r="D909">
        <v>9</v>
      </c>
      <c r="E909">
        <v>0</v>
      </c>
      <c r="F909" t="s">
        <v>10</v>
      </c>
      <c r="G909" t="str" cm="1">
        <f t="array" ref="G909">FindCountryName(F909)</f>
        <v>None</v>
      </c>
      <c r="H909" s="3">
        <v>45141.329409722224</v>
      </c>
      <c r="I909" s="3">
        <v>45141.329409722224</v>
      </c>
      <c r="J909" s="3">
        <v>42061.219826388886</v>
      </c>
      <c r="K909" cm="1">
        <f t="array" ref="K909">sentimentCalc(C909)</f>
        <v>0</v>
      </c>
      <c r="L909" t="str" cm="1">
        <f t="array" ref="L909">sentimentCategory(K909)</f>
        <v>Neutral</v>
      </c>
    </row>
    <row r="910" spans="1:12" x14ac:dyDescent="0.25">
      <c r="A910" t="s">
        <v>2627</v>
      </c>
      <c r="B910" t="s">
        <v>2628</v>
      </c>
      <c r="C910" t="str" cm="1">
        <f t="array" ref="C910">CleanText(B910)</f>
        <v>i feel</v>
      </c>
      <c r="D910">
        <v>0</v>
      </c>
      <c r="E910">
        <v>0</v>
      </c>
      <c r="F910" t="s">
        <v>1942</v>
      </c>
      <c r="G910" t="str" cm="1">
        <f t="array" ref="G910">FindCountryName(F910)</f>
        <v>Pakistan</v>
      </c>
      <c r="H910" s="3">
        <v>45161.461006944446</v>
      </c>
      <c r="I910" s="3">
        <v>45161.461006944446</v>
      </c>
      <c r="J910" s="3">
        <v>42696.65042824074</v>
      </c>
      <c r="K910" cm="1">
        <f t="array" ref="K910">sentimentCalc(C910)</f>
        <v>0</v>
      </c>
      <c r="L910" t="str" cm="1">
        <f t="array" ref="L910">sentimentCategory(K910)</f>
        <v>Neutral</v>
      </c>
    </row>
    <row r="911" spans="1:12" x14ac:dyDescent="0.25">
      <c r="A911" t="s">
        <v>735</v>
      </c>
      <c r="B911" t="s">
        <v>1992</v>
      </c>
      <c r="C911" t="str" cm="1">
        <f t="array" ref="C911">CleanText(B911)</f>
        <v>n</v>
      </c>
      <c r="D911">
        <v>2</v>
      </c>
      <c r="E911">
        <v>0</v>
      </c>
      <c r="F911" t="s">
        <v>10</v>
      </c>
      <c r="G911" t="str" cm="1">
        <f t="array" ref="G911">FindCountryName(F911)</f>
        <v>None</v>
      </c>
      <c r="H911" s="3">
        <v>45185.205358796295</v>
      </c>
      <c r="I911" s="3">
        <v>45185.205358796295</v>
      </c>
      <c r="J911" s="3">
        <v>42161.400370370371</v>
      </c>
      <c r="K911" cm="1">
        <f t="array" ref="K911">sentimentCalc(C911)</f>
        <v>0</v>
      </c>
      <c r="L911" t="str" cm="1">
        <f t="array" ref="L911">sentimentCategory(K911)</f>
        <v>Neutral</v>
      </c>
    </row>
    <row r="912" spans="1:12" x14ac:dyDescent="0.25">
      <c r="A912" t="s">
        <v>462</v>
      </c>
      <c r="B912" t="s">
        <v>4077</v>
      </c>
      <c r="C912" t="str" cm="1">
        <f t="array" ref="C912">CleanText(B912)</f>
        <v>n</v>
      </c>
      <c r="D912">
        <v>0</v>
      </c>
      <c r="E912">
        <v>0</v>
      </c>
      <c r="F912" t="s">
        <v>1350</v>
      </c>
      <c r="G912" t="str" cm="1">
        <f t="array" ref="G912">FindCountryName(F912)</f>
        <v>Brazil</v>
      </c>
      <c r="H912" s="3">
        <v>45143.126481481479</v>
      </c>
      <c r="I912" s="3">
        <v>45143.126481481479</v>
      </c>
      <c r="J912" s="3">
        <v>45136.798252314817</v>
      </c>
      <c r="K912" cm="1">
        <f t="array" ref="K912">sentimentCalc(C912)</f>
        <v>0</v>
      </c>
      <c r="L912" t="str" cm="1">
        <f t="array" ref="L912">sentimentCategory(K912)</f>
        <v>Neutral</v>
      </c>
    </row>
    <row r="913" spans="1:12" x14ac:dyDescent="0.25">
      <c r="A913" t="s">
        <v>1592</v>
      </c>
      <c r="B913" t="s">
        <v>2385</v>
      </c>
      <c r="C913" t="str" cm="1">
        <f t="array" ref="C913">CleanText(B913)</f>
        <v>n</v>
      </c>
      <c r="D913">
        <v>0</v>
      </c>
      <c r="E913">
        <v>0</v>
      </c>
      <c r="F913" t="s">
        <v>10</v>
      </c>
      <c r="G913" t="str" cm="1">
        <f t="array" ref="G913">FindCountryName(F913)</f>
        <v>None</v>
      </c>
      <c r="H913" s="3">
        <v>45169.530486111114</v>
      </c>
      <c r="I913" s="3">
        <v>45169.530474537038</v>
      </c>
      <c r="J913" s="3">
        <v>42326.295694444445</v>
      </c>
      <c r="K913" cm="1">
        <f t="array" ref="K913">sentimentCalc(C913)</f>
        <v>0</v>
      </c>
      <c r="L913" t="str" cm="1">
        <f t="array" ref="L913">sentimentCategory(K913)</f>
        <v>Neutral</v>
      </c>
    </row>
    <row r="914" spans="1:12" x14ac:dyDescent="0.25">
      <c r="A914" t="s">
        <v>2492</v>
      </c>
      <c r="B914" t="s">
        <v>4274</v>
      </c>
      <c r="C914" t="str" cm="1">
        <f t="array" ref="C914">CleanText(B914)</f>
        <v>love it</v>
      </c>
      <c r="D914">
        <v>2</v>
      </c>
      <c r="E914">
        <v>0</v>
      </c>
      <c r="F914" t="s">
        <v>10</v>
      </c>
      <c r="G914" t="str" cm="1">
        <f t="array" ref="G914">FindCountryName(F914)</f>
        <v>None</v>
      </c>
      <c r="H914" s="3">
        <v>45141.302442129629</v>
      </c>
      <c r="I914" s="3">
        <v>45141.302442129629</v>
      </c>
      <c r="J914" s="3">
        <v>45133.893599537034</v>
      </c>
      <c r="K914" cm="1">
        <f t="array" ref="K914">sentimentCalc(C914)</f>
        <v>3</v>
      </c>
      <c r="L914" t="str" cm="1">
        <f t="array" ref="L914">sentimentCategory(K914)</f>
        <v>Positive</v>
      </c>
    </row>
    <row r="915" spans="1:12" x14ac:dyDescent="0.25">
      <c r="A915" t="s">
        <v>838</v>
      </c>
      <c r="B915" t="s">
        <v>2171</v>
      </c>
      <c r="C915" t="str" cm="1">
        <f t="array" ref="C915">CleanText(B915)</f>
        <v>n</v>
      </c>
      <c r="D915">
        <v>0</v>
      </c>
      <c r="E915">
        <v>0</v>
      </c>
      <c r="F915" t="s">
        <v>10</v>
      </c>
      <c r="G915" t="str" cm="1">
        <f t="array" ref="G915">FindCountryName(F915)</f>
        <v>None</v>
      </c>
      <c r="H915" s="3">
        <v>45177.243402777778</v>
      </c>
      <c r="I915" s="3">
        <v>45177.243391203701</v>
      </c>
      <c r="J915" s="3">
        <v>43919.742824074077</v>
      </c>
      <c r="K915" cm="1">
        <f t="array" ref="K915">sentimentCalc(C915)</f>
        <v>0</v>
      </c>
      <c r="L915" t="str" cm="1">
        <f t="array" ref="L915">sentimentCategory(K915)</f>
        <v>Neutral</v>
      </c>
    </row>
    <row r="916" spans="1:12" x14ac:dyDescent="0.25">
      <c r="A916" t="s">
        <v>3375</v>
      </c>
      <c r="B916" t="s">
        <v>4275</v>
      </c>
      <c r="C916" t="str" cm="1">
        <f t="array" ref="C916">CleanText(B916)</f>
        <v>n</v>
      </c>
      <c r="D916">
        <v>0</v>
      </c>
      <c r="E916">
        <v>0</v>
      </c>
      <c r="F916" t="s">
        <v>10</v>
      </c>
      <c r="G916" t="str" cm="1">
        <f t="array" ref="G916">FindCountryName(F916)</f>
        <v>None</v>
      </c>
      <c r="H916" s="3">
        <v>45141.29650462963</v>
      </c>
      <c r="I916" s="3">
        <v>45141.29650462963</v>
      </c>
      <c r="J916" s="3">
        <v>42999.812569444446</v>
      </c>
      <c r="K916" cm="1">
        <f t="array" ref="K916">sentimentCalc(C916)</f>
        <v>0</v>
      </c>
      <c r="L916" t="str" cm="1">
        <f t="array" ref="L916">sentimentCategory(K916)</f>
        <v>Neutral</v>
      </c>
    </row>
    <row r="917" spans="1:12" x14ac:dyDescent="0.25">
      <c r="A917" t="s">
        <v>11</v>
      </c>
      <c r="B917" t="s">
        <v>2700</v>
      </c>
      <c r="C917" t="str" cm="1">
        <f t="array" ref="C917">CleanText(B917)</f>
        <v>n</v>
      </c>
      <c r="D917">
        <v>0</v>
      </c>
      <c r="E917">
        <v>0</v>
      </c>
      <c r="F917" t="s">
        <v>10</v>
      </c>
      <c r="G917" t="str" cm="1">
        <f t="array" ref="G917">FindCountryName(F917)</f>
        <v>None</v>
      </c>
      <c r="H917" s="3">
        <v>45159.64949074074</v>
      </c>
      <c r="I917" s="3">
        <v>45159.64949074074</v>
      </c>
      <c r="J917" s="3">
        <v>45121.741041666668</v>
      </c>
      <c r="K917" cm="1">
        <f t="array" ref="K917">sentimentCalc(C917)</f>
        <v>0</v>
      </c>
      <c r="L917" t="str" cm="1">
        <f t="array" ref="L917">sentimentCategory(K917)</f>
        <v>Neutral</v>
      </c>
    </row>
    <row r="918" spans="1:12" x14ac:dyDescent="0.25">
      <c r="A918" t="s">
        <v>173</v>
      </c>
      <c r="B918" t="s">
        <v>1175</v>
      </c>
      <c r="C918" t="str" cm="1">
        <f t="array" ref="C918">CleanText(B918)</f>
        <v>love this movie</v>
      </c>
      <c r="D918">
        <v>1</v>
      </c>
      <c r="E918">
        <v>0</v>
      </c>
      <c r="F918" t="s">
        <v>10</v>
      </c>
      <c r="G918" t="str" cm="1">
        <f t="array" ref="G918">FindCountryName(F918)</f>
        <v>None</v>
      </c>
      <c r="H918" s="3">
        <v>45280.12709490741</v>
      </c>
      <c r="I918" s="3">
        <v>45280.12709490741</v>
      </c>
      <c r="J918" s="3">
        <v>42054.610497685186</v>
      </c>
      <c r="K918" cm="1">
        <f t="array" ref="K918">sentimentCalc(C918)</f>
        <v>3</v>
      </c>
      <c r="L918" t="str" cm="1">
        <f t="array" ref="L918">sentimentCategory(K918)</f>
        <v>Positive</v>
      </c>
    </row>
    <row r="919" spans="1:12" x14ac:dyDescent="0.25">
      <c r="A919" t="s">
        <v>1569</v>
      </c>
      <c r="B919" t="s">
        <v>1570</v>
      </c>
      <c r="C919" t="str" cm="1">
        <f t="array" ref="C919">CleanText(B919)</f>
        <v>um espetacular filme</v>
      </c>
      <c r="D919">
        <v>0</v>
      </c>
      <c r="E919">
        <v>0</v>
      </c>
      <c r="F919" t="s">
        <v>10</v>
      </c>
      <c r="G919" t="str" cm="1">
        <f t="array" ref="G919">FindCountryName(F919)</f>
        <v>None</v>
      </c>
      <c r="H919" s="3">
        <v>45214.272245370368</v>
      </c>
      <c r="I919" s="3">
        <v>45214.272245370368</v>
      </c>
      <c r="J919" s="3">
        <v>43268.04105324074</v>
      </c>
      <c r="K919" cm="1">
        <f t="array" ref="K919">sentimentCalc(C919)</f>
        <v>0</v>
      </c>
      <c r="L919" t="str" cm="1">
        <f t="array" ref="L919">sentimentCategory(K919)</f>
        <v>Neutral</v>
      </c>
    </row>
    <row r="920" spans="1:12" x14ac:dyDescent="0.25">
      <c r="A920" t="s">
        <v>103</v>
      </c>
      <c r="B920" t="s">
        <v>2882</v>
      </c>
      <c r="C920" t="str" cm="1">
        <f t="array" ref="C920">CleanText(B920)</f>
        <v>n</v>
      </c>
      <c r="D920">
        <v>1</v>
      </c>
      <c r="E920">
        <v>0</v>
      </c>
      <c r="F920" t="s">
        <v>10</v>
      </c>
      <c r="G920" t="str" cm="1">
        <f t="array" ref="G920">FindCountryName(F920)</f>
        <v>None</v>
      </c>
      <c r="H920" s="3">
        <v>45156.50409722222</v>
      </c>
      <c r="I920" s="3">
        <v>45156.50409722222</v>
      </c>
      <c r="J920" s="3">
        <v>44150.411435185182</v>
      </c>
      <c r="K920" cm="1">
        <f t="array" ref="K920">sentimentCalc(C920)</f>
        <v>0</v>
      </c>
      <c r="L920" t="str" cm="1">
        <f t="array" ref="L920">sentimentCategory(K920)</f>
        <v>Neutral</v>
      </c>
    </row>
    <row r="921" spans="1:12" x14ac:dyDescent="0.25">
      <c r="A921" t="s">
        <v>133</v>
      </c>
      <c r="B921" t="s">
        <v>4165</v>
      </c>
      <c r="C921" t="str" cm="1">
        <f t="array" ref="C921">CleanText(B921)</f>
        <v>n</v>
      </c>
      <c r="D921">
        <v>1</v>
      </c>
      <c r="E921">
        <v>0</v>
      </c>
      <c r="F921" t="s">
        <v>10</v>
      </c>
      <c r="G921" t="str" cm="1">
        <f t="array" ref="G921">FindCountryName(F921)</f>
        <v>None</v>
      </c>
      <c r="H921" s="3">
        <v>45142.382569444446</v>
      </c>
      <c r="I921" s="3">
        <v>45142.382569444446</v>
      </c>
      <c r="J921" s="3">
        <v>44352.314097222225</v>
      </c>
      <c r="K921" cm="1">
        <f t="array" ref="K921">sentimentCalc(C921)</f>
        <v>0</v>
      </c>
      <c r="L921" t="str" cm="1">
        <f t="array" ref="L921">sentimentCategory(K921)</f>
        <v>Neutral</v>
      </c>
    </row>
    <row r="922" spans="1:12" x14ac:dyDescent="0.25">
      <c r="A922" t="s">
        <v>133</v>
      </c>
      <c r="B922" t="s">
        <v>4166</v>
      </c>
      <c r="C922" t="str" cm="1">
        <f t="array" ref="C922">CleanText(B922)</f>
        <v>n</v>
      </c>
      <c r="D922">
        <v>1</v>
      </c>
      <c r="E922">
        <v>3</v>
      </c>
      <c r="F922" t="s">
        <v>10</v>
      </c>
      <c r="G922" t="str" cm="1">
        <f t="array" ref="G922">FindCountryName(F922)</f>
        <v>None</v>
      </c>
      <c r="H922" s="3">
        <v>45142.381585648145</v>
      </c>
      <c r="I922" s="3">
        <v>45142.381585648145</v>
      </c>
      <c r="J922" s="3">
        <v>44352.314097222225</v>
      </c>
      <c r="K922" cm="1">
        <f t="array" ref="K922">sentimentCalc(C922)</f>
        <v>0</v>
      </c>
      <c r="L922" t="str" cm="1">
        <f t="array" ref="L922">sentimentCategory(K922)</f>
        <v>Neutral</v>
      </c>
    </row>
    <row r="923" spans="1:12" x14ac:dyDescent="0.25">
      <c r="A923" t="s">
        <v>3586</v>
      </c>
      <c r="B923" t="s">
        <v>3878</v>
      </c>
      <c r="C923" t="str" cm="1">
        <f t="array" ref="C923">CleanText(B923)</f>
        <v>dying flat feet is worst</v>
      </c>
      <c r="D923">
        <v>0</v>
      </c>
      <c r="E923">
        <v>0</v>
      </c>
      <c r="F923" t="s">
        <v>10</v>
      </c>
      <c r="G923" t="str" cm="1">
        <f t="array" ref="G923">FindCountryName(F923)</f>
        <v>None</v>
      </c>
      <c r="H923" s="3">
        <v>45144.778009259258</v>
      </c>
      <c r="I923" s="3">
        <v>45144.778009259258</v>
      </c>
      <c r="J923" s="3">
        <v>40406.598275462966</v>
      </c>
      <c r="K923" cm="1">
        <f t="array" ref="K923">sentimentCalc(C923)</f>
        <v>-3</v>
      </c>
      <c r="L923" t="str" cm="1">
        <f t="array" ref="L923">sentimentCategory(K923)</f>
        <v>Negative</v>
      </c>
    </row>
    <row r="924" spans="1:12" x14ac:dyDescent="0.25">
      <c r="A924" t="s">
        <v>347</v>
      </c>
      <c r="B924" t="s">
        <v>846</v>
      </c>
      <c r="C924" t="str" cm="1">
        <f t="array" ref="C924">CleanText(B924)</f>
        <v>n</v>
      </c>
      <c r="D924">
        <v>1</v>
      </c>
      <c r="E924">
        <v>0</v>
      </c>
      <c r="F924" t="s">
        <v>10</v>
      </c>
      <c r="G924" t="str" cm="1">
        <f t="array" ref="G924">FindCountryName(F924)</f>
        <v>None</v>
      </c>
      <c r="H924" s="3">
        <v>45300.97550925926</v>
      </c>
      <c r="I924" s="3">
        <v>45300.97550925926</v>
      </c>
      <c r="J924" s="3">
        <v>45300.654143518521</v>
      </c>
      <c r="K924" cm="1">
        <f t="array" ref="K924">sentimentCalc(C924)</f>
        <v>0</v>
      </c>
      <c r="L924" t="str" cm="1">
        <f t="array" ref="L924">sentimentCategory(K924)</f>
        <v>Neutral</v>
      </c>
    </row>
    <row r="925" spans="1:12" x14ac:dyDescent="0.25">
      <c r="A925" t="s">
        <v>1368</v>
      </c>
      <c r="B925" t="s">
        <v>2820</v>
      </c>
      <c r="C925" t="str" cm="1">
        <f t="array" ref="C925">CleanText(B925)</f>
        <v>looks great</v>
      </c>
      <c r="D925">
        <v>2</v>
      </c>
      <c r="E925">
        <v>0</v>
      </c>
      <c r="F925" t="s">
        <v>10</v>
      </c>
      <c r="G925" t="str" cm="1">
        <f t="array" ref="G925">FindCountryName(F925)</f>
        <v>None</v>
      </c>
      <c r="H925" s="3">
        <v>45157.362372685187</v>
      </c>
      <c r="I925" s="3">
        <v>45157.362372685187</v>
      </c>
      <c r="J925" s="3">
        <v>41418.74695601852</v>
      </c>
      <c r="K925" cm="1">
        <f t="array" ref="K925">sentimentCalc(C925)</f>
        <v>3</v>
      </c>
      <c r="L925" t="str" cm="1">
        <f t="array" ref="L925">sentimentCategory(K925)</f>
        <v>Positive</v>
      </c>
    </row>
    <row r="926" spans="1:12" x14ac:dyDescent="0.25">
      <c r="A926" t="s">
        <v>94</v>
      </c>
      <c r="B926" t="s">
        <v>2151</v>
      </c>
      <c r="C926" t="str" cm="1">
        <f t="array" ref="C926">CleanText(B926)</f>
        <v>n</v>
      </c>
      <c r="D926">
        <v>0</v>
      </c>
      <c r="E926">
        <v>0</v>
      </c>
      <c r="F926" t="s">
        <v>10</v>
      </c>
      <c r="G926" t="str" cm="1">
        <f t="array" ref="G926">FindCountryName(F926)</f>
        <v>None</v>
      </c>
      <c r="H926" s="3">
        <v>45177.887083333335</v>
      </c>
      <c r="I926" s="3">
        <v>45177.887083333335</v>
      </c>
      <c r="J926" s="3">
        <v>43059.904606481483</v>
      </c>
      <c r="K926" cm="1">
        <f t="array" ref="K926">sentimentCalc(C926)</f>
        <v>0</v>
      </c>
      <c r="L926" t="str" cm="1">
        <f t="array" ref="L926">sentimentCategory(K926)</f>
        <v>Neutral</v>
      </c>
    </row>
    <row r="927" spans="1:12" x14ac:dyDescent="0.25">
      <c r="A927" t="s">
        <v>2593</v>
      </c>
      <c r="B927" t="s">
        <v>2790</v>
      </c>
      <c r="C927" t="str" cm="1">
        <f t="array" ref="C927">CleanText(B927)</f>
        <v>we all go to the cinema together every day i cant believe the vs</v>
      </c>
      <c r="D927">
        <v>2</v>
      </c>
      <c r="E927">
        <v>1</v>
      </c>
      <c r="F927" t="s">
        <v>10</v>
      </c>
      <c r="G927" t="str" cm="1">
        <f t="array" ref="G927">FindCountryName(F927)</f>
        <v>None</v>
      </c>
      <c r="H927" s="3">
        <v>45157.837164351855</v>
      </c>
      <c r="I927" s="3">
        <v>45157.845219907409</v>
      </c>
      <c r="J927" s="3">
        <v>44910.781076388892</v>
      </c>
      <c r="K927" cm="1">
        <f t="array" ref="K927">sentimentCalc(C927)</f>
        <v>0</v>
      </c>
      <c r="L927" t="str" cm="1">
        <f t="array" ref="L927">sentimentCategory(K927)</f>
        <v>Neutral</v>
      </c>
    </row>
    <row r="928" spans="1:12" x14ac:dyDescent="0.25">
      <c r="A928" t="s">
        <v>171</v>
      </c>
      <c r="B928" t="s">
        <v>732</v>
      </c>
      <c r="C928" t="str" cm="1">
        <f t="array" ref="C928">CleanText(B928)</f>
        <v>n</v>
      </c>
      <c r="D928">
        <v>0</v>
      </c>
      <c r="E928">
        <v>0</v>
      </c>
      <c r="F928" t="s">
        <v>10</v>
      </c>
      <c r="G928" t="str" cm="1">
        <f t="array" ref="G928">FindCountryName(F928)</f>
        <v>None</v>
      </c>
      <c r="H928" s="3">
        <v>45310.26048611111</v>
      </c>
      <c r="I928" s="3">
        <v>45310.26048611111</v>
      </c>
      <c r="J928" s="3">
        <v>45204.724965277775</v>
      </c>
      <c r="K928" cm="1">
        <f t="array" ref="K928">sentimentCalc(C928)</f>
        <v>0</v>
      </c>
      <c r="L928" t="str" cm="1">
        <f t="array" ref="L928">sentimentCategory(K928)</f>
        <v>Neutral</v>
      </c>
    </row>
    <row r="929" spans="1:12" x14ac:dyDescent="0.25">
      <c r="A929" t="s">
        <v>296</v>
      </c>
      <c r="B929" t="s">
        <v>2248</v>
      </c>
      <c r="C929" t="str" cm="1">
        <f t="array" ref="C929">CleanText(B929)</f>
        <v>youwillkam i love you barbi</v>
      </c>
      <c r="D929">
        <v>1</v>
      </c>
      <c r="E929">
        <v>0</v>
      </c>
      <c r="F929" t="s">
        <v>10</v>
      </c>
      <c r="G929" t="str" cm="1">
        <f t="array" ref="G929">FindCountryName(F929)</f>
        <v>None</v>
      </c>
      <c r="H929" s="3">
        <v>45174.216226851851</v>
      </c>
      <c r="I929" s="3">
        <v>45174.216226851851</v>
      </c>
      <c r="J929" s="3">
        <v>45094.045324074075</v>
      </c>
      <c r="K929" cm="1">
        <f t="array" ref="K929">sentimentCalc(C929)</f>
        <v>3</v>
      </c>
      <c r="L929" t="str" cm="1">
        <f t="array" ref="L929">sentimentCategory(K929)</f>
        <v>Positive</v>
      </c>
    </row>
    <row r="930" spans="1:12" x14ac:dyDescent="0.25">
      <c r="A930" t="s">
        <v>444</v>
      </c>
      <c r="B930" t="s">
        <v>445</v>
      </c>
      <c r="C930" t="str" cm="1">
        <f t="array" ref="C930">CleanText(B930)</f>
        <v>n</v>
      </c>
      <c r="D930">
        <v>0</v>
      </c>
      <c r="E930">
        <v>0</v>
      </c>
      <c r="F930" t="s">
        <v>10</v>
      </c>
      <c r="G930" t="str" cm="1">
        <f t="array" ref="G930">FindCountryName(F930)</f>
        <v>None</v>
      </c>
      <c r="H930" s="3">
        <v>45322.27144675926</v>
      </c>
      <c r="I930" s="3">
        <v>45322.27144675926</v>
      </c>
      <c r="J930" s="3">
        <v>45319.223946759259</v>
      </c>
      <c r="K930" cm="1">
        <f t="array" ref="K930">sentimentCalc(C930)</f>
        <v>0</v>
      </c>
      <c r="L930" t="str" cm="1">
        <f t="array" ref="L930">sentimentCategory(K930)</f>
        <v>Neutral</v>
      </c>
    </row>
    <row r="931" spans="1:12" x14ac:dyDescent="0.25">
      <c r="A931" t="s">
        <v>126</v>
      </c>
      <c r="B931" t="s">
        <v>364</v>
      </c>
      <c r="C931" t="str" cm="1">
        <f t="array" ref="C931">CleanText(B931)</f>
        <v>pembe anca bukadar guzle grnebilir hay barbie</v>
      </c>
      <c r="D931">
        <v>0</v>
      </c>
      <c r="E931">
        <v>0</v>
      </c>
      <c r="F931" t="s">
        <v>10</v>
      </c>
      <c r="G931" t="str" cm="1">
        <f t="array" ref="G931">FindCountryName(F931)</f>
        <v>None</v>
      </c>
      <c r="H931" s="3">
        <v>45322.275092592594</v>
      </c>
      <c r="I931" s="3">
        <v>45322.275092592594</v>
      </c>
      <c r="J931" s="3">
        <v>41762.237442129626</v>
      </c>
      <c r="K931" cm="1">
        <f t="array" ref="K931">sentimentCalc(C931)</f>
        <v>0</v>
      </c>
      <c r="L931" t="str" cm="1">
        <f t="array" ref="L931">sentimentCategory(K931)</f>
        <v>Neutral</v>
      </c>
    </row>
    <row r="932" spans="1:12" x14ac:dyDescent="0.25">
      <c r="A932" t="s">
        <v>58</v>
      </c>
      <c r="B932" t="s">
        <v>1644</v>
      </c>
      <c r="C932" t="str" cm="1">
        <f t="array" ref="C932">CleanText(B932)</f>
        <v>n</v>
      </c>
      <c r="D932">
        <v>0</v>
      </c>
      <c r="E932">
        <v>1</v>
      </c>
      <c r="F932" t="s">
        <v>10</v>
      </c>
      <c r="G932" t="str" cm="1">
        <f t="array" ref="G932">FindCountryName(F932)</f>
        <v>None</v>
      </c>
      <c r="H932" s="3">
        <v>45206.359988425924</v>
      </c>
      <c r="I932" s="3">
        <v>45206.359988425924</v>
      </c>
      <c r="J932" s="3">
        <v>44654.518067129633</v>
      </c>
      <c r="K932" cm="1">
        <f t="array" ref="K932">sentimentCalc(C932)</f>
        <v>0</v>
      </c>
      <c r="L932" t="str" cm="1">
        <f t="array" ref="L932">sentimentCategory(K932)</f>
        <v>Neutral</v>
      </c>
    </row>
    <row r="933" spans="1:12" x14ac:dyDescent="0.25">
      <c r="A933" t="s">
        <v>228</v>
      </c>
      <c r="B933" t="s">
        <v>1167</v>
      </c>
      <c r="C933" t="str" cm="1">
        <f t="array" ref="C933">CleanText(B933)</f>
        <v>n</v>
      </c>
      <c r="D933">
        <v>0</v>
      </c>
      <c r="E933">
        <v>0</v>
      </c>
      <c r="F933" t="s">
        <v>10</v>
      </c>
      <c r="G933" t="str" cm="1">
        <f t="array" ref="G933">FindCountryName(F933)</f>
        <v>None</v>
      </c>
      <c r="H933" s="3">
        <v>45281.442499999997</v>
      </c>
      <c r="I933" s="3">
        <v>45281.442499999997</v>
      </c>
      <c r="J933" s="3">
        <v>44922.41578703704</v>
      </c>
      <c r="K933" cm="1">
        <f t="array" ref="K933">sentimentCalc(C933)</f>
        <v>0</v>
      </c>
      <c r="L933" t="str" cm="1">
        <f t="array" ref="L933">sentimentCategory(K933)</f>
        <v>Neutral</v>
      </c>
    </row>
    <row r="934" spans="1:12" x14ac:dyDescent="0.25">
      <c r="A934" t="s">
        <v>387</v>
      </c>
      <c r="B934" t="s">
        <v>1403</v>
      </c>
      <c r="C934" t="str" cm="1">
        <f t="array" ref="C934">CleanText(B934)</f>
        <v>e legal amo rosa</v>
      </c>
      <c r="D934">
        <v>0</v>
      </c>
      <c r="E934">
        <v>0</v>
      </c>
      <c r="F934" t="s">
        <v>10</v>
      </c>
      <c r="G934" t="str" cm="1">
        <f t="array" ref="G934">FindCountryName(F934)</f>
        <v>None</v>
      </c>
      <c r="H934" s="3">
        <v>45233.58016203704</v>
      </c>
      <c r="I934" s="3">
        <v>45233.58016203704</v>
      </c>
      <c r="J934" s="3">
        <v>42232.87709490741</v>
      </c>
      <c r="K934" cm="1">
        <f t="array" ref="K934">sentimentCalc(C934)</f>
        <v>1</v>
      </c>
      <c r="L934" t="str" cm="1">
        <f t="array" ref="L934">sentimentCategory(K934)</f>
        <v>Positive</v>
      </c>
    </row>
    <row r="935" spans="1:12" x14ac:dyDescent="0.25">
      <c r="A935" t="s">
        <v>1129</v>
      </c>
      <c r="B935" t="s">
        <v>2979</v>
      </c>
      <c r="C935" t="str" cm="1">
        <f t="array" ref="C935">CleanText(B935)</f>
        <v>n</v>
      </c>
      <c r="D935">
        <v>0</v>
      </c>
      <c r="E935">
        <v>0</v>
      </c>
      <c r="F935" t="s">
        <v>10</v>
      </c>
      <c r="G935" t="str" cm="1">
        <f t="array" ref="G935">FindCountryName(F935)</f>
        <v>None</v>
      </c>
      <c r="H935" s="3">
        <v>45154.876157407409</v>
      </c>
      <c r="I935" s="3">
        <v>45154.876157407409</v>
      </c>
      <c r="J935" s="3">
        <v>44251.009930555556</v>
      </c>
      <c r="K935" cm="1">
        <f t="array" ref="K935">sentimentCalc(C935)</f>
        <v>0</v>
      </c>
      <c r="L935" t="str" cm="1">
        <f t="array" ref="L935">sentimentCategory(K935)</f>
        <v>Neutral</v>
      </c>
    </row>
    <row r="936" spans="1:12" x14ac:dyDescent="0.25">
      <c r="A936" t="s">
        <v>898</v>
      </c>
      <c r="B936" t="s">
        <v>3619</v>
      </c>
      <c r="C936" t="str" cm="1">
        <f t="array" ref="C936">CleanText(B936)</f>
        <v>n</v>
      </c>
      <c r="D936">
        <v>0</v>
      </c>
      <c r="E936">
        <v>3</v>
      </c>
      <c r="F936" t="s">
        <v>10</v>
      </c>
      <c r="G936" t="str" cm="1">
        <f t="array" ref="G936">FindCountryName(F936)</f>
        <v>None</v>
      </c>
      <c r="H936" s="3">
        <v>45147.047199074077</v>
      </c>
      <c r="I936" s="3">
        <v>45210.463935185187</v>
      </c>
      <c r="J936" s="3">
        <v>41307.409733796296</v>
      </c>
      <c r="K936" cm="1">
        <f t="array" ref="K936">sentimentCalc(C936)</f>
        <v>0</v>
      </c>
      <c r="L936" t="str" cm="1">
        <f t="array" ref="L936">sentimentCategory(K936)</f>
        <v>Neutral</v>
      </c>
    </row>
    <row r="937" spans="1:12" x14ac:dyDescent="0.25">
      <c r="A937" t="s">
        <v>3581</v>
      </c>
      <c r="B937" t="s">
        <v>3582</v>
      </c>
      <c r="C937" t="str" cm="1">
        <f t="array" ref="C937">CleanText(B937)</f>
        <v>n</v>
      </c>
      <c r="D937">
        <v>0</v>
      </c>
      <c r="E937">
        <v>0</v>
      </c>
      <c r="F937" t="s">
        <v>10</v>
      </c>
      <c r="G937" t="str" cm="1">
        <f t="array" ref="G937">FindCountryName(F937)</f>
        <v>None</v>
      </c>
      <c r="H937" s="3">
        <v>45147.441689814812</v>
      </c>
      <c r="I937" s="3">
        <v>45147.441678240742</v>
      </c>
      <c r="J937" s="3">
        <v>44375.377858796295</v>
      </c>
      <c r="K937" cm="1">
        <f t="array" ref="K937">sentimentCalc(C937)</f>
        <v>0</v>
      </c>
      <c r="L937" t="str" cm="1">
        <f t="array" ref="L937">sentimentCategory(K937)</f>
        <v>Neutral</v>
      </c>
    </row>
    <row r="938" spans="1:12" x14ac:dyDescent="0.25">
      <c r="A938" t="s">
        <v>1602</v>
      </c>
      <c r="B938" t="s">
        <v>1603</v>
      </c>
      <c r="C938" t="str" cm="1">
        <f t="array" ref="C938">CleanText(B938)</f>
        <v>n</v>
      </c>
      <c r="D938">
        <v>0</v>
      </c>
      <c r="E938">
        <v>0</v>
      </c>
      <c r="F938" t="s">
        <v>10</v>
      </c>
      <c r="G938" t="str" cm="1">
        <f t="array" ref="G938">FindCountryName(F938)</f>
        <v>None</v>
      </c>
      <c r="H938" s="3">
        <v>45209.381562499999</v>
      </c>
      <c r="I938" s="3">
        <v>45209.381562499999</v>
      </c>
      <c r="J938" s="3">
        <v>43968.281319444446</v>
      </c>
      <c r="K938" cm="1">
        <f t="array" ref="K938">sentimentCalc(C938)</f>
        <v>0</v>
      </c>
      <c r="L938" t="str" cm="1">
        <f t="array" ref="L938">sentimentCategory(K938)</f>
        <v>Neutral</v>
      </c>
    </row>
    <row r="939" spans="1:12" x14ac:dyDescent="0.25">
      <c r="A939" t="s">
        <v>83</v>
      </c>
      <c r="B939" t="s">
        <v>429</v>
      </c>
      <c r="C939" t="str" cm="1">
        <f t="array" ref="C939">CleanText(B939)</f>
        <v>elenceli bir filim tavsiye ederim</v>
      </c>
      <c r="D939">
        <v>0</v>
      </c>
      <c r="E939">
        <v>0</v>
      </c>
      <c r="F939" t="s">
        <v>10</v>
      </c>
      <c r="G939" t="str" cm="1">
        <f t="array" ref="G939">FindCountryName(F939)</f>
        <v>None</v>
      </c>
      <c r="H939" s="3">
        <v>45322.271817129629</v>
      </c>
      <c r="I939" s="3">
        <v>45322.271817129629</v>
      </c>
      <c r="J939" s="3">
        <v>44656.272546296299</v>
      </c>
      <c r="K939" cm="1">
        <f t="array" ref="K939">sentimentCalc(C939)</f>
        <v>0</v>
      </c>
      <c r="L939" t="str" cm="1">
        <f t="array" ref="L939">sentimentCategory(K939)</f>
        <v>Neutral</v>
      </c>
    </row>
    <row r="940" spans="1:12" x14ac:dyDescent="0.25">
      <c r="A940" t="s">
        <v>684</v>
      </c>
      <c r="B940" t="s">
        <v>685</v>
      </c>
      <c r="C940" t="str" cm="1">
        <f t="array" ref="C940">CleanText(B940)</f>
        <v>elenceli bir film</v>
      </c>
      <c r="D940">
        <v>0</v>
      </c>
      <c r="E940">
        <v>0</v>
      </c>
      <c r="F940" t="s">
        <v>10</v>
      </c>
      <c r="G940" t="str" cm="1">
        <f t="array" ref="G940">FindCountryName(F940)</f>
        <v>None</v>
      </c>
      <c r="H940" s="3">
        <v>45314.271678240744</v>
      </c>
      <c r="I940" s="3">
        <v>45314.271678240744</v>
      </c>
      <c r="J940" s="3">
        <v>44957.408101851855</v>
      </c>
      <c r="K940" cm="1">
        <f t="array" ref="K940">sentimentCalc(C940)</f>
        <v>0</v>
      </c>
      <c r="L940" t="str" cm="1">
        <f t="array" ref="L940">sentimentCategory(K940)</f>
        <v>Neutral</v>
      </c>
    </row>
    <row r="941" spans="1:12" x14ac:dyDescent="0.25">
      <c r="A941" t="s">
        <v>828</v>
      </c>
      <c r="B941" t="s">
        <v>852</v>
      </c>
      <c r="C941" t="str" cm="1">
        <f t="array" ref="C941">CleanText(B941)</f>
        <v>elenceli olduu kadar anlaml bir film olmu</v>
      </c>
      <c r="D941">
        <v>1</v>
      </c>
      <c r="E941">
        <v>0</v>
      </c>
      <c r="F941" t="s">
        <v>10</v>
      </c>
      <c r="G941" t="str" cm="1">
        <f t="array" ref="G941">FindCountryName(F941)</f>
        <v>None</v>
      </c>
      <c r="H941" s="3">
        <v>45300.213842592595</v>
      </c>
      <c r="I941" s="3">
        <v>45300.213842592595</v>
      </c>
      <c r="J941" s="3">
        <v>41476.563159722224</v>
      </c>
      <c r="K941" cm="1">
        <f t="array" ref="K941">sentimentCalc(C941)</f>
        <v>0</v>
      </c>
      <c r="L941" t="str" cm="1">
        <f t="array" ref="L941">sentimentCategory(K941)</f>
        <v>Neutral</v>
      </c>
    </row>
    <row r="942" spans="1:12" x14ac:dyDescent="0.25">
      <c r="A942" t="s">
        <v>541</v>
      </c>
      <c r="B942" t="s">
        <v>542</v>
      </c>
      <c r="C942" t="str" cm="1">
        <f t="array" ref="C942">CleanText(B942)</f>
        <v>elenceli renkli bir film izlenmeli ve keyif alnmal</v>
      </c>
      <c r="D942">
        <v>0</v>
      </c>
      <c r="E942">
        <v>0</v>
      </c>
      <c r="F942" t="s">
        <v>10</v>
      </c>
      <c r="G942" t="str" cm="1">
        <f t="array" ref="G942">FindCountryName(F942)</f>
        <v>None</v>
      </c>
      <c r="H942" s="3">
        <v>45317.27715277778</v>
      </c>
      <c r="I942" s="3">
        <v>45317.27715277778</v>
      </c>
      <c r="J942" s="3">
        <v>41937.411226851851</v>
      </c>
      <c r="K942" cm="1">
        <f t="array" ref="K942">sentimentCalc(C942)</f>
        <v>0</v>
      </c>
      <c r="L942" t="str" cm="1">
        <f t="array" ref="L942">sentimentCategory(K942)</f>
        <v>Neutral</v>
      </c>
    </row>
    <row r="943" spans="1:12" x14ac:dyDescent="0.25">
      <c r="A943" t="s">
        <v>192</v>
      </c>
      <c r="B943" t="s">
        <v>997</v>
      </c>
      <c r="C943" t="str" cm="1">
        <f t="array" ref="C943">CleanText(B943)</f>
        <v>elenceli ve srkleyici herkese tavsiye ediyorum sayglat</v>
      </c>
      <c r="D943">
        <v>0</v>
      </c>
      <c r="E943">
        <v>0</v>
      </c>
      <c r="F943" t="s">
        <v>10</v>
      </c>
      <c r="G943" t="str" cm="1">
        <f t="array" ref="G943">FindCountryName(F943)</f>
        <v>None</v>
      </c>
      <c r="H943" s="3">
        <v>45299.252650462964</v>
      </c>
      <c r="I943" s="3">
        <v>45299.252650462964</v>
      </c>
      <c r="J943" s="3">
        <v>45299.252627314818</v>
      </c>
      <c r="K943" cm="1">
        <f t="array" ref="K943">sentimentCalc(C943)</f>
        <v>0</v>
      </c>
      <c r="L943" t="str" cm="1">
        <f t="array" ref="L943">sentimentCategory(K943)</f>
        <v>Neutral</v>
      </c>
    </row>
    <row r="944" spans="1:12" x14ac:dyDescent="0.25">
      <c r="A944" t="s">
        <v>914</v>
      </c>
      <c r="B944" t="s">
        <v>915</v>
      </c>
      <c r="C944" t="str" cm="1">
        <f t="array" ref="C944">CleanText(B944)</f>
        <v>elenceli macera severlerin sklmayaca bir filim</v>
      </c>
      <c r="D944">
        <v>0</v>
      </c>
      <c r="E944">
        <v>0</v>
      </c>
      <c r="F944" t="s">
        <v>10</v>
      </c>
      <c r="G944" t="str" cm="1">
        <f t="array" ref="G944">FindCountryName(F944)</f>
        <v>None</v>
      </c>
      <c r="H944" s="3">
        <v>45299.278321759259</v>
      </c>
      <c r="I944" s="3">
        <v>45299.278321759259</v>
      </c>
      <c r="J944" s="3">
        <v>44533.591168981482</v>
      </c>
      <c r="K944" cm="1">
        <f t="array" ref="K944">sentimentCalc(C944)</f>
        <v>0</v>
      </c>
      <c r="L944" t="str" cm="1">
        <f t="array" ref="L944">sentimentCategory(K944)</f>
        <v>Neutral</v>
      </c>
    </row>
    <row r="945" spans="1:12" x14ac:dyDescent="0.25">
      <c r="A945" t="s">
        <v>2596</v>
      </c>
      <c r="B945" t="s">
        <v>2597</v>
      </c>
      <c r="C945" t="str" cm="1">
        <f t="array" ref="C945">CleanText(B945)</f>
        <v>eddie murphy should have been ken</v>
      </c>
      <c r="D945">
        <v>0</v>
      </c>
      <c r="E945">
        <v>4</v>
      </c>
      <c r="F945" t="s">
        <v>10</v>
      </c>
      <c r="G945" t="str" cm="1">
        <f t="array" ref="G945">FindCountryName(F945)</f>
        <v>None</v>
      </c>
      <c r="H945" s="3">
        <v>45162.27652777778</v>
      </c>
      <c r="I945" s="3">
        <v>45162.27652777778</v>
      </c>
      <c r="J945" s="3">
        <v>39319.417280092595</v>
      </c>
      <c r="K945" cm="1">
        <f t="array" ref="K945">sentimentCalc(C945)</f>
        <v>0</v>
      </c>
      <c r="L945" t="str" cm="1">
        <f t="array" ref="L945">sentimentCategory(K945)</f>
        <v>Neutral</v>
      </c>
    </row>
    <row r="946" spans="1:12" x14ac:dyDescent="0.25">
      <c r="A946" t="s">
        <v>34</v>
      </c>
      <c r="B946" t="s">
        <v>586</v>
      </c>
      <c r="C946" t="str" cm="1">
        <f t="array" ref="C946">CleanText(B946)</f>
        <v>eglenceli bir filme benziyor ve sevgidim oyuncularin olmasi cok gzel</v>
      </c>
      <c r="D946">
        <v>0</v>
      </c>
      <c r="E946">
        <v>0</v>
      </c>
      <c r="F946" t="s">
        <v>10</v>
      </c>
      <c r="G946" t="str" cm="1">
        <f t="array" ref="G946">FindCountryName(F946)</f>
        <v>None</v>
      </c>
      <c r="H946" s="3">
        <v>45317.271747685183</v>
      </c>
      <c r="I946" s="3">
        <v>45317.271747685183</v>
      </c>
      <c r="J946" s="3">
        <v>42148.242222222223</v>
      </c>
      <c r="K946" cm="1">
        <f t="array" ref="K946">sentimentCalc(C946)</f>
        <v>0</v>
      </c>
      <c r="L946" t="str" cm="1">
        <f t="array" ref="L946">sentimentCategory(K946)</f>
        <v>Neutral</v>
      </c>
    </row>
    <row r="947" spans="1:12" x14ac:dyDescent="0.25">
      <c r="A947" t="s">
        <v>549</v>
      </c>
      <c r="B947" t="s">
        <v>2042</v>
      </c>
      <c r="C947" t="str" cm="1">
        <f t="array" ref="C947">CleanText(B947)</f>
        <v>egnchj</v>
      </c>
      <c r="D947">
        <v>0</v>
      </c>
      <c r="E947">
        <v>0</v>
      </c>
      <c r="F947" t="s">
        <v>10</v>
      </c>
      <c r="G947" t="str" cm="1">
        <f t="array" ref="G947">FindCountryName(F947)</f>
        <v>None</v>
      </c>
      <c r="H947" s="3">
        <v>45183.066562499997</v>
      </c>
      <c r="I947" s="3">
        <v>45183.066562499997</v>
      </c>
      <c r="J947" s="3">
        <v>44472.722199074073</v>
      </c>
      <c r="K947" cm="1">
        <f t="array" ref="K947">sentimentCalc(C947)</f>
        <v>0</v>
      </c>
      <c r="L947" t="str" cm="1">
        <f t="array" ref="L947">sentimentCategory(K947)</f>
        <v>Neutral</v>
      </c>
    </row>
    <row r="948" spans="1:12" x14ac:dyDescent="0.25">
      <c r="A948" t="s">
        <v>311</v>
      </c>
      <c r="B948" t="s">
        <v>599</v>
      </c>
      <c r="C948" t="str" cm="1">
        <f t="array" ref="C948">CleanText(B948)</f>
        <v>eh</v>
      </c>
      <c r="D948">
        <v>0</v>
      </c>
      <c r="E948">
        <v>0</v>
      </c>
      <c r="F948" t="s">
        <v>10</v>
      </c>
      <c r="G948" t="str" cm="1">
        <f t="array" ref="G948">FindCountryName(F948)</f>
        <v>None</v>
      </c>
      <c r="H948" s="3">
        <v>45316.918715277781</v>
      </c>
      <c r="I948" s="3">
        <v>45316.918715277781</v>
      </c>
      <c r="J948" s="3">
        <v>42619.85015046296</v>
      </c>
      <c r="K948" cm="1">
        <f t="array" ref="K948">sentimentCalc(C948)</f>
        <v>0</v>
      </c>
      <c r="L948" t="str" cm="1">
        <f t="array" ref="L948">sentimentCategory(K948)</f>
        <v>Neutral</v>
      </c>
    </row>
    <row r="949" spans="1:12" x14ac:dyDescent="0.25">
      <c r="A949" t="s">
        <v>382</v>
      </c>
      <c r="B949" t="s">
        <v>2771</v>
      </c>
      <c r="C949" t="str" cm="1">
        <f t="array" ref="C949">CleanText(B949)</f>
        <v>ei love barbie</v>
      </c>
      <c r="D949">
        <v>0</v>
      </c>
      <c r="E949">
        <v>0</v>
      </c>
      <c r="F949" t="s">
        <v>10</v>
      </c>
      <c r="G949" t="str" cm="1">
        <f t="array" ref="G949">FindCountryName(F949)</f>
        <v>None</v>
      </c>
      <c r="H949" s="3">
        <v>45158.203009259261</v>
      </c>
      <c r="I949" s="3">
        <v>45158.202997685185</v>
      </c>
      <c r="J949" s="3">
        <v>45158.201504629629</v>
      </c>
      <c r="K949" cm="1">
        <f t="array" ref="K949">sentimentCalc(C949)</f>
        <v>3</v>
      </c>
      <c r="L949" t="str" cm="1">
        <f t="array" ref="L949">sentimentCategory(K949)</f>
        <v>Positive</v>
      </c>
    </row>
    <row r="950" spans="1:12" x14ac:dyDescent="0.25">
      <c r="A950" t="s">
        <v>777</v>
      </c>
      <c r="B950" t="s">
        <v>778</v>
      </c>
      <c r="C950" t="str" cm="1">
        <f t="array" ref="C950">CleanText(B950)</f>
        <v>en kt bok</v>
      </c>
      <c r="D950">
        <v>1</v>
      </c>
      <c r="E950">
        <v>0</v>
      </c>
      <c r="F950" t="s">
        <v>10</v>
      </c>
      <c r="G950" t="str" cm="1">
        <f t="array" ref="G950">FindCountryName(F950)</f>
        <v>None</v>
      </c>
      <c r="H950" s="3">
        <v>45308.339837962965</v>
      </c>
      <c r="I950" s="3">
        <v>45308.339837962965</v>
      </c>
      <c r="J950" s="3">
        <v>45111.72078703704</v>
      </c>
      <c r="K950" cm="1">
        <f t="array" ref="K950">sentimentCalc(C950)</f>
        <v>0</v>
      </c>
      <c r="L950" t="str" cm="1">
        <f t="array" ref="L950">sentimentCategory(K950)</f>
        <v>Neutral</v>
      </c>
    </row>
    <row r="951" spans="1:12" x14ac:dyDescent="0.25">
      <c r="A951" t="s">
        <v>1794</v>
      </c>
      <c r="B951" t="s">
        <v>1795</v>
      </c>
      <c r="C951" t="str" cm="1">
        <f t="array" ref="C951">CleanText(B951)</f>
        <v>en so now theres a script alexia robbie fox rocks czar oui love you margot robbie</v>
      </c>
      <c r="D951">
        <v>0</v>
      </c>
      <c r="E951">
        <v>0</v>
      </c>
      <c r="F951" t="s">
        <v>10</v>
      </c>
      <c r="G951" t="str" cm="1">
        <f t="array" ref="G951">FindCountryName(F951)</f>
        <v>None</v>
      </c>
      <c r="H951" s="3">
        <v>45194.346076388887</v>
      </c>
      <c r="I951" s="3">
        <v>45194.346076388887</v>
      </c>
      <c r="J951" s="3">
        <v>39412.755833333336</v>
      </c>
      <c r="K951" cm="1">
        <f t="array" ref="K951">sentimentCalc(C951)</f>
        <v>3</v>
      </c>
      <c r="L951" t="str" cm="1">
        <f t="array" ref="L951">sentimentCategory(K951)</f>
        <v>Positive</v>
      </c>
    </row>
    <row r="952" spans="1:12" x14ac:dyDescent="0.25">
      <c r="A952" t="s">
        <v>878</v>
      </c>
      <c r="B952" t="s">
        <v>2465</v>
      </c>
      <c r="C952" t="str" cm="1">
        <f t="array" ref="C952">CleanText(B952)</f>
        <v>end of career</v>
      </c>
      <c r="D952">
        <v>0</v>
      </c>
      <c r="E952">
        <v>1</v>
      </c>
      <c r="F952" t="s">
        <v>10</v>
      </c>
      <c r="G952" t="str" cm="1">
        <f t="array" ref="G952">FindCountryName(F952)</f>
        <v>None</v>
      </c>
      <c r="H952" s="3">
        <v>45166.083043981482</v>
      </c>
      <c r="I952" s="3">
        <v>45166.083043981482</v>
      </c>
      <c r="J952" s="3">
        <v>42481.162349537037</v>
      </c>
      <c r="K952" cm="1">
        <f t="array" ref="K952">sentimentCalc(C952)</f>
        <v>0</v>
      </c>
      <c r="L952" t="str" cm="1">
        <f t="array" ref="L952">sentimentCategory(K952)</f>
        <v>Neutral</v>
      </c>
    </row>
    <row r="953" spans="1:12" x14ac:dyDescent="0.25">
      <c r="A953" t="s">
        <v>118</v>
      </c>
      <c r="B953" t="s">
        <v>1758</v>
      </c>
      <c r="C953" t="str" cm="1">
        <f t="array" ref="C953">CleanText(B953)</f>
        <v>entertainment for infantile authists mostly</v>
      </c>
      <c r="D953">
        <v>0</v>
      </c>
      <c r="E953">
        <v>4</v>
      </c>
      <c r="F953" t="s">
        <v>10</v>
      </c>
      <c r="G953" t="str" cm="1">
        <f t="array" ref="G953">FindCountryName(F953)</f>
        <v>None</v>
      </c>
      <c r="H953" s="3">
        <v>45196.804027777776</v>
      </c>
      <c r="I953" s="3">
        <v>45196.804027777776</v>
      </c>
      <c r="J953" s="3">
        <v>43030.993391203701</v>
      </c>
      <c r="K953" cm="1">
        <f t="array" ref="K953">sentimentCalc(C953)</f>
        <v>0</v>
      </c>
      <c r="L953" t="str" cm="1">
        <f t="array" ref="L953">sentimentCategory(K953)</f>
        <v>Neutral</v>
      </c>
    </row>
    <row r="954" spans="1:12" x14ac:dyDescent="0.25">
      <c r="A954" t="s">
        <v>2489</v>
      </c>
      <c r="B954" t="s">
        <v>4358</v>
      </c>
      <c r="C954" t="str" cm="1">
        <f t="array" ref="C954">CleanText(B954)</f>
        <v>entrance gate to sodom and gomorrah</v>
      </c>
      <c r="D954">
        <v>2</v>
      </c>
      <c r="E954">
        <v>0</v>
      </c>
      <c r="F954" t="s">
        <v>2894</v>
      </c>
      <c r="G954" t="str" cm="1">
        <f t="array" ref="G954">FindCountryName(F954)</f>
        <v>Japan</v>
      </c>
      <c r="H954" s="3">
        <v>45140.70071759259</v>
      </c>
      <c r="I954" s="3">
        <v>45140.70071759259</v>
      </c>
      <c r="J954" s="3">
        <v>40126.281446759262</v>
      </c>
      <c r="K954" cm="1">
        <f t="array" ref="K954">sentimentCalc(C954)</f>
        <v>0</v>
      </c>
      <c r="L954" t="str" cm="1">
        <f t="array" ref="L954">sentimentCategory(K954)</f>
        <v>Neutral</v>
      </c>
    </row>
    <row r="955" spans="1:12" x14ac:dyDescent="0.25">
      <c r="A955" t="s">
        <v>442</v>
      </c>
      <c r="B955" t="s">
        <v>2856</v>
      </c>
      <c r="C955" t="str" cm="1">
        <f t="array" ref="C955">CleanText(B955)</f>
        <v>epic job to all the actors and especially greta gerwing</v>
      </c>
      <c r="D955">
        <v>25</v>
      </c>
      <c r="E955">
        <v>4</v>
      </c>
      <c r="F955" t="s">
        <v>10</v>
      </c>
      <c r="G955" t="str" cm="1">
        <f t="array" ref="G955">FindCountryName(F955)</f>
        <v>None</v>
      </c>
      <c r="H955" s="3">
        <v>45156.80746527778</v>
      </c>
      <c r="I955" s="3">
        <v>45156.80746527778</v>
      </c>
      <c r="J955" s="3">
        <v>44488.11378472222</v>
      </c>
      <c r="K955" cm="1">
        <f t="array" ref="K955">sentimentCalc(C955)</f>
        <v>0</v>
      </c>
      <c r="L955" t="str" cm="1">
        <f t="array" ref="L955">sentimentCategory(K955)</f>
        <v>Neutral</v>
      </c>
    </row>
    <row r="956" spans="1:12" x14ac:dyDescent="0.25">
      <c r="A956" t="s">
        <v>514</v>
      </c>
      <c r="B956" t="s">
        <v>1462</v>
      </c>
      <c r="C956" t="str" cm="1">
        <f t="array" ref="C956">CleanText(B956)</f>
        <v>esse filme  muito bom</v>
      </c>
      <c r="D956">
        <v>0</v>
      </c>
      <c r="E956">
        <v>0</v>
      </c>
      <c r="F956" t="s">
        <v>10</v>
      </c>
      <c r="G956" t="str" cm="1">
        <f t="array" ref="G956">FindCountryName(F956)</f>
        <v>None</v>
      </c>
      <c r="H956" s="3">
        <v>45226.387789351851</v>
      </c>
      <c r="I956" s="3">
        <v>45226.387789351851</v>
      </c>
      <c r="J956" s="3">
        <v>44819.784050925926</v>
      </c>
      <c r="K956" cm="1">
        <f t="array" ref="K956">sentimentCalc(C956)</f>
        <v>0</v>
      </c>
      <c r="L956" t="str" cm="1">
        <f t="array" ref="L956">sentimentCategory(K956)</f>
        <v>Neutral</v>
      </c>
    </row>
    <row r="957" spans="1:12" x14ac:dyDescent="0.25">
      <c r="A957" t="s">
        <v>336</v>
      </c>
      <c r="B957" t="s">
        <v>1817</v>
      </c>
      <c r="C957" t="str" cm="1">
        <f t="array" ref="C957">CleanText(B957)</f>
        <v>esse filme  top de mais</v>
      </c>
      <c r="D957">
        <v>0</v>
      </c>
      <c r="E957">
        <v>0</v>
      </c>
      <c r="F957" t="s">
        <v>10</v>
      </c>
      <c r="G957" t="str" cm="1">
        <f t="array" ref="G957">FindCountryName(F957)</f>
        <v>None</v>
      </c>
      <c r="H957" s="3">
        <v>45192.690358796295</v>
      </c>
      <c r="I957" s="3">
        <v>45192.690347222226</v>
      </c>
      <c r="J957" s="3">
        <v>45167.751203703701</v>
      </c>
      <c r="K957" cm="1">
        <f t="array" ref="K957">sentimentCalc(C957)</f>
        <v>2</v>
      </c>
      <c r="L957" t="str" cm="1">
        <f t="array" ref="L957">sentimentCategory(K957)</f>
        <v>Positive</v>
      </c>
    </row>
    <row r="958" spans="1:12" x14ac:dyDescent="0.25">
      <c r="A958" t="s">
        <v>13</v>
      </c>
      <c r="B958" t="s">
        <v>1626</v>
      </c>
      <c r="C958" t="str" cm="1">
        <f t="array" ref="C958">CleanText(B958)</f>
        <v>esse filme  top</v>
      </c>
      <c r="D958">
        <v>0</v>
      </c>
      <c r="E958">
        <v>0</v>
      </c>
      <c r="F958" t="s">
        <v>10</v>
      </c>
      <c r="G958" t="str" cm="1">
        <f t="array" ref="G958">FindCountryName(F958)</f>
        <v>None</v>
      </c>
      <c r="H958" s="3">
        <v>45207.443414351852</v>
      </c>
      <c r="I958" s="3">
        <v>45207.443414351852</v>
      </c>
      <c r="J958" s="3">
        <v>42439.780138888891</v>
      </c>
      <c r="K958" cm="1">
        <f t="array" ref="K958">sentimentCalc(C958)</f>
        <v>2</v>
      </c>
      <c r="L958" t="str" cm="1">
        <f t="array" ref="L958">sentimentCategory(K958)</f>
        <v>Positive</v>
      </c>
    </row>
    <row r="959" spans="1:12" x14ac:dyDescent="0.25">
      <c r="A959" t="s">
        <v>36</v>
      </c>
      <c r="B959" t="s">
        <v>1910</v>
      </c>
      <c r="C959" t="str" cm="1">
        <f t="array" ref="C959">CleanText(B959)</f>
        <v>esse filme e muito engraado</v>
      </c>
      <c r="D959">
        <v>0</v>
      </c>
      <c r="E959">
        <v>0</v>
      </c>
      <c r="F959" t="s">
        <v>10</v>
      </c>
      <c r="G959" t="str" cm="1">
        <f t="array" ref="G959">FindCountryName(F959)</f>
        <v>None</v>
      </c>
      <c r="H959" s="3">
        <v>45188.31082175926</v>
      </c>
      <c r="I959" s="3">
        <v>45188.31082175926</v>
      </c>
      <c r="J959" s="3">
        <v>44585.288287037038</v>
      </c>
      <c r="K959" cm="1">
        <f t="array" ref="K959">sentimentCalc(C959)</f>
        <v>0</v>
      </c>
      <c r="L959" t="str" cm="1">
        <f t="array" ref="L959">sentimentCategory(K959)</f>
        <v>Neutral</v>
      </c>
    </row>
    <row r="960" spans="1:12" x14ac:dyDescent="0.25">
      <c r="A960" t="s">
        <v>1394</v>
      </c>
      <c r="B960" t="s">
        <v>1770</v>
      </c>
      <c r="C960" t="str" cm="1">
        <f t="array" ref="C960">CleanText(B960)</f>
        <v>esse filme espira muitas pessoas que top</v>
      </c>
      <c r="D960">
        <v>2</v>
      </c>
      <c r="E960">
        <v>0</v>
      </c>
      <c r="F960" t="s">
        <v>10</v>
      </c>
      <c r="G960" t="str" cm="1">
        <f t="array" ref="G960">FindCountryName(F960)</f>
        <v>None</v>
      </c>
      <c r="H960" s="3">
        <v>45196.502685185187</v>
      </c>
      <c r="I960" s="3">
        <v>45196.502685185187</v>
      </c>
      <c r="J960" s="3">
        <v>41055.565451388888</v>
      </c>
      <c r="K960" cm="1">
        <f t="array" ref="K960">sentimentCalc(C960)</f>
        <v>2</v>
      </c>
      <c r="L960" t="str" cm="1">
        <f t="array" ref="L960">sentimentCategory(K960)</f>
        <v>Positive</v>
      </c>
    </row>
    <row r="961" spans="1:12" x14ac:dyDescent="0.25">
      <c r="A961" t="s">
        <v>247</v>
      </c>
      <c r="B961" t="s">
        <v>1607</v>
      </c>
      <c r="C961" t="str" cm="1">
        <f t="array" ref="C961">CleanText(B961)</f>
        <v>esse filme lembra muito poca de criana</v>
      </c>
      <c r="D961">
        <v>1</v>
      </c>
      <c r="E961">
        <v>0</v>
      </c>
      <c r="F961" t="s">
        <v>10</v>
      </c>
      <c r="G961" t="str" cm="1">
        <f t="array" ref="G961">FindCountryName(F961)</f>
        <v>None</v>
      </c>
      <c r="H961" s="3">
        <v>45208.731516203705</v>
      </c>
      <c r="I961" s="3">
        <v>45208.731516203705</v>
      </c>
      <c r="J961" s="3">
        <v>42526.468842592592</v>
      </c>
      <c r="K961" cm="1">
        <f t="array" ref="K961">sentimentCalc(C961)</f>
        <v>0</v>
      </c>
      <c r="L961" t="str" cm="1">
        <f t="array" ref="L961">sentimentCategory(K961)</f>
        <v>Neutral</v>
      </c>
    </row>
    <row r="962" spans="1:12" x14ac:dyDescent="0.25">
      <c r="A962" t="s">
        <v>223</v>
      </c>
      <c r="B962" t="s">
        <v>1388</v>
      </c>
      <c r="C962" t="str" cm="1">
        <f t="array" ref="C962">CleanText(B962)</f>
        <v>esse filme me superou foi muito bom relembrar minha infncia</v>
      </c>
      <c r="D962">
        <v>16</v>
      </c>
      <c r="E962">
        <v>0</v>
      </c>
      <c r="F962" t="s">
        <v>10</v>
      </c>
      <c r="G962" t="str" cm="1">
        <f t="array" ref="G962">FindCountryName(F962)</f>
        <v>None</v>
      </c>
      <c r="H962" s="3">
        <v>45234.318460648145</v>
      </c>
      <c r="I962" s="3">
        <v>45234.318460648145</v>
      </c>
      <c r="J962" s="3">
        <v>43418.330729166664</v>
      </c>
      <c r="K962" cm="1">
        <f t="array" ref="K962">sentimentCalc(C962)</f>
        <v>0</v>
      </c>
      <c r="L962" t="str" cm="1">
        <f t="array" ref="L962">sentimentCategory(K962)</f>
        <v>Neutral</v>
      </c>
    </row>
    <row r="963" spans="1:12" x14ac:dyDescent="0.25">
      <c r="A963" t="s">
        <v>1397</v>
      </c>
      <c r="B963" t="s">
        <v>1398</v>
      </c>
      <c r="C963" t="str" cm="1">
        <f t="array" ref="C963">CleanText(B963)</f>
        <v>esse filme simplesmente maravilhoso</v>
      </c>
      <c r="D963">
        <v>0</v>
      </c>
      <c r="E963">
        <v>0</v>
      </c>
      <c r="F963" t="s">
        <v>10</v>
      </c>
      <c r="G963" t="str" cm="1">
        <f t="array" ref="G963">FindCountryName(F963)</f>
        <v>None</v>
      </c>
      <c r="H963" s="3">
        <v>45233.629236111112</v>
      </c>
      <c r="I963" s="3">
        <v>45233.629236111112</v>
      </c>
      <c r="J963" s="3">
        <v>39693.82539351852</v>
      </c>
      <c r="K963" cm="1">
        <f t="array" ref="K963">sentimentCalc(C963)</f>
        <v>0</v>
      </c>
      <c r="L963" t="str" cm="1">
        <f t="array" ref="L963">sentimentCategory(K963)</f>
        <v>Neutral</v>
      </c>
    </row>
    <row r="964" spans="1:12" x14ac:dyDescent="0.25">
      <c r="A964" t="s">
        <v>307</v>
      </c>
      <c r="B964" t="s">
        <v>1450</v>
      </c>
      <c r="C964" t="str" cm="1">
        <f t="array" ref="C964">CleanText(B964)</f>
        <v>esse filme superou todas minhas expectativas</v>
      </c>
      <c r="D964">
        <v>8</v>
      </c>
      <c r="E964">
        <v>0</v>
      </c>
      <c r="F964" t="s">
        <v>10</v>
      </c>
      <c r="G964" t="str" cm="1">
        <f t="array" ref="G964">FindCountryName(F964)</f>
        <v>None</v>
      </c>
      <c r="H964" s="3">
        <v>45226.514282407406</v>
      </c>
      <c r="I964" s="3">
        <v>45226.514282407406</v>
      </c>
      <c r="J964" s="3">
        <v>44073.55777777778</v>
      </c>
      <c r="K964" cm="1">
        <f t="array" ref="K964">sentimentCalc(C964)</f>
        <v>0</v>
      </c>
      <c r="L964" t="str" cm="1">
        <f t="array" ref="L964">sentimentCategory(K964)</f>
        <v>Neutral</v>
      </c>
    </row>
    <row r="965" spans="1:12" x14ac:dyDescent="0.25">
      <c r="A965" t="s">
        <v>895</v>
      </c>
      <c r="B965" t="s">
        <v>1984</v>
      </c>
      <c r="C965" t="str" cm="1">
        <f t="array" ref="C965">CleanText(B965)</f>
        <v>esse foi o filme mais comentado do ano</v>
      </c>
      <c r="D965">
        <v>0</v>
      </c>
      <c r="E965">
        <v>0</v>
      </c>
      <c r="F965" t="s">
        <v>10</v>
      </c>
      <c r="G965" t="str" cm="1">
        <f t="array" ref="G965">FindCountryName(F965)</f>
        <v>None</v>
      </c>
      <c r="H965" s="3">
        <v>45185.445081018515</v>
      </c>
      <c r="I965" s="3">
        <v>45185.445081018515</v>
      </c>
      <c r="J965" s="3">
        <v>41151.379525462966</v>
      </c>
      <c r="K965" cm="1">
        <f t="array" ref="K965">sentimentCalc(C965)</f>
        <v>0</v>
      </c>
      <c r="L965" t="str" cm="1">
        <f t="array" ref="L965">sentimentCategory(K965)</f>
        <v>Neutral</v>
      </c>
    </row>
    <row r="966" spans="1:12" x14ac:dyDescent="0.25">
      <c r="A966" t="s">
        <v>213</v>
      </c>
      <c r="B966" t="s">
        <v>1636</v>
      </c>
      <c r="C966" t="str" cm="1">
        <f t="array" ref="C966">CleanText(B966)</f>
        <v>esse ken e muito sem graa a barbie ela e muita linda o filme e legal e engracado</v>
      </c>
      <c r="D966">
        <v>0</v>
      </c>
      <c r="E966">
        <v>0</v>
      </c>
      <c r="F966" t="s">
        <v>10</v>
      </c>
      <c r="G966" t="str" cm="1">
        <f t="array" ref="G966">FindCountryName(F966)</f>
        <v>None</v>
      </c>
      <c r="H966" s="3">
        <v>45207.296064814815</v>
      </c>
      <c r="I966" s="3">
        <v>45207.296064814815</v>
      </c>
      <c r="J966" s="3">
        <v>44037.773680555554</v>
      </c>
      <c r="K966" cm="1">
        <f t="array" ref="K966">sentimentCalc(C966)</f>
        <v>1</v>
      </c>
      <c r="L966" t="str" cm="1">
        <f t="array" ref="L966">sentimentCategory(K966)</f>
        <v>Positive</v>
      </c>
    </row>
    <row r="967" spans="1:12" x14ac:dyDescent="0.25">
      <c r="A967" t="s">
        <v>878</v>
      </c>
      <c r="B967" t="s">
        <v>1511</v>
      </c>
      <c r="C967" t="str" cm="1">
        <f t="array" ref="C967">CleanText(B967)</f>
        <v>esse sem dvidas  um filme que toda garotada gosta at os adultos gostam sem contar que damos bastante risadas</v>
      </c>
      <c r="D967">
        <v>2</v>
      </c>
      <c r="E967">
        <v>1</v>
      </c>
      <c r="F967" t="s">
        <v>10</v>
      </c>
      <c r="G967" t="str" cm="1">
        <f t="array" ref="G967">FindCountryName(F967)</f>
        <v>None</v>
      </c>
      <c r="H967" s="3">
        <v>45218.595729166664</v>
      </c>
      <c r="I967" s="3">
        <v>45218.595729166664</v>
      </c>
      <c r="J967" s="3">
        <v>44265.752511574072</v>
      </c>
      <c r="K967" cm="1">
        <f t="array" ref="K967">sentimentCalc(C967)</f>
        <v>0</v>
      </c>
      <c r="L967" t="str" cm="1">
        <f t="array" ref="L967">sentimentCategory(K967)</f>
        <v>Neutral</v>
      </c>
    </row>
    <row r="968" spans="1:12" x14ac:dyDescent="0.25">
      <c r="A968" t="s">
        <v>537</v>
      </c>
      <c r="B968" t="s">
        <v>1460</v>
      </c>
      <c r="C968" t="str" cm="1">
        <f t="array" ref="C968">CleanText(B968)</f>
        <v>estava ansiosa por esse filmemundo rosaaa</v>
      </c>
      <c r="D968">
        <v>0</v>
      </c>
      <c r="E968">
        <v>0</v>
      </c>
      <c r="F968" t="s">
        <v>10</v>
      </c>
      <c r="G968" t="str" cm="1">
        <f t="array" ref="G968">FindCountryName(F968)</f>
        <v>None</v>
      </c>
      <c r="H968" s="3">
        <v>45226.395601851851</v>
      </c>
      <c r="I968" s="3">
        <v>45226.395601851851</v>
      </c>
      <c r="J968" s="3">
        <v>40932.389386574076</v>
      </c>
      <c r="K968" cm="1">
        <f t="array" ref="K968">sentimentCalc(C968)</f>
        <v>0</v>
      </c>
      <c r="L968" t="str" cm="1">
        <f t="array" ref="L968">sentimentCategory(K968)</f>
        <v>Neutral</v>
      </c>
    </row>
    <row r="969" spans="1:12" x14ac:dyDescent="0.25">
      <c r="A969" t="s">
        <v>1366</v>
      </c>
      <c r="B969" t="s">
        <v>1560</v>
      </c>
      <c r="C969" t="str" cm="1">
        <f t="array" ref="C969">CleanText(B969)</f>
        <v>este filme  muito bom</v>
      </c>
      <c r="D969">
        <v>0</v>
      </c>
      <c r="E969">
        <v>0</v>
      </c>
      <c r="F969" t="s">
        <v>10</v>
      </c>
      <c r="G969" t="str" cm="1">
        <f t="array" ref="G969">FindCountryName(F969)</f>
        <v>None</v>
      </c>
      <c r="H969" s="3">
        <v>45214.35900462963</v>
      </c>
      <c r="I969" s="3">
        <v>45214.35900462963</v>
      </c>
      <c r="J969" s="3">
        <v>43818.444143518522</v>
      </c>
      <c r="K969" cm="1">
        <f t="array" ref="K969">sentimentCalc(C969)</f>
        <v>0</v>
      </c>
      <c r="L969" t="str" cm="1">
        <f t="array" ref="L969">sentimentCategory(K969)</f>
        <v>Neutral</v>
      </c>
    </row>
    <row r="970" spans="1:12" x14ac:dyDescent="0.25">
      <c r="A970" t="s">
        <v>275</v>
      </c>
      <c r="B970" t="s">
        <v>276</v>
      </c>
      <c r="C970" t="str" cm="1">
        <f t="array" ref="C970">CleanText(B970)</f>
        <v>etkileyici grnyor ben beendim</v>
      </c>
      <c r="D970">
        <v>0</v>
      </c>
      <c r="E970">
        <v>0</v>
      </c>
      <c r="F970" t="s">
        <v>10</v>
      </c>
      <c r="G970" t="str" cm="1">
        <f t="array" ref="G970">FindCountryName(F970)</f>
        <v>None</v>
      </c>
      <c r="H970" s="3">
        <v>45322.526087962964</v>
      </c>
      <c r="I970" s="3">
        <v>45322.526087962964</v>
      </c>
      <c r="J970" s="3">
        <v>41847.199641203704</v>
      </c>
      <c r="K970" cm="1">
        <f t="array" ref="K970">sentimentCalc(C970)</f>
        <v>0</v>
      </c>
      <c r="L970" t="str" cm="1">
        <f t="array" ref="L970">sentimentCategory(K970)</f>
        <v>Neutral</v>
      </c>
    </row>
    <row r="971" spans="1:12" x14ac:dyDescent="0.25">
      <c r="A971" t="s">
        <v>501</v>
      </c>
      <c r="B971" t="s">
        <v>991</v>
      </c>
      <c r="C971" t="str" cm="1">
        <f t="array" ref="C971">CleanText(B971)</f>
        <v>etkileyici kesin izlenmesi gereken bir film</v>
      </c>
      <c r="D971">
        <v>0</v>
      </c>
      <c r="E971">
        <v>0</v>
      </c>
      <c r="F971" t="s">
        <v>10</v>
      </c>
      <c r="G971" t="str" cm="1">
        <f t="array" ref="G971">FindCountryName(F971)</f>
        <v>None</v>
      </c>
      <c r="H971" s="3">
        <v>45299.252812500003</v>
      </c>
      <c r="I971" s="3">
        <v>45299.252812500003</v>
      </c>
      <c r="J971" s="3">
        <v>45299.252800925926</v>
      </c>
      <c r="K971" cm="1">
        <f t="array" ref="K971">sentimentCalc(C971)</f>
        <v>0</v>
      </c>
      <c r="L971" t="str" cm="1">
        <f t="array" ref="L971">sentimentCategory(K971)</f>
        <v>Neutral</v>
      </c>
    </row>
    <row r="972" spans="1:12" x14ac:dyDescent="0.25">
      <c r="A972" t="s">
        <v>215</v>
      </c>
      <c r="B972" t="s">
        <v>1931</v>
      </c>
      <c r="C972" t="str" cm="1">
        <f t="array" ref="C972">CleanText(B972)</f>
        <v>eu adorei esse filma adora a barby</v>
      </c>
      <c r="D972">
        <v>0</v>
      </c>
      <c r="E972">
        <v>0</v>
      </c>
      <c r="F972" t="s">
        <v>10</v>
      </c>
      <c r="G972" t="str" cm="1">
        <f t="array" ref="G972">FindCountryName(F972)</f>
        <v>None</v>
      </c>
      <c r="H972" s="3">
        <v>45187.55400462963</v>
      </c>
      <c r="I972" s="3">
        <v>45187.55400462963</v>
      </c>
      <c r="J972" s="3">
        <v>40318.561180555553</v>
      </c>
      <c r="K972" cm="1">
        <f t="array" ref="K972">sentimentCalc(C972)</f>
        <v>0</v>
      </c>
      <c r="L972" t="str" cm="1">
        <f t="array" ref="L972">sentimentCategory(K972)</f>
        <v>Neutral</v>
      </c>
    </row>
    <row r="973" spans="1:12" x14ac:dyDescent="0.25">
      <c r="A973" t="s">
        <v>1332</v>
      </c>
      <c r="B973" t="s">
        <v>1333</v>
      </c>
      <c r="C973" t="str" cm="1">
        <f t="array" ref="C973">CleanText(B973)</f>
        <v>eu amei esse filme me lembrou de quando eu era criana</v>
      </c>
      <c r="D973">
        <v>1</v>
      </c>
      <c r="E973">
        <v>0</v>
      </c>
      <c r="F973" t="s">
        <v>10</v>
      </c>
      <c r="G973" t="str" cm="1">
        <f t="array" ref="G973">FindCountryName(F973)</f>
        <v>None</v>
      </c>
      <c r="H973" s="3">
        <v>45243.247372685182</v>
      </c>
      <c r="I973" s="3">
        <v>45243.247372685182</v>
      </c>
      <c r="J973" s="3">
        <v>43267.645995370367</v>
      </c>
      <c r="K973" cm="1">
        <f t="array" ref="K973">sentimentCalc(C973)</f>
        <v>0</v>
      </c>
      <c r="L973" t="str" cm="1">
        <f t="array" ref="L973">sentimentCategory(K973)</f>
        <v>Neutral</v>
      </c>
    </row>
    <row r="974" spans="1:12" x14ac:dyDescent="0.25">
      <c r="A974" t="s">
        <v>1400</v>
      </c>
      <c r="B974" t="s">
        <v>1401</v>
      </c>
      <c r="C974" t="str" cm="1">
        <f t="array" ref="C974">CleanText(B974)</f>
        <v>eu amo esse filme</v>
      </c>
      <c r="D974">
        <v>0</v>
      </c>
      <c r="E974">
        <v>0</v>
      </c>
      <c r="F974" t="s">
        <v>1350</v>
      </c>
      <c r="G974" t="str" cm="1">
        <f t="array" ref="G974">FindCountryName(F974)</f>
        <v>Brazil</v>
      </c>
      <c r="H974" s="3">
        <v>45233.593449074076</v>
      </c>
      <c r="I974" s="3">
        <v>45233.593449074076</v>
      </c>
      <c r="J974" s="3">
        <v>41861.063657407409</v>
      </c>
      <c r="K974" cm="1">
        <f t="array" ref="K974">sentimentCalc(C974)</f>
        <v>0</v>
      </c>
      <c r="L974" t="str" cm="1">
        <f t="array" ref="L974">sentimentCategory(K974)</f>
        <v>Neutral</v>
      </c>
    </row>
    <row r="975" spans="1:12" x14ac:dyDescent="0.25">
      <c r="A975" t="s">
        <v>444</v>
      </c>
      <c r="B975" t="s">
        <v>1523</v>
      </c>
      <c r="C975" t="str" cm="1">
        <f t="array" ref="C975">CleanText(B975)</f>
        <v>eu ja assisti</v>
      </c>
      <c r="D975">
        <v>0</v>
      </c>
      <c r="E975">
        <v>0</v>
      </c>
      <c r="F975" t="s">
        <v>10</v>
      </c>
      <c r="G975" t="str" cm="1">
        <f t="array" ref="G975">FindCountryName(F975)</f>
        <v>None</v>
      </c>
      <c r="H975" s="3">
        <v>45217.332708333335</v>
      </c>
      <c r="I975" s="3">
        <v>45217.332708333335</v>
      </c>
      <c r="J975" s="3">
        <v>45211.656886574077</v>
      </c>
      <c r="K975" cm="1">
        <f t="array" ref="K975">sentimentCalc(C975)</f>
        <v>0</v>
      </c>
      <c r="L975" t="str" cm="1">
        <f t="array" ref="L975">sentimentCategory(K975)</f>
        <v>Neutral</v>
      </c>
    </row>
    <row r="976" spans="1:12" x14ac:dyDescent="0.25">
      <c r="A976" t="s">
        <v>2736</v>
      </c>
      <c r="B976" t="s">
        <v>2737</v>
      </c>
      <c r="C976" t="str" cm="1">
        <f t="array" ref="C976">CleanText(B976)</f>
        <v>even her feet are gorgeous margot robbie mwa</v>
      </c>
      <c r="D976">
        <v>0</v>
      </c>
      <c r="E976">
        <v>0</v>
      </c>
      <c r="F976" t="s">
        <v>10</v>
      </c>
      <c r="G976" t="str" cm="1">
        <f t="array" ref="G976">FindCountryName(F976)</f>
        <v>None</v>
      </c>
      <c r="H976" s="3">
        <v>45158.92465277778</v>
      </c>
      <c r="I976" s="3">
        <v>45158.924872685187</v>
      </c>
      <c r="J976" s="3">
        <v>39179.15421296296</v>
      </c>
      <c r="K976" cm="1">
        <f t="array" ref="K976">sentimentCalc(C976)</f>
        <v>0</v>
      </c>
      <c r="L976" t="str" cm="1">
        <f t="array" ref="L976">sentimentCategory(K976)</f>
        <v>Neutral</v>
      </c>
    </row>
    <row r="977" spans="1:12" x14ac:dyDescent="0.25">
      <c r="A977" t="s">
        <v>737</v>
      </c>
      <c r="B977" t="s">
        <v>4094</v>
      </c>
      <c r="C977" t="str" cm="1">
        <f t="array" ref="C977">CleanText(B977)</f>
        <v>even though it looks like a fun movie i dont want to put any money into it because i was so uncomfortable with the official piggybacking on the meme its a shame from the bottom of my heart that i cant enjoy it purely even if i see it</v>
      </c>
      <c r="D977">
        <v>1</v>
      </c>
      <c r="E977">
        <v>0</v>
      </c>
      <c r="F977" t="s">
        <v>10</v>
      </c>
      <c r="G977" t="str" cm="1">
        <f t="array" ref="G977">FindCountryName(F977)</f>
        <v>None</v>
      </c>
      <c r="H977" s="3">
        <v>45142.954328703701</v>
      </c>
      <c r="I977" s="3">
        <v>45142.954328703701</v>
      </c>
      <c r="J977" s="3">
        <v>41536.243981481479</v>
      </c>
      <c r="K977" cm="1">
        <f t="array" ref="K977">sentimentCalc(C977)</f>
        <v>5</v>
      </c>
      <c r="L977" t="str" cm="1">
        <f t="array" ref="L977">sentimentCategory(K977)</f>
        <v>Positive</v>
      </c>
    </row>
    <row r="978" spans="1:12" x14ac:dyDescent="0.25">
      <c r="A978" t="s">
        <v>2089</v>
      </c>
      <c r="B978" t="s">
        <v>3047</v>
      </c>
      <c r="C978" t="str" cm="1">
        <f t="array" ref="C978">CleanText(B978)</f>
        <v>every couple considering marriage should see this movie it either outs a lot of red flags or helps the couple bonding over a shared hate towards the movie or it helps bonding because they both feel heard and are finally able to talk about their defined roles in the relationship  superb movie to find out where you are at in your relationship i personally do not trust people who hate it</v>
      </c>
      <c r="D978">
        <v>0</v>
      </c>
      <c r="E978">
        <v>0</v>
      </c>
      <c r="F978" t="s">
        <v>10</v>
      </c>
      <c r="G978" t="str" cm="1">
        <f t="array" ref="G978">FindCountryName(F978)</f>
        <v>None</v>
      </c>
      <c r="H978" s="3">
        <v>45154.050671296296</v>
      </c>
      <c r="I978" s="3">
        <v>45154.050659722219</v>
      </c>
      <c r="J978" s="3">
        <v>40717.474826388891</v>
      </c>
      <c r="K978" cm="1">
        <f t="array" ref="K978">sentimentCalc(C978)</f>
        <v>5</v>
      </c>
      <c r="L978" t="str" cm="1">
        <f t="array" ref="L978">sentimentCategory(K978)</f>
        <v>Positive</v>
      </c>
    </row>
    <row r="979" spans="1:12" x14ac:dyDescent="0.25">
      <c r="A979" t="s">
        <v>493</v>
      </c>
      <c r="B979" t="s">
        <v>494</v>
      </c>
      <c r="C979" t="str" cm="1">
        <f t="array" ref="C979">CleanText(B979)</f>
        <v>every human race and skin color on every movie shot d ridiculous</v>
      </c>
      <c r="D979">
        <v>0</v>
      </c>
      <c r="E979">
        <v>0</v>
      </c>
      <c r="F979" t="s">
        <v>10</v>
      </c>
      <c r="G979" t="str" cm="1">
        <f t="array" ref="G979">FindCountryName(F979)</f>
        <v>None</v>
      </c>
      <c r="H979" s="3">
        <v>45318.66920138889</v>
      </c>
      <c r="I979" s="3">
        <v>45318.66920138889</v>
      </c>
      <c r="J979" s="3">
        <v>39192.63040509259</v>
      </c>
      <c r="K979" cm="1">
        <f t="array" ref="K979">sentimentCalc(C979)</f>
        <v>-3</v>
      </c>
      <c r="L979" t="str" cm="1">
        <f t="array" ref="L979">sentimentCategory(K979)</f>
        <v>Negative</v>
      </c>
    </row>
    <row r="980" spans="1:12" x14ac:dyDescent="0.25">
      <c r="A980" t="s">
        <v>895</v>
      </c>
      <c r="B980" t="s">
        <v>1932</v>
      </c>
      <c r="C980" t="str" cm="1">
        <f t="array" ref="C980">CleanText(B980)</f>
        <v>every woman who love this movie and love how barbie trying to get back barbie land must be know how men feels about crazy feminist normal feminist is alright btw</v>
      </c>
      <c r="D980">
        <v>0</v>
      </c>
      <c r="E980">
        <v>1</v>
      </c>
      <c r="F980" t="s">
        <v>10</v>
      </c>
      <c r="G980" t="str" cm="1">
        <f t="array" ref="G980">FindCountryName(F980)</f>
        <v>None</v>
      </c>
      <c r="H980" s="3">
        <v>45187.472662037035</v>
      </c>
      <c r="I980" s="3">
        <v>45187.472662037035</v>
      </c>
      <c r="J980" s="3">
        <v>41957.575636574074</v>
      </c>
      <c r="K980" cm="1">
        <f t="array" ref="K980">sentimentCalc(C980)</f>
        <v>4</v>
      </c>
      <c r="L980" t="str" cm="1">
        <f t="array" ref="L980">sentimentCategory(K980)</f>
        <v>Positive</v>
      </c>
    </row>
    <row r="981" spans="1:12" x14ac:dyDescent="0.25">
      <c r="A981" t="s">
        <v>3848</v>
      </c>
      <c r="B981" t="s">
        <v>3849</v>
      </c>
      <c r="C981" t="str" cm="1">
        <f t="array" ref="C981">CleanText(B981)</f>
        <v>every woman will tell you theyre stronger than men until its time to meet in front of a judge in family court asking for alimony</v>
      </c>
      <c r="D981">
        <v>0</v>
      </c>
      <c r="E981">
        <v>0</v>
      </c>
      <c r="F981" t="s">
        <v>10</v>
      </c>
      <c r="G981" t="str" cm="1">
        <f t="array" ref="G981">FindCountryName(F981)</f>
        <v>None</v>
      </c>
      <c r="H981" s="3">
        <v>45145.025335648148</v>
      </c>
      <c r="I981" s="3">
        <v>45145.025335648148</v>
      </c>
      <c r="J981" s="3">
        <v>39850.25644675926</v>
      </c>
      <c r="K981" cm="1">
        <f t="array" ref="K981">sentimentCalc(C981)</f>
        <v>2</v>
      </c>
      <c r="L981" t="str" cm="1">
        <f t="array" ref="L981">sentimentCategory(K981)</f>
        <v>Positive</v>
      </c>
    </row>
    <row r="982" spans="1:12" x14ac:dyDescent="0.25">
      <c r="A982" t="s">
        <v>60</v>
      </c>
      <c r="B982" t="s">
        <v>4284</v>
      </c>
      <c r="C982" t="str" cm="1">
        <f t="array" ref="C982">CleanText(B982)</f>
        <v>everybodys complaining they turned the movie woke and too feminist but i dont see any evidence of that this looks awesome lol  kinda cheesy but awesome</v>
      </c>
      <c r="D982">
        <v>1</v>
      </c>
      <c r="E982">
        <v>1</v>
      </c>
      <c r="F982" t="s">
        <v>10</v>
      </c>
      <c r="G982" t="str" cm="1">
        <f t="array" ref="G982">FindCountryName(F982)</f>
        <v>None</v>
      </c>
      <c r="H982" s="3">
        <v>45141.229224537034</v>
      </c>
      <c r="I982" s="3">
        <v>45141.229224537034</v>
      </c>
      <c r="J982" s="3">
        <v>43807.769699074073</v>
      </c>
      <c r="K982" cm="1">
        <f t="array" ref="K982">sentimentCalc(C982)</f>
        <v>8</v>
      </c>
      <c r="L982" t="str" cm="1">
        <f t="array" ref="L982">sentimentCategory(K982)</f>
        <v>Positive</v>
      </c>
    </row>
    <row r="983" spans="1:12" x14ac:dyDescent="0.25">
      <c r="A983" t="s">
        <v>620</v>
      </c>
      <c r="B983" t="s">
        <v>621</v>
      </c>
      <c r="C983" t="str" cm="1">
        <f t="array" ref="C983">CleanText(B983)</f>
        <v>everyone already knew the man ryan gosling stole the show from the woman margot robbie hilarious the oscars proved the real star of the barbie movie is ken even though they tried to make him look bad</v>
      </c>
      <c r="D983">
        <v>0</v>
      </c>
      <c r="E983">
        <v>0</v>
      </c>
      <c r="F983" t="s">
        <v>10</v>
      </c>
      <c r="G983" t="str" cm="1">
        <f t="array" ref="G983">FindCountryName(F983)</f>
        <v>None</v>
      </c>
      <c r="H983" s="3">
        <v>45314.97446759259</v>
      </c>
      <c r="I983" s="3">
        <v>45314.97446759259</v>
      </c>
      <c r="J983" s="3">
        <v>44691.592777777776</v>
      </c>
      <c r="K983" cm="1">
        <f t="array" ref="K983">sentimentCalc(C983)</f>
        <v>-1</v>
      </c>
      <c r="L983" t="str" cm="1">
        <f t="array" ref="L983">sentimentCategory(K983)</f>
        <v>Negative</v>
      </c>
    </row>
    <row r="984" spans="1:12" x14ac:dyDescent="0.25">
      <c r="A984" t="s">
        <v>2089</v>
      </c>
      <c r="B984" t="s">
        <v>2885</v>
      </c>
      <c r="C984" t="str" cm="1">
        <f t="array" ref="C984">CleanText(B984)</f>
        <v>everyone else watching barbie and ken me noticing the guy from elf is in this movie</v>
      </c>
      <c r="D984">
        <v>0</v>
      </c>
      <c r="E984">
        <v>0</v>
      </c>
      <c r="F984" t="s">
        <v>10</v>
      </c>
      <c r="G984" t="str" cm="1">
        <f t="array" ref="G984">FindCountryName(F984)</f>
        <v>None</v>
      </c>
      <c r="H984" s="3">
        <v>45156.438715277778</v>
      </c>
      <c r="I984" s="3">
        <v>45156.438715277778</v>
      </c>
      <c r="J984" s="3">
        <v>44497.445289351854</v>
      </c>
      <c r="K984" cm="1">
        <f t="array" ref="K984">sentimentCalc(C984)</f>
        <v>0</v>
      </c>
      <c r="L984" t="str" cm="1">
        <f t="array" ref="L984">sentimentCategory(K984)</f>
        <v>Neutral</v>
      </c>
    </row>
    <row r="985" spans="1:12" x14ac:dyDescent="0.25">
      <c r="A985" t="s">
        <v>60</v>
      </c>
      <c r="B985" t="s">
        <v>61</v>
      </c>
      <c r="C985" t="str" cm="1">
        <f t="array" ref="C985">CleanText(B985)</f>
        <v>everyone loved this film except indians the large swath of people going to movies in india are mentally deficient</v>
      </c>
      <c r="D985">
        <v>0</v>
      </c>
      <c r="E985">
        <v>0</v>
      </c>
      <c r="F985" t="s">
        <v>10</v>
      </c>
      <c r="G985" t="str" cm="1">
        <f t="array" ref="G985">FindCountryName(F985)</f>
        <v>None</v>
      </c>
      <c r="H985" s="3">
        <v>45343.239606481482</v>
      </c>
      <c r="I985" s="3">
        <v>45343.239606481482</v>
      </c>
      <c r="J985" s="3">
        <v>41505.424710648149</v>
      </c>
      <c r="K985" cm="1">
        <f t="array" ref="K985">sentimentCalc(C985)</f>
        <v>3</v>
      </c>
      <c r="L985" t="str" cm="1">
        <f t="array" ref="L985">sentimentCategory(K985)</f>
        <v>Positive</v>
      </c>
    </row>
    <row r="986" spans="1:12" x14ac:dyDescent="0.25">
      <c r="A986" t="s">
        <v>324</v>
      </c>
      <c r="B986" t="s">
        <v>761</v>
      </c>
      <c r="C986" t="str" cm="1">
        <f t="array" ref="C986">CleanText(B986)</f>
        <v>everything in this movie is about being politically correct but as always it is easier said than done lets full ourselves for a couple of hours and make some money for warner bros pictures</v>
      </c>
      <c r="D986">
        <v>0</v>
      </c>
      <c r="E986">
        <v>0</v>
      </c>
      <c r="F986" t="s">
        <v>10</v>
      </c>
      <c r="G986" t="str" cm="1">
        <f t="array" ref="G986">FindCountryName(F986)</f>
        <v>None</v>
      </c>
      <c r="H986" s="3">
        <v>45309.553159722222</v>
      </c>
      <c r="I986" s="3">
        <v>45309.553877314815</v>
      </c>
      <c r="J986" s="3">
        <v>40823.416504629633</v>
      </c>
      <c r="K986" cm="1">
        <f t="array" ref="K986">sentimentCalc(C986)</f>
        <v>0</v>
      </c>
      <c r="L986" t="str" cm="1">
        <f t="array" ref="L986">sentimentCategory(K986)</f>
        <v>Neutral</v>
      </c>
    </row>
    <row r="987" spans="1:12" x14ac:dyDescent="0.25">
      <c r="A987" t="s">
        <v>213</v>
      </c>
      <c r="B987" t="s">
        <v>3615</v>
      </c>
      <c r="C987" t="str" cm="1">
        <f t="array" ref="C987">CleanText(B987)</f>
        <v>everything is pink in this</v>
      </c>
      <c r="D987">
        <v>2</v>
      </c>
      <c r="E987">
        <v>0</v>
      </c>
      <c r="F987" t="s">
        <v>10</v>
      </c>
      <c r="G987" t="str" cm="1">
        <f t="array" ref="G987">FindCountryName(F987)</f>
        <v>None</v>
      </c>
      <c r="H987" s="3">
        <v>45147.083599537036</v>
      </c>
      <c r="I987" s="3">
        <v>45147.083599537036</v>
      </c>
      <c r="J987" s="3">
        <v>43972.953865740739</v>
      </c>
      <c r="K987" cm="1">
        <f t="array" ref="K987">sentimentCalc(C987)</f>
        <v>0</v>
      </c>
      <c r="L987" t="str" cm="1">
        <f t="array" ref="L987">sentimentCategory(K987)</f>
        <v>Neutral</v>
      </c>
    </row>
    <row r="988" spans="1:12" x14ac:dyDescent="0.25">
      <c r="A988" t="s">
        <v>92</v>
      </c>
      <c r="B988" t="s">
        <v>4429</v>
      </c>
      <c r="C988" t="str" cm="1">
        <f t="array" ref="C988">CleanText(B988)</f>
        <v>everything wrong with the world in one movie feminism  and much more absolute trash</v>
      </c>
      <c r="D988">
        <v>3</v>
      </c>
      <c r="E988">
        <v>1</v>
      </c>
      <c r="F988" t="s">
        <v>10</v>
      </c>
      <c r="G988" t="str" cm="1">
        <f t="array" ref="G988">FindCountryName(F988)</f>
        <v>None</v>
      </c>
      <c r="H988" s="3">
        <v>45140.312731481485</v>
      </c>
      <c r="I988" s="3">
        <v>45140.312928240739</v>
      </c>
      <c r="J988" s="3">
        <v>44001.725949074076</v>
      </c>
      <c r="K988" cm="1">
        <f t="array" ref="K988">sentimentCalc(C988)</f>
        <v>-2</v>
      </c>
      <c r="L988" t="str" cm="1">
        <f t="array" ref="L988">sentimentCategory(K988)</f>
        <v>Negative</v>
      </c>
    </row>
    <row r="989" spans="1:12" x14ac:dyDescent="0.25">
      <c r="A989" t="s">
        <v>566</v>
      </c>
      <c r="B989" t="s">
        <v>885</v>
      </c>
      <c r="C989" t="str" cm="1">
        <f t="array" ref="C989">CleanText(B989)</f>
        <v>evet gzel</v>
      </c>
      <c r="D989">
        <v>1</v>
      </c>
      <c r="E989">
        <v>0</v>
      </c>
      <c r="F989" t="s">
        <v>10</v>
      </c>
      <c r="G989" t="str" cm="1">
        <f t="array" ref="G989">FindCountryName(F989)</f>
        <v>None</v>
      </c>
      <c r="H989" s="3">
        <v>45299.327233796299</v>
      </c>
      <c r="I989" s="3">
        <v>45299.327233796299</v>
      </c>
      <c r="J989" s="3">
        <v>44859.281689814816</v>
      </c>
      <c r="K989" cm="1">
        <f t="array" ref="K989">sentimentCalc(C989)</f>
        <v>0</v>
      </c>
      <c r="L989" t="str" cm="1">
        <f t="array" ref="L989">sentimentCategory(K989)</f>
        <v>Neutral</v>
      </c>
    </row>
    <row r="990" spans="1:12" x14ac:dyDescent="0.25">
      <c r="A990" t="s">
        <v>930</v>
      </c>
      <c r="B990" t="s">
        <v>4060</v>
      </c>
      <c r="C990" t="str" cm="1">
        <f t="array" ref="C990">CleanText(B990)</f>
        <v>evil feminism</v>
      </c>
      <c r="D990">
        <v>1</v>
      </c>
      <c r="E990">
        <v>11</v>
      </c>
      <c r="F990" t="s">
        <v>10</v>
      </c>
      <c r="G990" t="str" cm="1">
        <f t="array" ref="G990">FindCountryName(F990)</f>
        <v>None</v>
      </c>
      <c r="H990" s="3">
        <v>45143.299976851849</v>
      </c>
      <c r="I990" s="3">
        <v>45143.299976851849</v>
      </c>
      <c r="J990" s="3">
        <v>41449.261377314811</v>
      </c>
      <c r="K990" cm="1">
        <f t="array" ref="K990">sentimentCalc(C990)</f>
        <v>-3</v>
      </c>
      <c r="L990" t="str" cm="1">
        <f t="array" ref="L990">sentimentCategory(K990)</f>
        <v>Negative</v>
      </c>
    </row>
    <row r="991" spans="1:12" x14ac:dyDescent="0.25">
      <c r="A991" t="s">
        <v>2716</v>
      </c>
      <c r="B991" t="s">
        <v>2717</v>
      </c>
      <c r="C991" t="str" cm="1">
        <f t="array" ref="C991">CleanText(B991)</f>
        <v>fa calcare barbie e fa vomitare</v>
      </c>
      <c r="D991">
        <v>0</v>
      </c>
      <c r="E991">
        <v>0</v>
      </c>
      <c r="F991" t="s">
        <v>10</v>
      </c>
      <c r="G991" t="str" cm="1">
        <f t="array" ref="G991">FindCountryName(F991)</f>
        <v>None</v>
      </c>
      <c r="H991" s="3">
        <v>45159.357245370367</v>
      </c>
      <c r="I991" s="3">
        <v>45159.357245370367</v>
      </c>
      <c r="J991" s="3">
        <v>38984.411064814813</v>
      </c>
      <c r="K991" cm="1">
        <f t="array" ref="K991">sentimentCalc(C991)</f>
        <v>0</v>
      </c>
      <c r="L991" t="str" cm="1">
        <f t="array" ref="L991">sentimentCategory(K991)</f>
        <v>Neutral</v>
      </c>
    </row>
    <row r="992" spans="1:12" x14ac:dyDescent="0.25">
      <c r="A992" t="s">
        <v>2038</v>
      </c>
      <c r="B992" t="s">
        <v>2039</v>
      </c>
      <c r="C992" t="str" cm="1">
        <f t="array" ref="C992">CleanText(B992)</f>
        <v>face it progressive feminazis wake up even in this movie the patriarchy has won</v>
      </c>
      <c r="D992">
        <v>2</v>
      </c>
      <c r="E992">
        <v>2</v>
      </c>
      <c r="F992" t="s">
        <v>10</v>
      </c>
      <c r="G992" t="str" cm="1">
        <f t="array" ref="G992">FindCountryName(F992)</f>
        <v>None</v>
      </c>
      <c r="H992" s="3">
        <v>45183.334652777776</v>
      </c>
      <c r="I992" s="3">
        <v>45183.334652777776</v>
      </c>
      <c r="J992" s="3">
        <v>42466.402905092589</v>
      </c>
      <c r="K992" cm="1">
        <f t="array" ref="K992">sentimentCalc(C992)</f>
        <v>3</v>
      </c>
      <c r="L992" t="str" cm="1">
        <f t="array" ref="L992">sentimentCategory(K992)</f>
        <v>Positive</v>
      </c>
    </row>
    <row r="993" spans="1:12" x14ac:dyDescent="0.25">
      <c r="A993" t="s">
        <v>555</v>
      </c>
      <c r="B993" t="s">
        <v>4370</v>
      </c>
      <c r="C993" t="str" cm="1">
        <f t="array" ref="C993">CleanText(B993)</f>
        <v>fack that movis just</v>
      </c>
      <c r="D993">
        <v>0</v>
      </c>
      <c r="E993">
        <v>0</v>
      </c>
      <c r="F993" t="s">
        <v>10</v>
      </c>
      <c r="G993" t="str" cm="1">
        <f t="array" ref="G993">FindCountryName(F993)</f>
        <v>None</v>
      </c>
      <c r="H993" s="3">
        <v>45140.582789351851</v>
      </c>
      <c r="I993" s="3">
        <v>45140.582789351851</v>
      </c>
      <c r="J993" s="3">
        <v>44072.707245370373</v>
      </c>
      <c r="K993" cm="1">
        <f t="array" ref="K993">sentimentCalc(C993)</f>
        <v>0</v>
      </c>
      <c r="L993" t="str" cm="1">
        <f t="array" ref="L993">sentimentCategory(K993)</f>
        <v>Neutral</v>
      </c>
    </row>
    <row r="994" spans="1:12" x14ac:dyDescent="0.25">
      <c r="A994" t="s">
        <v>333</v>
      </c>
      <c r="B994" t="s">
        <v>2770</v>
      </c>
      <c r="C994" t="str" cm="1">
        <f t="array" ref="C994">CleanText(B994)</f>
        <v>fact all the barbies listening to dua lipa song the barbie album</v>
      </c>
      <c r="D994">
        <v>0</v>
      </c>
      <c r="E994">
        <v>0</v>
      </c>
      <c r="F994" t="s">
        <v>10</v>
      </c>
      <c r="G994" t="str" cm="1">
        <f t="array" ref="G994">FindCountryName(F994)</f>
        <v>None</v>
      </c>
      <c r="H994" s="3">
        <v>45158.21607638889</v>
      </c>
      <c r="I994" s="3">
        <v>45158.21607638889</v>
      </c>
      <c r="J994" s="3">
        <v>44967.929490740738</v>
      </c>
      <c r="K994" cm="1">
        <f t="array" ref="K994">sentimentCalc(C994)</f>
        <v>0</v>
      </c>
      <c r="L994" t="str" cm="1">
        <f t="array" ref="L994">sentimentCategory(K994)</f>
        <v>Neutral</v>
      </c>
    </row>
    <row r="995" spans="1:12" x14ac:dyDescent="0.25">
      <c r="A995" t="s">
        <v>571</v>
      </c>
      <c r="B995" t="s">
        <v>4150</v>
      </c>
      <c r="C995" t="str" cm="1">
        <f t="array" ref="C995">CleanText(B995)</f>
        <v>fair warning if youre considering seeing this film thinking its a clever commentary adults can appreciate nooooooooo its not its a straight up kiddie film in other words if you wouldnt go see spy kids  you shouldnt bother going to see this the opening was beautiful until they get to the real world which is just a kids view of how adults operate things after that it becomes a preachy bore no matter your politics and falls flat but the music is great and the spectacle part of it is well done however the written dialog comedic timing and editing leave a lot to be desired gerwig is no genius</v>
      </c>
      <c r="D995">
        <v>4</v>
      </c>
      <c r="E995">
        <v>1</v>
      </c>
      <c r="F995" t="s">
        <v>10</v>
      </c>
      <c r="G995" t="str" cm="1">
        <f t="array" ref="G995">FindCountryName(F995)</f>
        <v>None</v>
      </c>
      <c r="H995" s="3">
        <v>45142.535520833335</v>
      </c>
      <c r="I995" s="3">
        <v>45142.535520833335</v>
      </c>
      <c r="J995" s="3">
        <v>43584.749201388891</v>
      </c>
      <c r="K995" cm="1">
        <f t="array" ref="K995">sentimentCalc(C995)</f>
        <v>6</v>
      </c>
      <c r="L995" t="str" cm="1">
        <f t="array" ref="L995">sentimentCategory(K995)</f>
        <v>Positive</v>
      </c>
    </row>
    <row r="996" spans="1:12" x14ac:dyDescent="0.25">
      <c r="A996" t="s">
        <v>133</v>
      </c>
      <c r="B996" t="s">
        <v>1344</v>
      </c>
      <c r="C996" t="str" cm="1">
        <f t="array" ref="C996">CleanText(B996)</f>
        <v>fantstico relembrar a infncia</v>
      </c>
      <c r="D996">
        <v>7</v>
      </c>
      <c r="E996">
        <v>0</v>
      </c>
      <c r="F996" t="s">
        <v>10</v>
      </c>
      <c r="G996" t="str" cm="1">
        <f t="array" ref="G996">FindCountryName(F996)</f>
        <v>None</v>
      </c>
      <c r="H996" s="3">
        <v>45242.593993055554</v>
      </c>
      <c r="I996" s="3">
        <v>45242.593993055554</v>
      </c>
      <c r="J996" s="3">
        <v>45109.347129629627</v>
      </c>
      <c r="K996" cm="1">
        <f t="array" ref="K996">sentimentCalc(C996)</f>
        <v>0</v>
      </c>
      <c r="L996" t="str" cm="1">
        <f t="array" ref="L996">sentimentCategory(K996)</f>
        <v>Neutral</v>
      </c>
    </row>
    <row r="997" spans="1:12" x14ac:dyDescent="0.25">
      <c r="A997" t="s">
        <v>609</v>
      </c>
      <c r="B997" t="s">
        <v>610</v>
      </c>
      <c r="C997" t="str" cm="1">
        <f t="array" ref="C997">CleanText(B997)</f>
        <v>fantastik</v>
      </c>
      <c r="D997">
        <v>0</v>
      </c>
      <c r="E997">
        <v>0</v>
      </c>
      <c r="F997" t="s">
        <v>10</v>
      </c>
      <c r="G997" t="str" cm="1">
        <f t="array" ref="G997">FindCountryName(F997)</f>
        <v>None</v>
      </c>
      <c r="H997" s="3">
        <v>45315.582048611112</v>
      </c>
      <c r="I997" s="3">
        <v>45315.582048611112</v>
      </c>
      <c r="J997" s="3">
        <v>42665.910613425927</v>
      </c>
      <c r="K997" cm="1">
        <f t="array" ref="K997">sentimentCalc(C997)</f>
        <v>0</v>
      </c>
      <c r="L997" t="str" cm="1">
        <f t="array" ref="L997">sentimentCategory(K997)</f>
        <v>Neutral</v>
      </c>
    </row>
    <row r="998" spans="1:12" x14ac:dyDescent="0.25">
      <c r="A998" t="s">
        <v>290</v>
      </c>
      <c r="B998" t="s">
        <v>317</v>
      </c>
      <c r="C998" t="str" cm="1">
        <f t="array" ref="C998">CleanText(B998)</f>
        <v>fantastik</v>
      </c>
      <c r="D998">
        <v>0</v>
      </c>
      <c r="E998">
        <v>0</v>
      </c>
      <c r="F998" t="s">
        <v>10</v>
      </c>
      <c r="G998" t="str" cm="1">
        <f t="array" ref="G998">FindCountryName(F998)</f>
        <v>None</v>
      </c>
      <c r="H998" s="3">
        <v>45322.318888888891</v>
      </c>
      <c r="I998" s="3">
        <v>45322.318888888891</v>
      </c>
      <c r="J998" s="3">
        <v>41950.511284722219</v>
      </c>
      <c r="K998" cm="1">
        <f t="array" ref="K998">sentimentCalc(C998)</f>
        <v>0</v>
      </c>
      <c r="L998" t="str" cm="1">
        <f t="array" ref="L998">sentimentCategory(K998)</f>
        <v>Neutral</v>
      </c>
    </row>
    <row r="999" spans="1:12" x14ac:dyDescent="0.25">
      <c r="A999" t="s">
        <v>22</v>
      </c>
      <c r="B999" t="s">
        <v>792</v>
      </c>
      <c r="C999" t="str" cm="1">
        <f t="array" ref="C999">CleanText(B999)</f>
        <v>fantastik olmu</v>
      </c>
      <c r="D999">
        <v>0</v>
      </c>
      <c r="E999">
        <v>0</v>
      </c>
      <c r="F999" t="s">
        <v>10</v>
      </c>
      <c r="G999" t="str" cm="1">
        <f t="array" ref="G999">FindCountryName(F999)</f>
        <v>None</v>
      </c>
      <c r="H999" s="3">
        <v>45308.252604166664</v>
      </c>
      <c r="I999" s="3">
        <v>45308.252604166664</v>
      </c>
      <c r="J999" s="3">
        <v>41556.235937500001</v>
      </c>
      <c r="K999" cm="1">
        <f t="array" ref="K999">sentimentCalc(C999)</f>
        <v>0</v>
      </c>
      <c r="L999" t="str" cm="1">
        <f t="array" ref="L999">sentimentCategory(K999)</f>
        <v>Neutral</v>
      </c>
    </row>
    <row r="1000" spans="1:12" x14ac:dyDescent="0.25">
      <c r="A1000" t="s">
        <v>296</v>
      </c>
      <c r="B1000" t="s">
        <v>297</v>
      </c>
      <c r="C1000" t="str" cm="1">
        <f t="array" ref="C1000">CleanText(B1000)</f>
        <v>fantastik ve elenceli muhakkak izlenmeli</v>
      </c>
      <c r="D1000">
        <v>0</v>
      </c>
      <c r="E1000">
        <v>0</v>
      </c>
      <c r="F1000" t="s">
        <v>10</v>
      </c>
      <c r="G1000" t="str" cm="1">
        <f t="array" ref="G1000">FindCountryName(F1000)</f>
        <v>None</v>
      </c>
      <c r="H1000" s="3">
        <v>45322.391701388886</v>
      </c>
      <c r="I1000" s="3">
        <v>45322.391701388886</v>
      </c>
      <c r="J1000" s="3">
        <v>45322.38853009259</v>
      </c>
      <c r="K1000" cm="1">
        <f t="array" ref="K1000">sentimentCalc(C1000)</f>
        <v>0</v>
      </c>
      <c r="L1000" t="str" cm="1">
        <f t="array" ref="L1000">sentimentCategory(K1000)</f>
        <v>Neutral</v>
      </c>
    </row>
    <row r="1001" spans="1:12" x14ac:dyDescent="0.25">
      <c r="A1001" t="s">
        <v>523</v>
      </c>
      <c r="B1001" t="s">
        <v>1252</v>
      </c>
      <c r="C1001" t="str" cm="1">
        <f t="array" ref="C1001">CleanText(B1001)</f>
        <v>fauk</v>
      </c>
      <c r="D1001">
        <v>1</v>
      </c>
      <c r="E1001">
        <v>0</v>
      </c>
      <c r="F1001" t="s">
        <v>10</v>
      </c>
      <c r="G1001" t="str" cm="1">
        <f t="array" ref="G1001">FindCountryName(F1001)</f>
        <v>None</v>
      </c>
      <c r="H1001" s="3">
        <v>45268.381377314814</v>
      </c>
      <c r="I1001" s="3">
        <v>45268.381377314814</v>
      </c>
      <c r="J1001" s="3">
        <v>45199.973819444444</v>
      </c>
      <c r="K1001" cm="1">
        <f t="array" ref="K1001">sentimentCalc(C1001)</f>
        <v>0</v>
      </c>
      <c r="L1001" t="str" cm="1">
        <f t="array" ref="L1001">sentimentCategory(K1001)</f>
        <v>Neutral</v>
      </c>
    </row>
    <row r="1002" spans="1:12" x14ac:dyDescent="0.25">
      <c r="A1002" t="s">
        <v>832</v>
      </c>
      <c r="B1002" t="s">
        <v>2224</v>
      </c>
      <c r="C1002" t="str" cm="1">
        <f t="array" ref="C1002">CleanText(B1002)</f>
        <v>fcnkjfdgyufdfsdfhjsdeghsd</v>
      </c>
      <c r="D1002">
        <v>0</v>
      </c>
      <c r="E1002">
        <v>0</v>
      </c>
      <c r="F1002" t="s">
        <v>10</v>
      </c>
      <c r="G1002" t="str" cm="1">
        <f t="array" ref="G1002">FindCountryName(F1002)</f>
        <v>None</v>
      </c>
      <c r="H1002" s="3">
        <v>45175.373703703706</v>
      </c>
      <c r="I1002" s="3">
        <v>45175.373692129629</v>
      </c>
      <c r="J1002" s="3">
        <v>42495.367465277777</v>
      </c>
      <c r="K1002" cm="1">
        <f t="array" ref="K1002">sentimentCalc(C1002)</f>
        <v>0</v>
      </c>
      <c r="L1002" t="str" cm="1">
        <f t="array" ref="L1002">sentimentCategory(K1002)</f>
        <v>Neutral</v>
      </c>
    </row>
    <row r="1003" spans="1:12" x14ac:dyDescent="0.25">
      <c r="A1003" t="s">
        <v>465</v>
      </c>
      <c r="B1003" t="s">
        <v>3311</v>
      </c>
      <c r="C1003" t="str" cm="1">
        <f t="array" ref="C1003">CleanText(B1003)</f>
        <v>feel bad for kids who had to endure nd half of film</v>
      </c>
      <c r="D1003">
        <v>5</v>
      </c>
      <c r="E1003">
        <v>0</v>
      </c>
      <c r="F1003" t="s">
        <v>10</v>
      </c>
      <c r="G1003" t="str" cm="1">
        <f t="array" ref="G1003">FindCountryName(F1003)</f>
        <v>None</v>
      </c>
      <c r="H1003" s="3">
        <v>45150.456828703704</v>
      </c>
      <c r="I1003" s="3">
        <v>45150.456828703704</v>
      </c>
      <c r="J1003" s="3">
        <v>38915.889270833337</v>
      </c>
      <c r="K1003" cm="1">
        <f t="array" ref="K1003">sentimentCalc(C1003)</f>
        <v>-3</v>
      </c>
      <c r="L1003" t="str" cm="1">
        <f t="array" ref="L1003">sentimentCategory(K1003)</f>
        <v>Negative</v>
      </c>
    </row>
    <row r="1004" spans="1:12" x14ac:dyDescent="0.25">
      <c r="A1004" t="s">
        <v>116</v>
      </c>
      <c r="B1004" t="s">
        <v>2018</v>
      </c>
      <c r="C1004" t="str" cm="1">
        <f t="array" ref="C1004">CleanText(B1004)</f>
        <v>feet</v>
      </c>
      <c r="D1004">
        <v>0</v>
      </c>
      <c r="E1004">
        <v>0</v>
      </c>
      <c r="F1004" t="s">
        <v>10</v>
      </c>
      <c r="G1004" t="str" cm="1">
        <f t="array" ref="G1004">FindCountryName(F1004)</f>
        <v>None</v>
      </c>
      <c r="H1004" s="3">
        <v>45184.294236111113</v>
      </c>
      <c r="I1004" s="3">
        <v>45184.294224537036</v>
      </c>
      <c r="J1004" s="3">
        <v>43996.550185185188</v>
      </c>
      <c r="K1004" cm="1">
        <f t="array" ref="K1004">sentimentCalc(C1004)</f>
        <v>0</v>
      </c>
      <c r="L1004" t="str" cm="1">
        <f t="array" ref="L1004">sentimentCategory(K1004)</f>
        <v>Neutral</v>
      </c>
    </row>
    <row r="1005" spans="1:12" x14ac:dyDescent="0.25">
      <c r="A1005" t="s">
        <v>2148</v>
      </c>
      <c r="B1005" t="s">
        <v>2149</v>
      </c>
      <c r="C1005" t="str" cm="1">
        <f t="array" ref="C1005">CleanText(B1005)</f>
        <v>feet pic pls</v>
      </c>
      <c r="D1005">
        <v>1</v>
      </c>
      <c r="E1005">
        <v>0</v>
      </c>
      <c r="F1005" t="s">
        <v>10</v>
      </c>
      <c r="G1005" t="str" cm="1">
        <f t="array" ref="G1005">FindCountryName(F1005)</f>
        <v>None</v>
      </c>
      <c r="H1005" s="3">
        <v>45178.021516203706</v>
      </c>
      <c r="I1005" s="3">
        <v>45178.021516203706</v>
      </c>
      <c r="J1005" s="3">
        <v>43976.054305555554</v>
      </c>
      <c r="K1005" cm="1">
        <f t="array" ref="K1005">sentimentCalc(C1005)</f>
        <v>0</v>
      </c>
      <c r="L1005" t="str" cm="1">
        <f t="array" ref="L1005">sentimentCategory(K1005)</f>
        <v>Neutral</v>
      </c>
    </row>
    <row r="1006" spans="1:12" x14ac:dyDescent="0.25">
      <c r="A1006" t="s">
        <v>3053</v>
      </c>
      <c r="B1006" t="s">
        <v>3893</v>
      </c>
      <c r="C1006" t="str" cm="1">
        <f t="array" ref="C1006">CleanText(B1006)</f>
        <v>felicidades  millones en taquilla para esta gran pelcula gracias a la directora greta por esta hermosa pelcula y a margot robbie por interprerar a barbie todas las barbies son increbles es mi pelcula favorita te llega al corazn emocionada con su xito  barbie la mejor pelcula del  y una de las mejores pelculas de toda la historia</v>
      </c>
      <c r="D1006">
        <v>0</v>
      </c>
      <c r="E1006">
        <v>0</v>
      </c>
      <c r="F1006" t="s">
        <v>10</v>
      </c>
      <c r="G1006" t="str" cm="1">
        <f t="array" ref="G1006">FindCountryName(F1006)</f>
        <v>None</v>
      </c>
      <c r="H1006" s="3">
        <v>45144.688009259262</v>
      </c>
      <c r="I1006" s="3">
        <v>45144.688009259262</v>
      </c>
      <c r="J1006" s="3">
        <v>41951.994120370371</v>
      </c>
      <c r="K1006" cm="1">
        <f t="array" ref="K1006">sentimentCalc(C1006)</f>
        <v>0</v>
      </c>
      <c r="L1006" t="str" cm="1">
        <f t="array" ref="L1006">sentimentCategory(K1006)</f>
        <v>Neutral</v>
      </c>
    </row>
    <row r="1007" spans="1:12" x14ac:dyDescent="0.25">
      <c r="A1007" t="s">
        <v>3854</v>
      </c>
      <c r="B1007" t="s">
        <v>3855</v>
      </c>
      <c r="C1007" t="str" cm="1">
        <f t="array" ref="C1007">CleanText(B1007)</f>
        <v>feminism destroy the world</v>
      </c>
      <c r="D1007">
        <v>3</v>
      </c>
      <c r="E1007">
        <v>2</v>
      </c>
      <c r="F1007" t="s">
        <v>10</v>
      </c>
      <c r="G1007" t="str" cm="1">
        <f t="array" ref="G1007">FindCountryName(F1007)</f>
        <v>None</v>
      </c>
      <c r="H1007" s="3">
        <v>45144.987291666665</v>
      </c>
      <c r="I1007" s="3">
        <v>45144.987291666665</v>
      </c>
      <c r="J1007" s="3">
        <v>44900.000937500001</v>
      </c>
      <c r="K1007" cm="1">
        <f t="array" ref="K1007">sentimentCalc(C1007)</f>
        <v>-3</v>
      </c>
      <c r="L1007" t="str" cm="1">
        <f t="array" ref="L1007">sentimentCategory(K1007)</f>
        <v>Negative</v>
      </c>
    </row>
    <row r="1008" spans="1:12" x14ac:dyDescent="0.25">
      <c r="A1008" t="s">
        <v>105</v>
      </c>
      <c r="B1008" t="s">
        <v>4268</v>
      </c>
      <c r="C1008" t="str" cm="1">
        <f t="array" ref="C1008">CleanText(B1008)</f>
        <v>feminism in its dirtiest form</v>
      </c>
      <c r="D1008">
        <v>3</v>
      </c>
      <c r="E1008">
        <v>4</v>
      </c>
      <c r="F1008" t="s">
        <v>10</v>
      </c>
      <c r="G1008" t="str" cm="1">
        <f t="array" ref="G1008">FindCountryName(F1008)</f>
        <v>None</v>
      </c>
      <c r="H1008" s="3">
        <v>45141.350752314815</v>
      </c>
      <c r="I1008" s="3">
        <v>45141.350752314815</v>
      </c>
      <c r="J1008" s="3">
        <v>42375.5703125</v>
      </c>
      <c r="K1008" cm="1">
        <f t="array" ref="K1008">sentimentCalc(C1008)</f>
        <v>-2</v>
      </c>
      <c r="L1008" t="str" cm="1">
        <f t="array" ref="L1008">sentimentCategory(K1008)</f>
        <v>Negative</v>
      </c>
    </row>
    <row r="1009" spans="1:12" x14ac:dyDescent="0.25">
      <c r="A1009" t="s">
        <v>2489</v>
      </c>
      <c r="B1009" t="s">
        <v>3919</v>
      </c>
      <c r="C1009" t="str" cm="1">
        <f t="array" ref="C1009">CleanText(B1009)</f>
        <v>feminism is important for women womens rights should not be violated but society must also decide the rights of men it is necessary to free men from compulsory military registration exile to conscription slavery the socalled conscription service if men realize that they are the main victims of wars that states primarily consider them as expendable cannon fodder then there will be significantly fewer wars in the world you give peace to the whole world the lives of men and women are equally important</v>
      </c>
      <c r="D1009">
        <v>1</v>
      </c>
      <c r="E1009">
        <v>3</v>
      </c>
      <c r="F1009" t="s">
        <v>10</v>
      </c>
      <c r="G1009" t="str" cm="1">
        <f t="array" ref="G1009">FindCountryName(F1009)</f>
        <v>None</v>
      </c>
      <c r="H1009" s="3">
        <v>45144.494826388887</v>
      </c>
      <c r="I1009" s="3">
        <v>45144.494826388887</v>
      </c>
      <c r="J1009" s="3">
        <v>44777.583877314813</v>
      </c>
      <c r="K1009" cm="1">
        <f t="array" ref="K1009">sentimentCalc(C1009)</f>
        <v>-1</v>
      </c>
      <c r="L1009" t="str" cm="1">
        <f t="array" ref="L1009">sentimentCategory(K1009)</f>
        <v>Negative</v>
      </c>
    </row>
    <row r="1010" spans="1:12" x14ac:dyDescent="0.25">
      <c r="A1010" t="s">
        <v>158</v>
      </c>
      <c r="B1010" t="s">
        <v>3864</v>
      </c>
      <c r="C1010" t="str" cm="1">
        <f t="array" ref="C1010">CleanText(B1010)</f>
        <v>feminist propaganda</v>
      </c>
      <c r="D1010">
        <v>5</v>
      </c>
      <c r="E1010">
        <v>1</v>
      </c>
      <c r="F1010" t="s">
        <v>10</v>
      </c>
      <c r="G1010" t="str" cm="1">
        <f t="array" ref="G1010">FindCountryName(F1010)</f>
        <v>None</v>
      </c>
      <c r="H1010" s="3">
        <v>45144.907719907409</v>
      </c>
      <c r="I1010" s="3">
        <v>45144.907719907409</v>
      </c>
      <c r="J1010" s="3">
        <v>41660.632395833331</v>
      </c>
      <c r="K1010" cm="1">
        <f t="array" ref="K1010">sentimentCalc(C1010)</f>
        <v>-2</v>
      </c>
      <c r="L1010" t="str" cm="1">
        <f t="array" ref="L1010">sentimentCategory(K1010)</f>
        <v>Negative</v>
      </c>
    </row>
    <row r="1011" spans="1:12" x14ac:dyDescent="0.25">
      <c r="A1011" t="s">
        <v>171</v>
      </c>
      <c r="B1011" t="s">
        <v>2356</v>
      </c>
      <c r="C1011" t="str" cm="1">
        <f t="array" ref="C1011">CleanText(B1011)</f>
        <v>feminist trash</v>
      </c>
      <c r="D1011">
        <v>0</v>
      </c>
      <c r="E1011">
        <v>3</v>
      </c>
      <c r="F1011" t="s">
        <v>10</v>
      </c>
      <c r="G1011" t="str" cm="1">
        <f t="array" ref="G1011">FindCountryName(F1011)</f>
        <v>None</v>
      </c>
      <c r="H1011" s="3">
        <v>45170.99795138889</v>
      </c>
      <c r="I1011" s="3">
        <v>45170.997939814813</v>
      </c>
      <c r="J1011" s="3">
        <v>40822.30878472222</v>
      </c>
      <c r="K1011" cm="1">
        <f t="array" ref="K1011">sentimentCalc(C1011)</f>
        <v>0</v>
      </c>
      <c r="L1011" t="str" cm="1">
        <f t="array" ref="L1011">sentimentCategory(K1011)</f>
        <v>Neutral</v>
      </c>
    </row>
    <row r="1012" spans="1:12" x14ac:dyDescent="0.25">
      <c r="A1012" t="s">
        <v>1281</v>
      </c>
      <c r="B1012" t="s">
        <v>1474</v>
      </c>
      <c r="C1012" t="str" cm="1">
        <f t="array" ref="C1012">CleanText(B1012)</f>
        <v>fffflllllllaaaaaaaattttttt fffffffffffffffeeeeeeettttt</v>
      </c>
      <c r="D1012">
        <v>0</v>
      </c>
      <c r="E1012">
        <v>0</v>
      </c>
      <c r="F1012" t="s">
        <v>10</v>
      </c>
      <c r="G1012" t="str" cm="1">
        <f t="array" ref="G1012">FindCountryName(F1012)</f>
        <v>None</v>
      </c>
      <c r="H1012" s="3">
        <v>45225.543379629627</v>
      </c>
      <c r="I1012" s="3">
        <v>45225.543379629627</v>
      </c>
      <c r="J1012" s="3">
        <v>44043.220972222225</v>
      </c>
      <c r="K1012" cm="1">
        <f t="array" ref="K1012">sentimentCalc(C1012)</f>
        <v>0</v>
      </c>
      <c r="L1012" t="str" cm="1">
        <f t="array" ref="L1012">sentimentCategory(K1012)</f>
        <v>Neutral</v>
      </c>
    </row>
    <row r="1013" spans="1:12" x14ac:dyDescent="0.25">
      <c r="A1013" t="s">
        <v>90</v>
      </c>
      <c r="B1013" t="s">
        <v>1411</v>
      </c>
      <c r="C1013" t="str" cm="1">
        <f t="array" ref="C1013">CleanText(B1013)</f>
        <v>ficou sensacional esse filme</v>
      </c>
      <c r="D1013">
        <v>0</v>
      </c>
      <c r="E1013">
        <v>0</v>
      </c>
      <c r="F1013" t="s">
        <v>10</v>
      </c>
      <c r="G1013" t="str" cm="1">
        <f t="array" ref="G1013">FindCountryName(F1013)</f>
        <v>None</v>
      </c>
      <c r="H1013" s="3">
        <v>45233.489594907405</v>
      </c>
      <c r="I1013" s="3">
        <v>45233.489594907405</v>
      </c>
      <c r="J1013" s="3">
        <v>41678.735451388886</v>
      </c>
      <c r="K1013" cm="1">
        <f t="array" ref="K1013">sentimentCalc(C1013)</f>
        <v>0</v>
      </c>
      <c r="L1013" t="str" cm="1">
        <f t="array" ref="L1013">sentimentCategory(K1013)</f>
        <v>Neutral</v>
      </c>
    </row>
    <row r="1014" spans="1:12" x14ac:dyDescent="0.25">
      <c r="A1014" t="s">
        <v>938</v>
      </c>
      <c r="B1014" t="s">
        <v>939</v>
      </c>
      <c r="C1014" t="str" cm="1">
        <f t="array" ref="C1014">CleanText(B1014)</f>
        <v>film ocuk filmi grnse de genler iin de uygun ve gzel bir film olmu emei geen herkese teekkrler yi seyirler</v>
      </c>
      <c r="D1014">
        <v>0</v>
      </c>
      <c r="E1014">
        <v>0</v>
      </c>
      <c r="F1014" t="s">
        <v>139</v>
      </c>
      <c r="G1014" t="str" cm="1">
        <f t="array" ref="G1014">FindCountryName(F1014)</f>
        <v>Turkey</v>
      </c>
      <c r="H1014" s="3">
        <v>45299.261122685188</v>
      </c>
      <c r="I1014" s="3">
        <v>45299.261122685188</v>
      </c>
      <c r="J1014" s="3">
        <v>44746.609456018516</v>
      </c>
      <c r="K1014" cm="1">
        <f t="array" ref="K1014">sentimentCalc(C1014)</f>
        <v>0</v>
      </c>
      <c r="L1014" t="str" cm="1">
        <f t="array" ref="L1014">sentimentCategory(K1014)</f>
        <v>Neutral</v>
      </c>
    </row>
    <row r="1015" spans="1:12" x14ac:dyDescent="0.25">
      <c r="A1015" t="s">
        <v>955</v>
      </c>
      <c r="B1015" t="s">
        <v>998</v>
      </c>
      <c r="C1015" t="str" cm="1">
        <f t="array" ref="C1015">CleanText(B1015)</f>
        <v>film ok baarlyd bence her ne kadar filmi anlamayan kiiler filmi beenmeyip ktleselerde harikayd konusu verdii mesaj gzeldi geri sanki film ok hzl ekilde konuyu ileyip nmze atlm gibi olsada genel olarak beendim film skldm tek ksm ken in ark syledii uzun dakikalard film biraz daha uzun olabilirdi konu biraz daha detayl anlatlabilirdi yinede baarl kincisinin kmasn istiyorum</v>
      </c>
      <c r="D1015">
        <v>0</v>
      </c>
      <c r="E1015">
        <v>0</v>
      </c>
      <c r="F1015" t="s">
        <v>10</v>
      </c>
      <c r="G1015" t="str" cm="1">
        <f t="array" ref="G1015">FindCountryName(F1015)</f>
        <v>None</v>
      </c>
      <c r="H1015" s="3">
        <v>45299.252581018518</v>
      </c>
      <c r="I1015" s="3">
        <v>45299.252581018518</v>
      </c>
      <c r="J1015" s="3">
        <v>44931.468599537038</v>
      </c>
      <c r="K1015" cm="1">
        <f t="array" ref="K1015">sentimentCalc(C1015)</f>
        <v>0</v>
      </c>
      <c r="L1015" t="str" cm="1">
        <f t="array" ref="L1015">sentimentCategory(K1015)</f>
        <v>Neutral</v>
      </c>
    </row>
    <row r="1016" spans="1:12" x14ac:dyDescent="0.25">
      <c r="A1016" t="s">
        <v>541</v>
      </c>
      <c r="B1016" t="s">
        <v>865</v>
      </c>
      <c r="C1016" t="str" cm="1">
        <f t="array" ref="C1016">CleanText(B1016)</f>
        <v>film ok iyiydi baya beendim izleyin</v>
      </c>
      <c r="D1016">
        <v>1</v>
      </c>
      <c r="E1016">
        <v>0</v>
      </c>
      <c r="F1016" t="s">
        <v>10</v>
      </c>
      <c r="G1016" t="str" cm="1">
        <f t="array" ref="G1016">FindCountryName(F1016)</f>
        <v>None</v>
      </c>
      <c r="H1016" s="3">
        <v>45299.454247685186</v>
      </c>
      <c r="I1016" s="3">
        <v>45299.454247685186</v>
      </c>
      <c r="J1016" s="3">
        <v>43908.351273148146</v>
      </c>
      <c r="K1016" cm="1">
        <f t="array" ref="K1016">sentimentCalc(C1016)</f>
        <v>0</v>
      </c>
      <c r="L1016" t="str" cm="1">
        <f t="array" ref="L1016">sentimentCategory(K1016)</f>
        <v>Neutral</v>
      </c>
    </row>
    <row r="1017" spans="1:12" x14ac:dyDescent="0.25">
      <c r="A1017" t="s">
        <v>447</v>
      </c>
      <c r="B1017" t="s">
        <v>2607</v>
      </c>
      <c r="C1017" t="str" cm="1">
        <f t="array" ref="C1017">CleanText(B1017)</f>
        <v>film aneh</v>
      </c>
      <c r="D1017">
        <v>0</v>
      </c>
      <c r="E1017">
        <v>0</v>
      </c>
      <c r="F1017" t="s">
        <v>10</v>
      </c>
      <c r="G1017" t="str" cm="1">
        <f t="array" ref="G1017">FindCountryName(F1017)</f>
        <v>None</v>
      </c>
      <c r="H1017" s="3">
        <v>45162.108773148146</v>
      </c>
      <c r="I1017" s="3">
        <v>45162.108761574076</v>
      </c>
      <c r="J1017" s="3">
        <v>44790.144293981481</v>
      </c>
      <c r="K1017" cm="1">
        <f t="array" ref="K1017">sentimentCalc(C1017)</f>
        <v>0</v>
      </c>
      <c r="L1017" t="str" cm="1">
        <f t="array" ref="L1017">sentimentCategory(K1017)</f>
        <v>Neutral</v>
      </c>
    </row>
    <row r="1018" spans="1:12" x14ac:dyDescent="0.25">
      <c r="A1018" t="s">
        <v>537</v>
      </c>
      <c r="B1018" t="s">
        <v>538</v>
      </c>
      <c r="C1018" t="str" cm="1">
        <f t="array" ref="C1018">CleanText(B1018)</f>
        <v>film gzel fenimistik bir havas vard ama barbie dnyasn byle grmek ok gzeldi</v>
      </c>
      <c r="D1018">
        <v>0</v>
      </c>
      <c r="E1018">
        <v>0</v>
      </c>
      <c r="F1018" t="s">
        <v>10</v>
      </c>
      <c r="G1018" t="str" cm="1">
        <f t="array" ref="G1018">FindCountryName(F1018)</f>
        <v>None</v>
      </c>
      <c r="H1018" s="3">
        <v>45317.278993055559</v>
      </c>
      <c r="I1018" s="3">
        <v>45317.278993055559</v>
      </c>
      <c r="J1018" s="3">
        <v>43838.179594907408</v>
      </c>
      <c r="K1018" cm="1">
        <f t="array" ref="K1018">sentimentCalc(C1018)</f>
        <v>0</v>
      </c>
      <c r="L1018" t="str" cm="1">
        <f t="array" ref="L1018">sentimentCategory(K1018)</f>
        <v>Neutral</v>
      </c>
    </row>
    <row r="1019" spans="1:12" x14ac:dyDescent="0.25">
      <c r="A1019" t="s">
        <v>769</v>
      </c>
      <c r="B1019" t="s">
        <v>770</v>
      </c>
      <c r="C1019" t="str" cm="1">
        <f t="array" ref="C1019">CleanText(B1019)</f>
        <v>film gerekten harika bir film tavsiye ediyorum herkese</v>
      </c>
      <c r="D1019">
        <v>0</v>
      </c>
      <c r="E1019">
        <v>0</v>
      </c>
      <c r="F1019" t="s">
        <v>10</v>
      </c>
      <c r="G1019" t="str" cm="1">
        <f t="array" ref="G1019">FindCountryName(F1019)</f>
        <v>None</v>
      </c>
      <c r="H1019" s="3">
        <v>45308.3827662037</v>
      </c>
      <c r="I1019" s="3">
        <v>45308.3827662037</v>
      </c>
      <c r="J1019" s="3">
        <v>44511.213900462964</v>
      </c>
      <c r="K1019" cm="1">
        <f t="array" ref="K1019">sentimentCalc(C1019)</f>
        <v>0</v>
      </c>
      <c r="L1019" t="str" cm="1">
        <f t="array" ref="L1019">sentimentCategory(K1019)</f>
        <v>Neutral</v>
      </c>
    </row>
    <row r="1020" spans="1:12" x14ac:dyDescent="0.25">
      <c r="A1020" t="s">
        <v>955</v>
      </c>
      <c r="B1020" t="s">
        <v>956</v>
      </c>
      <c r="C1020" t="str" cm="1">
        <f t="array" ref="C1020">CleanText(B1020)</f>
        <v>film harika herkese tavsiye ederim severek izledik</v>
      </c>
      <c r="D1020">
        <v>0</v>
      </c>
      <c r="E1020">
        <v>0</v>
      </c>
      <c r="F1020" t="s">
        <v>10</v>
      </c>
      <c r="G1020" t="str" cm="1">
        <f t="array" ref="G1020">FindCountryName(F1020)</f>
        <v>None</v>
      </c>
      <c r="H1020" s="3">
        <v>45299.256597222222</v>
      </c>
      <c r="I1020" s="3">
        <v>45299.256597222222</v>
      </c>
      <c r="J1020" s="3">
        <v>44302.61446759259</v>
      </c>
      <c r="K1020" cm="1">
        <f t="array" ref="K1020">sentimentCalc(C1020)</f>
        <v>0</v>
      </c>
      <c r="L1020" t="str" cm="1">
        <f t="array" ref="L1020">sentimentCategory(K1020)</f>
        <v>Neutral</v>
      </c>
    </row>
    <row r="1021" spans="1:12" x14ac:dyDescent="0.25">
      <c r="A1021" t="s">
        <v>158</v>
      </c>
      <c r="B1021" t="s">
        <v>159</v>
      </c>
      <c r="C1021" t="str" cm="1">
        <f t="array" ref="C1021">CleanText(B1021)</f>
        <v>film mkemmeldi herkese tavsiye ediyorum</v>
      </c>
      <c r="D1021">
        <v>0</v>
      </c>
      <c r="E1021">
        <v>0</v>
      </c>
      <c r="F1021" t="s">
        <v>10</v>
      </c>
      <c r="G1021" t="str" cm="1">
        <f t="array" ref="G1021">FindCountryName(F1021)</f>
        <v>None</v>
      </c>
      <c r="H1021" s="3">
        <v>45337.45925925926</v>
      </c>
      <c r="I1021" s="3">
        <v>45337.45925925926</v>
      </c>
      <c r="J1021" s="3">
        <v>43983.713055555556</v>
      </c>
      <c r="K1021" cm="1">
        <f t="array" ref="K1021">sentimentCalc(C1021)</f>
        <v>0</v>
      </c>
      <c r="L1021" t="str" cm="1">
        <f t="array" ref="L1021">sentimentCategory(K1021)</f>
        <v>Neutral</v>
      </c>
    </row>
    <row r="1022" spans="1:12" x14ac:dyDescent="0.25">
      <c r="A1022" t="s">
        <v>964</v>
      </c>
      <c r="B1022" t="s">
        <v>965</v>
      </c>
      <c r="C1022" t="str" cm="1">
        <f t="array" ref="C1022">CleanText(B1022)</f>
        <v>film muazzam ve oscar hakettiini dnyorum</v>
      </c>
      <c r="D1022">
        <v>0</v>
      </c>
      <c r="E1022">
        <v>0</v>
      </c>
      <c r="F1022" t="s">
        <v>10</v>
      </c>
      <c r="G1022" t="str" cm="1">
        <f t="array" ref="G1022">FindCountryName(F1022)</f>
        <v>None</v>
      </c>
      <c r="H1022" s="3">
        <v>45299.255671296298</v>
      </c>
      <c r="I1022" s="3">
        <v>45299.255671296298</v>
      </c>
      <c r="J1022" s="3">
        <v>44254.460601851853</v>
      </c>
      <c r="K1022" cm="1">
        <f t="array" ref="K1022">sentimentCalc(C1022)</f>
        <v>0</v>
      </c>
      <c r="L1022" t="str" cm="1">
        <f t="array" ref="L1022">sentimentCategory(K1022)</f>
        <v>Neutral</v>
      </c>
    </row>
    <row r="1023" spans="1:12" x14ac:dyDescent="0.25">
      <c r="A1023" t="s">
        <v>804</v>
      </c>
      <c r="B1023" t="s">
        <v>4117</v>
      </c>
      <c r="C1023" t="str" cm="1">
        <f t="array" ref="C1023">CleanText(B1023)</f>
        <v>film sucks</v>
      </c>
      <c r="D1023">
        <v>3</v>
      </c>
      <c r="E1023">
        <v>0</v>
      </c>
      <c r="F1023" t="s">
        <v>10</v>
      </c>
      <c r="G1023" t="str" cm="1">
        <f t="array" ref="G1023">FindCountryName(F1023)</f>
        <v>None</v>
      </c>
      <c r="H1023" s="3">
        <v>45142.722048611111</v>
      </c>
      <c r="I1023" s="3">
        <v>45142.722048611111</v>
      </c>
      <c r="J1023" s="3">
        <v>41775.657164351855</v>
      </c>
      <c r="K1023" cm="1">
        <f t="array" ref="K1023">sentimentCalc(C1023)</f>
        <v>-3</v>
      </c>
      <c r="L1023" t="str" cm="1">
        <f t="array" ref="L1023">sentimentCategory(K1023)</f>
        <v>Negative</v>
      </c>
    </row>
    <row r="1024" spans="1:12" x14ac:dyDescent="0.25">
      <c r="A1024" t="s">
        <v>444</v>
      </c>
      <c r="B1024" t="s">
        <v>2526</v>
      </c>
      <c r="C1024" t="str" cm="1">
        <f t="array" ref="C1024">CleanText(B1024)</f>
        <v>film trop drle  a vaut la peine</v>
      </c>
      <c r="D1024">
        <v>0</v>
      </c>
      <c r="E1024">
        <v>0</v>
      </c>
      <c r="F1024" t="s">
        <v>10</v>
      </c>
      <c r="G1024" t="str" cm="1">
        <f t="array" ref="G1024">FindCountryName(F1024)</f>
        <v>None</v>
      </c>
      <c r="H1024" s="3">
        <v>45164.304560185185</v>
      </c>
      <c r="I1024" s="3">
        <v>45164.304560185185</v>
      </c>
      <c r="J1024" s="3">
        <v>45164.304513888892</v>
      </c>
      <c r="K1024" cm="1">
        <f t="array" ref="K1024">sentimentCalc(C1024)</f>
        <v>0</v>
      </c>
      <c r="L1024" t="str" cm="1">
        <f t="array" ref="L1024">sentimentCategory(K1024)</f>
        <v>Neutral</v>
      </c>
    </row>
    <row r="1025" spans="1:12" x14ac:dyDescent="0.25">
      <c r="A1025" t="s">
        <v>36</v>
      </c>
      <c r="B1025" t="s">
        <v>1888</v>
      </c>
      <c r="C1025" t="str" cm="1">
        <f t="array" ref="C1025">CleanText(B1025)</f>
        <v>filme timo</v>
      </c>
      <c r="D1025">
        <v>0</v>
      </c>
      <c r="E1025">
        <v>0</v>
      </c>
      <c r="F1025" t="s">
        <v>10</v>
      </c>
      <c r="G1025" t="str" cm="1">
        <f t="array" ref="G1025">FindCountryName(F1025)</f>
        <v>None</v>
      </c>
      <c r="H1025" s="3">
        <v>45188.708136574074</v>
      </c>
      <c r="I1025" s="3">
        <v>45188.708136574074</v>
      </c>
      <c r="J1025" s="3">
        <v>42181.934398148151</v>
      </c>
      <c r="K1025" cm="1">
        <f t="array" ref="K1025">sentimentCalc(C1025)</f>
        <v>0</v>
      </c>
      <c r="L1025" t="str" cm="1">
        <f t="array" ref="L1025">sentimentCategory(K1025)</f>
        <v>Neutral</v>
      </c>
    </row>
    <row r="1026" spans="1:12" x14ac:dyDescent="0.25">
      <c r="A1026" t="s">
        <v>514</v>
      </c>
      <c r="B1026" t="s">
        <v>2029</v>
      </c>
      <c r="C1026" t="str" cm="1">
        <f t="array" ref="C1026">CleanText(B1026)</f>
        <v>filme fantstico</v>
      </c>
      <c r="D1026">
        <v>0</v>
      </c>
      <c r="E1026">
        <v>0</v>
      </c>
      <c r="F1026" t="s">
        <v>10</v>
      </c>
      <c r="G1026" t="str" cm="1">
        <f t="array" ref="G1026">FindCountryName(F1026)</f>
        <v>None</v>
      </c>
      <c r="H1026" s="3">
        <v>45183.623842592591</v>
      </c>
      <c r="I1026" s="3">
        <v>45183.623842592591</v>
      </c>
      <c r="J1026" s="3">
        <v>41426.657835648148</v>
      </c>
      <c r="K1026" cm="1">
        <f t="array" ref="K1026">sentimentCalc(C1026)</f>
        <v>0</v>
      </c>
      <c r="L1026" t="str" cm="1">
        <f t="array" ref="L1026">sentimentCategory(K1026)</f>
        <v>Neutral</v>
      </c>
    </row>
    <row r="1027" spans="1:12" x14ac:dyDescent="0.25">
      <c r="A1027" t="s">
        <v>105</v>
      </c>
      <c r="B1027" t="s">
        <v>1681</v>
      </c>
      <c r="C1027" t="str" cm="1">
        <f t="array" ref="C1027">CleanText(B1027)</f>
        <v>filme fantstico</v>
      </c>
      <c r="D1027">
        <v>7</v>
      </c>
      <c r="E1027">
        <v>0</v>
      </c>
      <c r="F1027" t="s">
        <v>10</v>
      </c>
      <c r="G1027" t="str" cm="1">
        <f t="array" ref="G1027">FindCountryName(F1027)</f>
        <v>None</v>
      </c>
      <c r="H1027" s="3">
        <v>45202.574583333335</v>
      </c>
      <c r="I1027" s="3">
        <v>45202.574583333335</v>
      </c>
      <c r="J1027" s="3">
        <v>45202.524907407409</v>
      </c>
      <c r="K1027" cm="1">
        <f t="array" ref="K1027">sentimentCalc(C1027)</f>
        <v>0</v>
      </c>
      <c r="L1027" t="str" cm="1">
        <f t="array" ref="L1027">sentimentCategory(K1027)</f>
        <v>Neutral</v>
      </c>
    </row>
    <row r="1028" spans="1:12" x14ac:dyDescent="0.25">
      <c r="A1028" t="s">
        <v>1503</v>
      </c>
      <c r="B1028" t="s">
        <v>1509</v>
      </c>
      <c r="C1028" t="str" cm="1">
        <f t="array" ref="C1028">CleanText(B1028)</f>
        <v>filme incrvel</v>
      </c>
      <c r="D1028">
        <v>2</v>
      </c>
      <c r="E1028">
        <v>0</v>
      </c>
      <c r="F1028" t="s">
        <v>10</v>
      </c>
      <c r="G1028" t="str" cm="1">
        <f t="array" ref="G1028">FindCountryName(F1028)</f>
        <v>None</v>
      </c>
      <c r="H1028" s="3">
        <v>45218.630740740744</v>
      </c>
      <c r="I1028" s="3">
        <v>45218.630740740744</v>
      </c>
      <c r="J1028" s="3">
        <v>42487.516493055555</v>
      </c>
      <c r="K1028" cm="1">
        <f t="array" ref="K1028">sentimentCalc(C1028)</f>
        <v>0</v>
      </c>
      <c r="L1028" t="str" cm="1">
        <f t="array" ref="L1028">sentimentCategory(K1028)</f>
        <v>Neutral</v>
      </c>
    </row>
    <row r="1029" spans="1:12" x14ac:dyDescent="0.25">
      <c r="A1029" t="s">
        <v>1543</v>
      </c>
      <c r="B1029" t="s">
        <v>1544</v>
      </c>
      <c r="C1029" t="str" cm="1">
        <f t="array" ref="C1029">CleanText(B1029)</f>
        <v>filme incrvel maravilhoso relembrar a infncia</v>
      </c>
      <c r="D1029">
        <v>36</v>
      </c>
      <c r="E1029">
        <v>2</v>
      </c>
      <c r="F1029" t="s">
        <v>10</v>
      </c>
      <c r="G1029" t="str" cm="1">
        <f t="array" ref="G1029">FindCountryName(F1029)</f>
        <v>None</v>
      </c>
      <c r="H1029" s="3">
        <v>45214.713449074072</v>
      </c>
      <c r="I1029" s="3">
        <v>45214.713449074072</v>
      </c>
      <c r="J1029" s="3">
        <v>45130.964363425926</v>
      </c>
      <c r="K1029" cm="1">
        <f t="array" ref="K1029">sentimentCalc(C1029)</f>
        <v>0</v>
      </c>
      <c r="L1029" t="str" cm="1">
        <f t="array" ref="L1029">sentimentCategory(K1029)</f>
        <v>Neutral</v>
      </c>
    </row>
    <row r="1030" spans="1:12" x14ac:dyDescent="0.25">
      <c r="A1030" t="s">
        <v>472</v>
      </c>
      <c r="B1030" t="s">
        <v>945</v>
      </c>
      <c r="C1030" t="str" cm="1">
        <f t="array" ref="C1030">CleanText(B1030)</f>
        <v>filme incrivel maravilhoso relembrar a infancia</v>
      </c>
      <c r="D1030">
        <v>0</v>
      </c>
      <c r="E1030">
        <v>0</v>
      </c>
      <c r="F1030" t="s">
        <v>10</v>
      </c>
      <c r="G1030" t="str" cm="1">
        <f t="array" ref="G1030">FindCountryName(F1030)</f>
        <v>None</v>
      </c>
      <c r="H1030" s="3">
        <v>45299.259189814817</v>
      </c>
      <c r="I1030" s="3">
        <v>45299.259189814817</v>
      </c>
      <c r="J1030" s="3">
        <v>44583.567280092589</v>
      </c>
      <c r="K1030" cm="1">
        <f t="array" ref="K1030">sentimentCalc(C1030)</f>
        <v>0</v>
      </c>
      <c r="L1030" t="str" cm="1">
        <f t="array" ref="L1030">sentimentCategory(K1030)</f>
        <v>Neutral</v>
      </c>
    </row>
    <row r="1031" spans="1:12" x14ac:dyDescent="0.25">
      <c r="A1031" t="s">
        <v>213</v>
      </c>
      <c r="B1031" t="s">
        <v>1399</v>
      </c>
      <c r="C1031" t="str" cm="1">
        <f t="array" ref="C1031">CleanText(B1031)</f>
        <v>filme lindo para assistir</v>
      </c>
      <c r="D1031">
        <v>0</v>
      </c>
      <c r="E1031">
        <v>0</v>
      </c>
      <c r="F1031" t="s">
        <v>10</v>
      </c>
      <c r="G1031" t="str" cm="1">
        <f t="array" ref="G1031">FindCountryName(F1031)</f>
        <v>None</v>
      </c>
      <c r="H1031" s="3">
        <v>45233.606122685182</v>
      </c>
      <c r="I1031" s="3">
        <v>45233.606122685182</v>
      </c>
      <c r="J1031" s="3">
        <v>41573.009247685186</v>
      </c>
      <c r="K1031" cm="1">
        <f t="array" ref="K1031">sentimentCalc(C1031)</f>
        <v>0</v>
      </c>
      <c r="L1031" t="str" cm="1">
        <f t="array" ref="L1031">sentimentCategory(K1031)</f>
        <v>Neutral</v>
      </c>
    </row>
    <row r="1032" spans="1:12" x14ac:dyDescent="0.25">
      <c r="A1032" t="s">
        <v>1078</v>
      </c>
      <c r="B1032" t="s">
        <v>2034</v>
      </c>
      <c r="C1032" t="str" cm="1">
        <f t="array" ref="C1032">CleanText(B1032)</f>
        <v>filme magnfico e algo que remete a nossa infncia e como voltar a ser criana</v>
      </c>
      <c r="D1032">
        <v>5</v>
      </c>
      <c r="E1032">
        <v>2</v>
      </c>
      <c r="F1032" t="s">
        <v>10</v>
      </c>
      <c r="G1032" t="str" cm="1">
        <f t="array" ref="G1032">FindCountryName(F1032)</f>
        <v>None</v>
      </c>
      <c r="H1032" s="3">
        <v>45183.500810185185</v>
      </c>
      <c r="I1032" s="3">
        <v>45183.500810185185</v>
      </c>
      <c r="J1032" s="3">
        <v>41787.754317129627</v>
      </c>
      <c r="K1032" cm="1">
        <f t="array" ref="K1032">sentimentCalc(C1032)</f>
        <v>0</v>
      </c>
      <c r="L1032" t="str" cm="1">
        <f t="array" ref="L1032">sentimentCategory(K1032)</f>
        <v>Neutral</v>
      </c>
    </row>
    <row r="1033" spans="1:12" x14ac:dyDescent="0.25">
      <c r="A1033" t="s">
        <v>993</v>
      </c>
      <c r="B1033" t="s">
        <v>1821</v>
      </c>
      <c r="C1033" t="str" cm="1">
        <f t="array" ref="C1033">CleanText(B1033)</f>
        <v>filme maravilhoso</v>
      </c>
      <c r="D1033">
        <v>3</v>
      </c>
      <c r="E1033">
        <v>0</v>
      </c>
      <c r="F1033" t="s">
        <v>10</v>
      </c>
      <c r="G1033" t="str" cm="1">
        <f t="array" ref="G1033">FindCountryName(F1033)</f>
        <v>None</v>
      </c>
      <c r="H1033" s="3">
        <v>45192.49324074074</v>
      </c>
      <c r="I1033" s="3">
        <v>45192.49324074074</v>
      </c>
      <c r="J1033" s="3">
        <v>41809.547442129631</v>
      </c>
      <c r="K1033" cm="1">
        <f t="array" ref="K1033">sentimentCalc(C1033)</f>
        <v>0</v>
      </c>
      <c r="L1033" t="str" cm="1">
        <f t="array" ref="L1033">sentimentCategory(K1033)</f>
        <v>Neutral</v>
      </c>
    </row>
    <row r="1034" spans="1:12" x14ac:dyDescent="0.25">
      <c r="A1034" t="s">
        <v>1394</v>
      </c>
      <c r="B1034" t="s">
        <v>1395</v>
      </c>
      <c r="C1034" t="str" cm="1">
        <f t="array" ref="C1034">CleanText(B1034)</f>
        <v>filme maravilhoso eu amo a barbie</v>
      </c>
      <c r="D1034">
        <v>1</v>
      </c>
      <c r="E1034">
        <v>0</v>
      </c>
      <c r="F1034" t="s">
        <v>10</v>
      </c>
      <c r="G1034" t="str" cm="1">
        <f t="array" ref="G1034">FindCountryName(F1034)</f>
        <v>None</v>
      </c>
      <c r="H1034" s="3">
        <v>45233.658159722225</v>
      </c>
      <c r="I1034" s="3">
        <v>45233.658159722225</v>
      </c>
      <c r="J1034" s="3">
        <v>41735.534444444442</v>
      </c>
      <c r="K1034" cm="1">
        <f t="array" ref="K1034">sentimentCalc(C1034)</f>
        <v>0</v>
      </c>
      <c r="L1034" t="str" cm="1">
        <f t="array" ref="L1034">sentimentCategory(K1034)</f>
        <v>Neutral</v>
      </c>
    </row>
    <row r="1035" spans="1:12" x14ac:dyDescent="0.25">
      <c r="A1035" t="s">
        <v>292</v>
      </c>
      <c r="B1035" t="s">
        <v>1409</v>
      </c>
      <c r="C1035" t="str" cm="1">
        <f t="array" ref="C1035">CleanText(B1035)</f>
        <v>filme maravilhoso amei</v>
      </c>
      <c r="D1035">
        <v>0</v>
      </c>
      <c r="E1035">
        <v>0</v>
      </c>
      <c r="F1035" t="s">
        <v>10</v>
      </c>
      <c r="G1035" t="str" cm="1">
        <f t="array" ref="G1035">FindCountryName(F1035)</f>
        <v>None</v>
      </c>
      <c r="H1035" s="3">
        <v>45233.518043981479</v>
      </c>
      <c r="I1035" s="3">
        <v>45233.518043981479</v>
      </c>
      <c r="J1035" s="3">
        <v>43481.768148148149</v>
      </c>
      <c r="K1035" cm="1">
        <f t="array" ref="K1035">sentimentCalc(C1035)</f>
        <v>0</v>
      </c>
      <c r="L1035" t="str" cm="1">
        <f t="array" ref="L1035">sentimentCategory(K1035)</f>
        <v>Neutral</v>
      </c>
    </row>
    <row r="1036" spans="1:12" x14ac:dyDescent="0.25">
      <c r="A1036" t="s">
        <v>895</v>
      </c>
      <c r="B1036" t="s">
        <v>1564</v>
      </c>
      <c r="C1036" t="str" cm="1">
        <f t="array" ref="C1036">CleanText(B1036)</f>
        <v>filme muito bom  top</v>
      </c>
      <c r="D1036">
        <v>0</v>
      </c>
      <c r="E1036">
        <v>0</v>
      </c>
      <c r="F1036" t="s">
        <v>10</v>
      </c>
      <c r="G1036" t="str" cm="1">
        <f t="array" ref="G1036">FindCountryName(F1036)</f>
        <v>None</v>
      </c>
      <c r="H1036" s="3">
        <v>45214.285011574073</v>
      </c>
      <c r="I1036" s="3">
        <v>45214.285011574073</v>
      </c>
      <c r="J1036" s="3">
        <v>43968.914918981478</v>
      </c>
      <c r="K1036" cm="1">
        <f t="array" ref="K1036">sentimentCalc(C1036)</f>
        <v>2</v>
      </c>
      <c r="L1036" t="str" cm="1">
        <f t="array" ref="L1036">sentimentCategory(K1036)</f>
        <v>Positive</v>
      </c>
    </row>
    <row r="1037" spans="1:12" x14ac:dyDescent="0.25">
      <c r="A1037" t="s">
        <v>1112</v>
      </c>
      <c r="B1037" t="s">
        <v>1351</v>
      </c>
      <c r="C1037" t="str" cm="1">
        <f t="array" ref="C1037">CleanText(B1037)</f>
        <v>filme muito bom me lembra minha infncia</v>
      </c>
      <c r="D1037">
        <v>1</v>
      </c>
      <c r="E1037">
        <v>0</v>
      </c>
      <c r="F1037" t="s">
        <v>10</v>
      </c>
      <c r="G1037" t="str" cm="1">
        <f t="array" ref="G1037">FindCountryName(F1037)</f>
        <v>None</v>
      </c>
      <c r="H1037" s="3">
        <v>45242.366446759261</v>
      </c>
      <c r="I1037" s="3">
        <v>45242.366446759261</v>
      </c>
      <c r="J1037" s="3">
        <v>44120.549988425926</v>
      </c>
      <c r="K1037" cm="1">
        <f t="array" ref="K1037">sentimentCalc(C1037)</f>
        <v>0</v>
      </c>
      <c r="L1037" t="str" cm="1">
        <f t="array" ref="L1037">sentimentCategory(K1037)</f>
        <v>Neutral</v>
      </c>
    </row>
    <row r="1038" spans="1:12" x14ac:dyDescent="0.25">
      <c r="A1038" t="s">
        <v>1507</v>
      </c>
      <c r="B1038" t="s">
        <v>1508</v>
      </c>
      <c r="C1038" t="str" cm="1">
        <f t="array" ref="C1038">CleanText(B1038)</f>
        <v>filme muito bom recomendo</v>
      </c>
      <c r="D1038">
        <v>0</v>
      </c>
      <c r="E1038">
        <v>0</v>
      </c>
      <c r="F1038" t="s">
        <v>10</v>
      </c>
      <c r="G1038" t="str" cm="1">
        <f t="array" ref="G1038">FindCountryName(F1038)</f>
        <v>None</v>
      </c>
      <c r="H1038" s="3">
        <v>45218.640659722223</v>
      </c>
      <c r="I1038" s="3">
        <v>45218.640659722223</v>
      </c>
      <c r="J1038" s="3">
        <v>43509.842650462961</v>
      </c>
      <c r="K1038" cm="1">
        <f t="array" ref="K1038">sentimentCalc(C1038)</f>
        <v>0</v>
      </c>
      <c r="L1038" t="str" cm="1">
        <f t="array" ref="L1038">sentimentCategory(K1038)</f>
        <v>Neutral</v>
      </c>
    </row>
    <row r="1039" spans="1:12" x14ac:dyDescent="0.25">
      <c r="A1039" t="s">
        <v>1100</v>
      </c>
      <c r="B1039" t="s">
        <v>1353</v>
      </c>
      <c r="C1039" t="str" cm="1">
        <f t="array" ref="C1039">CleanText(B1039)</f>
        <v>filme muito colorido muito bom</v>
      </c>
      <c r="D1039">
        <v>1</v>
      </c>
      <c r="E1039">
        <v>0</v>
      </c>
      <c r="F1039" t="s">
        <v>10</v>
      </c>
      <c r="G1039" t="str" cm="1">
        <f t="array" ref="G1039">FindCountryName(F1039)</f>
        <v>None</v>
      </c>
      <c r="H1039" s="3">
        <v>45242.312835648147</v>
      </c>
      <c r="I1039" s="3">
        <v>45242.312835648147</v>
      </c>
      <c r="J1039" s="3">
        <v>40926.278564814813</v>
      </c>
      <c r="K1039" cm="1">
        <f t="array" ref="K1039">sentimentCalc(C1039)</f>
        <v>0</v>
      </c>
      <c r="L1039" t="str" cm="1">
        <f t="array" ref="L1039">sentimentCategory(K1039)</f>
        <v>Neutral</v>
      </c>
    </row>
    <row r="1040" spans="1:12" x14ac:dyDescent="0.25">
      <c r="A1040" t="s">
        <v>365</v>
      </c>
      <c r="B1040" t="s">
        <v>1682</v>
      </c>
      <c r="C1040" t="str" cm="1">
        <f t="array" ref="C1040">CleanText(B1040)</f>
        <v>filme muito importante para as pessoas refletirem</v>
      </c>
      <c r="D1040">
        <v>0</v>
      </c>
      <c r="E1040">
        <v>0</v>
      </c>
      <c r="F1040" t="s">
        <v>10</v>
      </c>
      <c r="G1040" t="str" cm="1">
        <f t="array" ref="G1040">FindCountryName(F1040)</f>
        <v>None</v>
      </c>
      <c r="H1040" s="3">
        <v>45202.501076388886</v>
      </c>
      <c r="I1040" s="3">
        <v>45202.501076388886</v>
      </c>
      <c r="J1040" s="3">
        <v>41482.460138888891</v>
      </c>
      <c r="K1040" cm="1">
        <f t="array" ref="K1040">sentimentCalc(C1040)</f>
        <v>0</v>
      </c>
      <c r="L1040" t="str" cm="1">
        <f t="array" ref="L1040">sentimentCategory(K1040)</f>
        <v>Neutral</v>
      </c>
    </row>
    <row r="1041" spans="1:12" x14ac:dyDescent="0.25">
      <c r="A1041" t="s">
        <v>186</v>
      </c>
      <c r="B1041" t="s">
        <v>1541</v>
      </c>
      <c r="C1041" t="str" cm="1">
        <f t="array" ref="C1041">CleanText(B1041)</f>
        <v>filme muito top aodrei</v>
      </c>
      <c r="D1041">
        <v>0</v>
      </c>
      <c r="E1041">
        <v>0</v>
      </c>
      <c r="F1041" t="s">
        <v>10</v>
      </c>
      <c r="G1041" t="str" cm="1">
        <f t="array" ref="G1041">FindCountryName(F1041)</f>
        <v>None</v>
      </c>
      <c r="H1041" s="3">
        <v>45214.767696759256</v>
      </c>
      <c r="I1041" s="3">
        <v>45214.767696759256</v>
      </c>
      <c r="J1041" s="3">
        <v>42758.531319444446</v>
      </c>
      <c r="K1041" cm="1">
        <f t="array" ref="K1041">sentimentCalc(C1041)</f>
        <v>2</v>
      </c>
      <c r="L1041" t="str" cm="1">
        <f t="array" ref="L1041">sentimentCategory(K1041)</f>
        <v>Positive</v>
      </c>
    </row>
    <row r="1042" spans="1:12" x14ac:dyDescent="0.25">
      <c r="A1042" t="s">
        <v>296</v>
      </c>
      <c r="B1042" t="s">
        <v>1348</v>
      </c>
      <c r="C1042" t="str" cm="1">
        <f t="array" ref="C1042">CleanText(B1042)</f>
        <v>filme perfeito</v>
      </c>
      <c r="D1042">
        <v>1</v>
      </c>
      <c r="E1042">
        <v>0</v>
      </c>
      <c r="F1042" t="s">
        <v>10</v>
      </c>
      <c r="G1042" t="str" cm="1">
        <f t="array" ref="G1042">FindCountryName(F1042)</f>
        <v>None</v>
      </c>
      <c r="H1042" s="3">
        <v>45242.568032407406</v>
      </c>
      <c r="I1042" s="3">
        <v>45242.568032407406</v>
      </c>
      <c r="J1042" s="3">
        <v>45242.422777777778</v>
      </c>
      <c r="K1042" cm="1">
        <f t="array" ref="K1042">sentimentCalc(C1042)</f>
        <v>0</v>
      </c>
      <c r="L1042" t="str" cm="1">
        <f t="array" ref="L1042">sentimentCategory(K1042)</f>
        <v>Neutral</v>
      </c>
    </row>
    <row r="1043" spans="1:12" x14ac:dyDescent="0.25">
      <c r="A1043" t="s">
        <v>1433</v>
      </c>
      <c r="B1043" t="s">
        <v>1446</v>
      </c>
      <c r="C1043" t="str" cm="1">
        <f t="array" ref="C1043">CleanText(B1043)</f>
        <v>filme top</v>
      </c>
      <c r="D1043">
        <v>0</v>
      </c>
      <c r="E1043">
        <v>0</v>
      </c>
      <c r="F1043" t="s">
        <v>10</v>
      </c>
      <c r="G1043" t="str" cm="1">
        <f t="array" ref="G1043">FindCountryName(F1043)</f>
        <v>None</v>
      </c>
      <c r="H1043" s="3">
        <v>45226.572002314817</v>
      </c>
      <c r="I1043" s="3">
        <v>45226.572002314817</v>
      </c>
      <c r="J1043" s="3">
        <v>42591.836828703701</v>
      </c>
      <c r="K1043" cm="1">
        <f t="array" ref="K1043">sentimentCalc(C1043)</f>
        <v>2</v>
      </c>
      <c r="L1043" t="str" cm="1">
        <f t="array" ref="L1043">sentimentCategory(K1043)</f>
        <v>Positive</v>
      </c>
    </row>
    <row r="1044" spans="1:12" x14ac:dyDescent="0.25">
      <c r="A1044" t="s">
        <v>682</v>
      </c>
      <c r="B1044" t="s">
        <v>1649</v>
      </c>
      <c r="C1044" t="str" cm="1">
        <f t="array" ref="C1044">CleanText(B1044)</f>
        <v>filme top adorei assistir</v>
      </c>
      <c r="D1044">
        <v>0</v>
      </c>
      <c r="E1044">
        <v>0</v>
      </c>
      <c r="F1044" t="s">
        <v>10</v>
      </c>
      <c r="G1044" t="str" cm="1">
        <f t="array" ref="G1044">FindCountryName(F1044)</f>
        <v>None</v>
      </c>
      <c r="H1044" s="3">
        <v>45205.41605324074</v>
      </c>
      <c r="I1044" s="3">
        <v>45205.41605324074</v>
      </c>
      <c r="J1044" s="3">
        <v>44983.439328703702</v>
      </c>
      <c r="K1044" cm="1">
        <f t="array" ref="K1044">sentimentCalc(C1044)</f>
        <v>2</v>
      </c>
      <c r="L1044" t="str" cm="1">
        <f t="array" ref="L1044">sentimentCategory(K1044)</f>
        <v>Positive</v>
      </c>
    </row>
    <row r="1045" spans="1:12" x14ac:dyDescent="0.25">
      <c r="A1045" t="s">
        <v>1558</v>
      </c>
      <c r="B1045" t="s">
        <v>1559</v>
      </c>
      <c r="C1045" t="str" cm="1">
        <f t="array" ref="C1045">CleanText(B1045)</f>
        <v>filme top barbie sempre inovando</v>
      </c>
      <c r="D1045">
        <v>2</v>
      </c>
      <c r="E1045">
        <v>0</v>
      </c>
      <c r="F1045" t="s">
        <v>10</v>
      </c>
      <c r="G1045" t="str" cm="1">
        <f t="array" ref="G1045">FindCountryName(F1045)</f>
        <v>None</v>
      </c>
      <c r="H1045" s="3">
        <v>45214.376261574071</v>
      </c>
      <c r="I1045" s="3">
        <v>45214.376261574071</v>
      </c>
      <c r="J1045" s="3">
        <v>39524.600254629629</v>
      </c>
      <c r="K1045" cm="1">
        <f t="array" ref="K1045">sentimentCalc(C1045)</f>
        <v>2</v>
      </c>
      <c r="L1045" t="str" cm="1">
        <f t="array" ref="L1045">sentimentCategory(K1045)</f>
        <v>Positive</v>
      </c>
    </row>
    <row r="1046" spans="1:12" x14ac:dyDescent="0.25">
      <c r="A1046" t="s">
        <v>962</v>
      </c>
      <c r="B1046" t="s">
        <v>963</v>
      </c>
      <c r="C1046" t="str" cm="1">
        <f t="array" ref="C1046">CleanText(B1046)</f>
        <v>filmi beendim ve elendim gzeldi bence ama ortalama dzeyde desem daha doru olur bu konseptte daha tatl filmler de yakalamtm ama oyuncularn performansn ve margot robbie ve ryan gosling uyumunu beendim zaten margot robbie yrtc kular filminden sonra tandm sevdiim oyuncu oldu film izlenir</v>
      </c>
      <c r="D1046">
        <v>0</v>
      </c>
      <c r="E1046">
        <v>0</v>
      </c>
      <c r="F1046" t="s">
        <v>10</v>
      </c>
      <c r="G1046" t="str" cm="1">
        <f t="array" ref="G1046">FindCountryName(F1046)</f>
        <v>None</v>
      </c>
      <c r="H1046" s="3">
        <v>45299.255740740744</v>
      </c>
      <c r="I1046" s="3">
        <v>45299.255740740744</v>
      </c>
      <c r="J1046" s="3">
        <v>40720.67460648148</v>
      </c>
      <c r="K1046" cm="1">
        <f t="array" ref="K1046">sentimentCalc(C1046)</f>
        <v>0</v>
      </c>
      <c r="L1046" t="str" cm="1">
        <f t="array" ref="L1046">sentimentCategory(K1046)</f>
        <v>Neutral</v>
      </c>
    </row>
    <row r="1047" spans="1:12" x14ac:dyDescent="0.25">
      <c r="A1047" t="s">
        <v>205</v>
      </c>
      <c r="B1047" t="s">
        <v>430</v>
      </c>
      <c r="C1047" t="str" cm="1">
        <f t="array" ref="C1047">CleanText(B1047)</f>
        <v>filmi izledim baya iyi saryo</v>
      </c>
      <c r="D1047">
        <v>0</v>
      </c>
      <c r="E1047">
        <v>0</v>
      </c>
      <c r="F1047" t="s">
        <v>10</v>
      </c>
      <c r="G1047" t="str" cm="1">
        <f t="array" ref="G1047">FindCountryName(F1047)</f>
        <v>None</v>
      </c>
      <c r="H1047" s="3">
        <v>45322.271701388891</v>
      </c>
      <c r="I1047" s="3">
        <v>45322.271701388891</v>
      </c>
      <c r="J1047" s="3">
        <v>43736.57607638889</v>
      </c>
      <c r="K1047" cm="1">
        <f t="array" ref="K1047">sentimentCalc(C1047)</f>
        <v>0</v>
      </c>
      <c r="L1047" t="str" cm="1">
        <f t="array" ref="L1047">sentimentCategory(K1047)</f>
        <v>Neutral</v>
      </c>
    </row>
    <row r="1048" spans="1:12" x14ac:dyDescent="0.25">
      <c r="A1048" t="s">
        <v>135</v>
      </c>
      <c r="B1048" t="s">
        <v>136</v>
      </c>
      <c r="C1048" t="str" cm="1">
        <f t="array" ref="C1048">CleanText(B1048)</f>
        <v>filmi izledim harika bi film fragman da baya heyecanlyd</v>
      </c>
      <c r="D1048">
        <v>0</v>
      </c>
      <c r="E1048">
        <v>0</v>
      </c>
      <c r="F1048" t="s">
        <v>10</v>
      </c>
      <c r="G1048" t="str" cm="1">
        <f t="array" ref="G1048">FindCountryName(F1048)</f>
        <v>None</v>
      </c>
      <c r="H1048" s="3">
        <v>45337.461747685185</v>
      </c>
      <c r="I1048" s="3">
        <v>45337.461747685185</v>
      </c>
      <c r="J1048" s="3">
        <v>43314.223958333336</v>
      </c>
      <c r="K1048" cm="1">
        <f t="array" ref="K1048">sentimentCalc(C1048)</f>
        <v>0</v>
      </c>
      <c r="L1048" t="str" cm="1">
        <f t="array" ref="L1048">sentimentCategory(K1048)</f>
        <v>Neutral</v>
      </c>
    </row>
    <row r="1049" spans="1:12" x14ac:dyDescent="0.25">
      <c r="A1049" t="s">
        <v>503</v>
      </c>
      <c r="B1049" t="s">
        <v>504</v>
      </c>
      <c r="C1049" t="str" cm="1">
        <f t="array" ref="C1049">CleanText(B1049)</f>
        <v>filmi kzm ok beendi orjinal olmu</v>
      </c>
      <c r="D1049">
        <v>0</v>
      </c>
      <c r="E1049">
        <v>0</v>
      </c>
      <c r="F1049" t="s">
        <v>10</v>
      </c>
      <c r="G1049" t="str" cm="1">
        <f t="array" ref="G1049">FindCountryName(F1049)</f>
        <v>None</v>
      </c>
      <c r="H1049" s="3">
        <v>45318.108275462961</v>
      </c>
      <c r="I1049" s="3">
        <v>45318.108275462961</v>
      </c>
      <c r="J1049" s="3">
        <v>45318.105995370373</v>
      </c>
      <c r="K1049" cm="1">
        <f t="array" ref="K1049">sentimentCalc(C1049)</f>
        <v>0</v>
      </c>
      <c r="L1049" t="str" cm="1">
        <f t="array" ref="L1049">sentimentCategory(K1049)</f>
        <v>Neutral</v>
      </c>
    </row>
    <row r="1050" spans="1:12" x14ac:dyDescent="0.25">
      <c r="A1050" t="s">
        <v>387</v>
      </c>
      <c r="B1050" t="s">
        <v>924</v>
      </c>
      <c r="C1050" t="str" cm="1">
        <f t="array" ref="C1050">CleanText(B1050)</f>
        <v>filmin temas ve konusu gayet hobir iftin gzel zaman geirmek iin gidebilecei bir yapm olmu</v>
      </c>
      <c r="D1050">
        <v>0</v>
      </c>
      <c r="E1050">
        <v>0</v>
      </c>
      <c r="F1050" t="s">
        <v>10</v>
      </c>
      <c r="G1050" t="str" cm="1">
        <f t="array" ref="G1050">FindCountryName(F1050)</f>
        <v>None</v>
      </c>
      <c r="H1050" s="3">
        <v>45299.26761574074</v>
      </c>
      <c r="I1050" s="3">
        <v>45299.26761574074</v>
      </c>
      <c r="J1050" s="3">
        <v>42276.379537037035</v>
      </c>
      <c r="K1050" cm="1">
        <f t="array" ref="K1050">sentimentCalc(C1050)</f>
        <v>0</v>
      </c>
      <c r="L1050" t="str" cm="1">
        <f t="array" ref="L1050">sentimentCategory(K1050)</f>
        <v>Neutral</v>
      </c>
    </row>
    <row r="1051" spans="1:12" x14ac:dyDescent="0.25">
      <c r="A1051" t="s">
        <v>613</v>
      </c>
      <c r="B1051" t="s">
        <v>614</v>
      </c>
      <c r="C1051" t="str" cm="1">
        <f t="array" ref="C1051">CleanText(B1051)</f>
        <v>films are so bad today this is one prime example of poor acting in a bad moviemany are surprised that this film has not been awarded oscars lol are you totally and utterly delusional in the west with what you think a good movie is you dont act these days understand</v>
      </c>
      <c r="D1051">
        <v>4</v>
      </c>
      <c r="E1051">
        <v>5</v>
      </c>
      <c r="F1051" t="s">
        <v>10</v>
      </c>
      <c r="G1051" t="str" cm="1">
        <f t="array" ref="G1051">FindCountryName(F1051)</f>
        <v>None</v>
      </c>
      <c r="H1051" s="3">
        <v>45315.276030092595</v>
      </c>
      <c r="I1051" s="3">
        <v>45315.276030092595</v>
      </c>
      <c r="J1051" s="3">
        <v>38890.537604166668</v>
      </c>
      <c r="K1051" cm="1">
        <f t="array" ref="K1051">sentimentCalc(C1051)</f>
        <v>-2</v>
      </c>
      <c r="L1051" t="str" cm="1">
        <f t="array" ref="L1051">sentimentCategory(K1051)</f>
        <v>Negative</v>
      </c>
    </row>
    <row r="1052" spans="1:12" x14ac:dyDescent="0.25">
      <c r="A1052" t="s">
        <v>512</v>
      </c>
      <c r="B1052" t="s">
        <v>2562</v>
      </c>
      <c r="C1052" t="str" cm="1">
        <f t="array" ref="C1052">CleanText(B1052)</f>
        <v>finally a movie for real men we look forward to it</v>
      </c>
      <c r="D1052">
        <v>2</v>
      </c>
      <c r="E1052">
        <v>0</v>
      </c>
      <c r="F1052" t="s">
        <v>227</v>
      </c>
      <c r="G1052" t="str" cm="1">
        <f t="array" ref="G1052">FindCountryName(F1052)</f>
        <v>United States of America (the)</v>
      </c>
      <c r="H1052" s="3">
        <v>45163.351875</v>
      </c>
      <c r="I1052" s="3">
        <v>45163.351863425924</v>
      </c>
      <c r="J1052" s="3">
        <v>44964.352129629631</v>
      </c>
      <c r="K1052" cm="1">
        <f t="array" ref="K1052">sentimentCalc(C1052)</f>
        <v>0</v>
      </c>
      <c r="L1052" t="str" cm="1">
        <f t="array" ref="L1052">sentimentCategory(K1052)</f>
        <v>Neutral</v>
      </c>
    </row>
    <row r="1053" spans="1:12" x14ac:dyDescent="0.25">
      <c r="A1053" t="s">
        <v>605</v>
      </c>
      <c r="B1053" t="s">
        <v>606</v>
      </c>
      <c r="C1053" t="str" cm="1">
        <f t="array" ref="C1053">CleanText(B1053)</f>
        <v>finally got a chance to watch it its good over exceeded my expectations i like it</v>
      </c>
      <c r="D1053">
        <v>0</v>
      </c>
      <c r="E1053">
        <v>0</v>
      </c>
      <c r="F1053" t="s">
        <v>10</v>
      </c>
      <c r="G1053" t="str" cm="1">
        <f t="array" ref="G1053">FindCountryName(F1053)</f>
        <v>None</v>
      </c>
      <c r="H1053" s="3">
        <v>45315.935879629629</v>
      </c>
      <c r="I1053" s="3">
        <v>45315.935879629629</v>
      </c>
      <c r="J1053" s="3">
        <v>44186.452256944445</v>
      </c>
      <c r="K1053" cm="1">
        <f t="array" ref="K1053">sentimentCalc(C1053)</f>
        <v>7</v>
      </c>
      <c r="L1053" t="str" cm="1">
        <f t="array" ref="L1053">sentimentCategory(K1053)</f>
        <v>Positive</v>
      </c>
    </row>
    <row r="1054" spans="1:12" x14ac:dyDescent="0.25">
      <c r="A1054" t="s">
        <v>696</v>
      </c>
      <c r="B1054" t="s">
        <v>2207</v>
      </c>
      <c r="C1054" t="str" cm="1">
        <f t="array" ref="C1054">CleanText(B1054)</f>
        <v>finally saw the film today and thought it was well made the final minutes being the absolute best when the old footage home movies began to play it was a reasonably good film with many life lessons and good messages aboundhowever  they spoilt the film with that final last line from mrobbie and the c joke it was cringe worthy out of all the words a great writer could have written  gynocologist was all they could come up with     fortunately  billie eilish saved the day when her haunting song came on right after which brought people to tears nobody thought about that stupid joke everyone was just busy crying so thank christ for billie and finneas song boy did that song grab at your heart in a collossal way best ending song in any movie e v e r</v>
      </c>
      <c r="D1054">
        <v>1</v>
      </c>
      <c r="E1054">
        <v>5</v>
      </c>
      <c r="F1054" t="s">
        <v>10</v>
      </c>
      <c r="G1054" t="str" cm="1">
        <f t="array" ref="G1054">FindCountryName(F1054)</f>
        <v>None</v>
      </c>
      <c r="H1054" s="3">
        <v>45175.883194444446</v>
      </c>
      <c r="I1054" s="3">
        <v>45176.77952546296</v>
      </c>
      <c r="J1054" s="3">
        <v>39709.709814814814</v>
      </c>
      <c r="K1054" cm="1">
        <f t="array" ref="K1054">sentimentCalc(C1054)</f>
        <v>20</v>
      </c>
      <c r="L1054" t="str" cm="1">
        <f t="array" ref="L1054">sentimentCategory(K1054)</f>
        <v>Positive</v>
      </c>
    </row>
    <row r="1055" spans="1:12" x14ac:dyDescent="0.25">
      <c r="A1055" t="s">
        <v>1055</v>
      </c>
      <c r="B1055" t="s">
        <v>1258</v>
      </c>
      <c r="C1055" t="str" cm="1">
        <f t="array" ref="C1055">CleanText(B1055)</f>
        <v>finally saw this movie funny witty but im sorry to all of you who seem to think this movie is a revelation this film is at least  years behind on the discussion of gender and this film a film where the main characters have no genitalia and whom are looking throughout the film for the meaning of their existence and what defines humanity its strange that same film wasnt even brave enough to mention not even in a slight or even in an implication the identities and struggles of transgender individuals not even a single sentence and the entire film throughout its full run time shamelessly markets barbie products in a haha sort of way to where idiots dont think they are being marketed tohonestly this movie reeks of traditionalist conservative media and corporate rebranding that is loaded with unabashed product marketing that is deceptively packaged as a forward thinking study of gender and societal expectations which it absolutely is not at all i think in  this movie would be paradigm shaking but it is way behind in capturing the gender narrative in  and tbh i think matell itself may have financed it</v>
      </c>
      <c r="D1055">
        <v>1</v>
      </c>
      <c r="E1055">
        <v>2</v>
      </c>
      <c r="F1055" t="s">
        <v>10</v>
      </c>
      <c r="G1055" t="str" cm="1">
        <f t="array" ref="G1055">FindCountryName(F1055)</f>
        <v>None</v>
      </c>
      <c r="H1055" s="3">
        <v>45264.755740740744</v>
      </c>
      <c r="I1055" s="3">
        <v>45264.755740740744</v>
      </c>
      <c r="J1055" s="3">
        <v>42059.9218287037</v>
      </c>
      <c r="K1055" cm="1">
        <f t="array" ref="K1055">sentimentCalc(C1055)</f>
        <v>-1</v>
      </c>
      <c r="L1055" t="str" cm="1">
        <f t="array" ref="L1055">sentimentCategory(K1055)</f>
        <v>Negative</v>
      </c>
    </row>
    <row r="1056" spans="1:12" x14ac:dyDescent="0.25">
      <c r="A1056" t="s">
        <v>13</v>
      </c>
      <c r="B1056" t="s">
        <v>14</v>
      </c>
      <c r="C1056" t="str" cm="1">
        <f t="array" ref="C1056">CleanText(B1056)</f>
        <v>finally saw this movie cant believe how bad it was just terrible</v>
      </c>
      <c r="D1056">
        <v>0</v>
      </c>
      <c r="E1056">
        <v>0</v>
      </c>
      <c r="F1056" t="s">
        <v>10</v>
      </c>
      <c r="G1056" t="str" cm="1">
        <f t="array" ref="G1056">FindCountryName(F1056)</f>
        <v>None</v>
      </c>
      <c r="H1056" s="3">
        <v>45350.811307870368</v>
      </c>
      <c r="I1056" s="3">
        <v>45350.811747685184</v>
      </c>
      <c r="J1056" s="3">
        <v>42254.571099537039</v>
      </c>
      <c r="K1056" cm="1">
        <f t="array" ref="K1056">sentimentCalc(C1056)</f>
        <v>-6</v>
      </c>
      <c r="L1056" t="str" cm="1">
        <f t="array" ref="L1056">sentimentCategory(K1056)</f>
        <v>Negative</v>
      </c>
    </row>
    <row r="1057" spans="1:12" x14ac:dyDescent="0.25">
      <c r="A1057" t="s">
        <v>2105</v>
      </c>
      <c r="B1057" t="s">
        <v>3661</v>
      </c>
      <c r="C1057" t="str" cm="1">
        <f t="array" ref="C1057">CleanText(B1057)</f>
        <v>fine this movie is cool i like barbie</v>
      </c>
      <c r="D1057">
        <v>0</v>
      </c>
      <c r="E1057">
        <v>0</v>
      </c>
      <c r="F1057" t="s">
        <v>10</v>
      </c>
      <c r="G1057" t="str" cm="1">
        <f t="array" ref="G1057">FindCountryName(F1057)</f>
        <v>None</v>
      </c>
      <c r="H1057" s="3">
        <v>45146.682164351849</v>
      </c>
      <c r="I1057" s="3">
        <v>45146.682164351849</v>
      </c>
      <c r="J1057" s="3">
        <v>44715.720590277779</v>
      </c>
      <c r="K1057" cm="1">
        <f t="array" ref="K1057">sentimentCalc(C1057)</f>
        <v>5</v>
      </c>
      <c r="L1057" t="str" cm="1">
        <f t="array" ref="L1057">sentimentCategory(K1057)</f>
        <v>Positive</v>
      </c>
    </row>
    <row r="1058" spans="1:12" x14ac:dyDescent="0.25">
      <c r="A1058" t="s">
        <v>1456</v>
      </c>
      <c r="B1058" t="s">
        <v>1457</v>
      </c>
      <c r="C1058" t="str" cm="1">
        <f t="array" ref="C1058">CleanText(B1058)</f>
        <v>fiquei triste que no consegui ver no cinema esse filme me trs uma boa nostalgia de infncia haha</v>
      </c>
      <c r="D1058">
        <v>7</v>
      </c>
      <c r="E1058">
        <v>0</v>
      </c>
      <c r="F1058" t="s">
        <v>10</v>
      </c>
      <c r="G1058" t="str" cm="1">
        <f t="array" ref="G1058">FindCountryName(F1058)</f>
        <v>None</v>
      </c>
      <c r="H1058" s="3">
        <v>45226.449363425927</v>
      </c>
      <c r="I1058" s="3">
        <v>45226.449363425927</v>
      </c>
      <c r="J1058" s="3">
        <v>42588.685254629629</v>
      </c>
      <c r="K1058" cm="1">
        <f t="array" ref="K1058">sentimentCalc(C1058)</f>
        <v>-2</v>
      </c>
      <c r="L1058" t="str" cm="1">
        <f t="array" ref="L1058">sentimentCategory(K1058)</f>
        <v>Negative</v>
      </c>
    </row>
    <row r="1059" spans="1:12" x14ac:dyDescent="0.25">
      <c r="A1059" t="s">
        <v>1456</v>
      </c>
      <c r="B1059" t="s">
        <v>2433</v>
      </c>
      <c r="C1059" t="str" cm="1">
        <f t="array" ref="C1059">CleanText(B1059)</f>
        <v>first time watching the trailer to see whats the big deal barbie isnt an interest of mine but i just found out will ferrell is in it  will not be watching it now</v>
      </c>
      <c r="D1059">
        <v>3</v>
      </c>
      <c r="E1059">
        <v>1</v>
      </c>
      <c r="F1059" t="s">
        <v>845</v>
      </c>
      <c r="G1059" t="str" cm="1">
        <f t="array" ref="G1059">FindCountryName(F1059)</f>
        <v>Australia</v>
      </c>
      <c r="H1059" s="3">
        <v>45167.319780092592</v>
      </c>
      <c r="I1059" s="3">
        <v>45167.319768518515</v>
      </c>
      <c r="J1059" s="3">
        <v>44603.161030092589</v>
      </c>
      <c r="K1059" cm="1">
        <f t="array" ref="K1059">sentimentCalc(C1059)</f>
        <v>2</v>
      </c>
      <c r="L1059" t="str" cm="1">
        <f t="array" ref="L1059">sentimentCategory(K1059)</f>
        <v>Positive</v>
      </c>
    </row>
    <row r="1060" spans="1:12" x14ac:dyDescent="0.25">
      <c r="A1060" t="s">
        <v>3756</v>
      </c>
      <c r="B1060" t="s">
        <v>3757</v>
      </c>
      <c r="C1060" t="str" cm="1">
        <f t="array" ref="C1060">CleanText(B1060)</f>
        <v>first im a liberal progressive and totally support women who actually want equality and understand what that means that said in the not too distant future this film will most likely be looked back upon with a whole lot of embarrassment by pretty much everyone probably even gerwig if she isnt already it is possibly the most juvenile film ever made really surprised and tbh disappointed that this film is an idol for young women i mean wow what happened modern meaning todays feminism seems predicated in delusions and seems confused and a bit lost within itself men have brainwashed women that message alone is profoundly insulting to all women but no it is actually modern feminism that has brainwashed them it has brainwashed them into literally worshipping themselves as victims of society whatever in the world that means and victims of many other things nearly none of which reflect the past  years of reality and also brainwashed into suddenly believing their own sexuality was something not at all in their own control and that their sexuality is nothing more than a false construct created by and forced upon them by patriarchy which does not even exist another insult to women everywhere these messages are utterly absurd so much so its actually hard to even believe they are taken seriously it also seems like they have been brainwashed into thinking that telling other grown women how to behave and think about their own self and the world around them is good and womanly despite being something no man would ever even consider doing to another man or to a woman for that matter and now as this movie proves more brainwashing from what is in actuality a very small number of young modern day versions of feminists who tragically cannot decipher reality from social mediadriven lies and nonsense and who happen to be concentrated in english speaking media and entertainment they also seem to have no idea whatsoever how older real feminists and most men truly view the new modern feminists which is as childish naive petty insanely entitled somewhat delusional and entirely selfabsorbed people the messages in this film are false shockingly juvenile and ridiculous  and yet here we are celebrating all of this in the name of  young women</v>
      </c>
      <c r="D1060">
        <v>4</v>
      </c>
      <c r="E1060">
        <v>2</v>
      </c>
      <c r="F1060" t="s">
        <v>10</v>
      </c>
      <c r="G1060" t="str" cm="1">
        <f t="array" ref="G1060">FindCountryName(F1060)</f>
        <v>None</v>
      </c>
      <c r="H1060" s="3">
        <v>45145.700821759259</v>
      </c>
      <c r="I1060" s="3">
        <v>45145.888055555559</v>
      </c>
      <c r="J1060" s="3">
        <v>41527.386145833334</v>
      </c>
      <c r="K1060" cm="1">
        <f t="array" ref="K1060">sentimentCalc(C1060)</f>
        <v>-20</v>
      </c>
      <c r="L1060" t="str" cm="1">
        <f t="array" ref="L1060">sentimentCategory(K1060)</f>
        <v>Negative</v>
      </c>
    </row>
    <row r="1061" spans="1:12" x14ac:dyDescent="0.25">
      <c r="A1061" t="s">
        <v>600</v>
      </c>
      <c r="B1061" t="s">
        <v>602</v>
      </c>
      <c r="C1061" t="str" cm="1">
        <f t="array" ref="C1061">CleanText(B1061)</f>
        <v>flat feet</v>
      </c>
      <c r="D1061">
        <v>0</v>
      </c>
      <c r="E1061">
        <v>0</v>
      </c>
      <c r="F1061" t="s">
        <v>10</v>
      </c>
      <c r="G1061" t="str" cm="1">
        <f t="array" ref="G1061">FindCountryName(F1061)</f>
        <v>None</v>
      </c>
      <c r="H1061" s="3">
        <v>45316.788460648146</v>
      </c>
      <c r="I1061" s="3">
        <v>45316.788460648146</v>
      </c>
      <c r="J1061" s="3">
        <v>44728.598067129627</v>
      </c>
      <c r="K1061" cm="1">
        <f t="array" ref="K1061">sentimentCalc(C1061)</f>
        <v>0</v>
      </c>
      <c r="L1061" t="str" cm="1">
        <f t="array" ref="L1061">sentimentCategory(K1061)</f>
        <v>Neutral</v>
      </c>
    </row>
    <row r="1062" spans="1:12" x14ac:dyDescent="0.25">
      <c r="A1062" t="s">
        <v>143</v>
      </c>
      <c r="B1062" t="s">
        <v>1596</v>
      </c>
      <c r="C1062" t="str" cm="1">
        <f t="array" ref="C1062">CleanText(B1062)</f>
        <v>flat feet aaaa</v>
      </c>
      <c r="D1062">
        <v>0</v>
      </c>
      <c r="E1062">
        <v>0</v>
      </c>
      <c r="F1062" t="s">
        <v>10</v>
      </c>
      <c r="G1062" t="str" cm="1">
        <f t="array" ref="G1062">FindCountryName(F1062)</f>
        <v>None</v>
      </c>
      <c r="H1062" s="3">
        <v>45210.055335648147</v>
      </c>
      <c r="I1062" s="3">
        <v>45210.055335648147</v>
      </c>
      <c r="J1062" s="3">
        <v>44482.884074074071</v>
      </c>
      <c r="K1062" cm="1">
        <f t="array" ref="K1062">sentimentCalc(C1062)</f>
        <v>0</v>
      </c>
      <c r="L1062" t="str" cm="1">
        <f t="array" ref="L1062">sentimentCategory(K1062)</f>
        <v>Neutral</v>
      </c>
    </row>
    <row r="1063" spans="1:12" x14ac:dyDescent="0.25">
      <c r="A1063" t="s">
        <v>1496</v>
      </c>
      <c r="B1063" t="s">
        <v>3494</v>
      </c>
      <c r="C1063" t="str" cm="1">
        <f t="array" ref="C1063">CleanText(B1063)</f>
        <v>flat feet aaaaaaahhhhhhhhhhh</v>
      </c>
      <c r="D1063">
        <v>0</v>
      </c>
      <c r="E1063">
        <v>0</v>
      </c>
      <c r="F1063" t="s">
        <v>10</v>
      </c>
      <c r="G1063" t="str" cm="1">
        <f t="array" ref="G1063">FindCountryName(F1063)</f>
        <v>None</v>
      </c>
      <c r="H1063" s="3">
        <v>45148.288738425923</v>
      </c>
      <c r="I1063" s="3">
        <v>45148.288738425923</v>
      </c>
      <c r="J1063" s="3">
        <v>44495.961504629631</v>
      </c>
      <c r="K1063" cm="1">
        <f t="array" ref="K1063">sentimentCalc(C1063)</f>
        <v>0</v>
      </c>
      <c r="L1063" t="str" cm="1">
        <f t="array" ref="L1063">sentimentCategory(K1063)</f>
        <v>Neutral</v>
      </c>
    </row>
    <row r="1064" spans="1:12" x14ac:dyDescent="0.25">
      <c r="A1064" t="s">
        <v>1476</v>
      </c>
      <c r="B1064" t="s">
        <v>1477</v>
      </c>
      <c r="C1064" t="str" cm="1">
        <f t="array" ref="C1064">CleanText(B1064)</f>
        <v>flat feet wtf lmao</v>
      </c>
      <c r="D1064">
        <v>1</v>
      </c>
      <c r="E1064">
        <v>5</v>
      </c>
      <c r="F1064" t="s">
        <v>10</v>
      </c>
      <c r="G1064" t="str" cm="1">
        <f t="array" ref="G1064">FindCountryName(F1064)</f>
        <v>None</v>
      </c>
      <c r="H1064" s="3">
        <v>45225.342499999999</v>
      </c>
      <c r="I1064" s="3">
        <v>45225.342499999999</v>
      </c>
      <c r="J1064" s="3">
        <v>43804.869837962964</v>
      </c>
      <c r="K1064" cm="1">
        <f t="array" ref="K1064">sentimentCalc(C1064)</f>
        <v>0</v>
      </c>
      <c r="L1064" t="str" cm="1">
        <f t="array" ref="L1064">sentimentCategory(K1064)</f>
        <v>Neutral</v>
      </c>
    </row>
    <row r="1065" spans="1:12" x14ac:dyDescent="0.25">
      <c r="A1065" t="s">
        <v>3506</v>
      </c>
      <c r="B1065" t="s">
        <v>3507</v>
      </c>
      <c r="C1065" t="str" cm="1">
        <f t="array" ref="C1065">CleanText(B1065)</f>
        <v>flatfeet this movie is a dream for a foot fetishist   are great scenes for celebrating womens feet that part where they are all screaming is so hilariously silly that even if you have a foot fetish its still hilarious</v>
      </c>
      <c r="D1065">
        <v>0</v>
      </c>
      <c r="E1065">
        <v>0</v>
      </c>
      <c r="F1065" t="s">
        <v>10</v>
      </c>
      <c r="G1065" t="str" cm="1">
        <f t="array" ref="G1065">FindCountryName(F1065)</f>
        <v>None</v>
      </c>
      <c r="H1065" s="3">
        <v>45148.179965277777</v>
      </c>
      <c r="I1065" s="3">
        <v>45148.186099537037</v>
      </c>
      <c r="J1065" s="3">
        <v>43464.089479166665</v>
      </c>
      <c r="K1065" cm="1">
        <f t="array" ref="K1065">sentimentCalc(C1065)</f>
        <v>6</v>
      </c>
      <c r="L1065" t="str" cm="1">
        <f t="array" ref="L1065">sentimentCategory(K1065)</f>
        <v>Positive</v>
      </c>
    </row>
    <row r="1066" spans="1:12" x14ac:dyDescent="0.25">
      <c r="A1066" t="s">
        <v>4091</v>
      </c>
      <c r="B1066" t="s">
        <v>4356</v>
      </c>
      <c r="C1066" t="str" cm="1">
        <f t="array" ref="C1066">CleanText(B1066)</f>
        <v>flattt feeeeeet</v>
      </c>
      <c r="D1066">
        <v>0</v>
      </c>
      <c r="E1066">
        <v>0</v>
      </c>
      <c r="F1066" t="s">
        <v>10</v>
      </c>
      <c r="G1066" t="str" cm="1">
        <f t="array" ref="G1066">FindCountryName(F1066)</f>
        <v>None</v>
      </c>
      <c r="H1066" s="3">
        <v>45140.711365740739</v>
      </c>
      <c r="I1066" s="3">
        <v>45140.711365740739</v>
      </c>
      <c r="J1066" s="3">
        <v>43782.729618055557</v>
      </c>
      <c r="K1066" cm="1">
        <f t="array" ref="K1066">sentimentCalc(C1066)</f>
        <v>0</v>
      </c>
      <c r="L1066" t="str" cm="1">
        <f t="array" ref="L1066">sentimentCategory(K1066)</f>
        <v>Neutral</v>
      </c>
    </row>
    <row r="1067" spans="1:12" x14ac:dyDescent="0.25">
      <c r="A1067" t="s">
        <v>360</v>
      </c>
      <c r="B1067" t="s">
        <v>4438</v>
      </c>
      <c r="C1067" t="str" cm="1">
        <f t="array" ref="C1067">CleanText(B1067)</f>
        <v>foot fetish mfs had to replay the beginning most replayed</v>
      </c>
      <c r="D1067">
        <v>0</v>
      </c>
      <c r="E1067">
        <v>0</v>
      </c>
      <c r="F1067" t="s">
        <v>10</v>
      </c>
      <c r="G1067" t="str" cm="1">
        <f t="array" ref="G1067">FindCountryName(F1067)</f>
        <v>None</v>
      </c>
      <c r="H1067" s="3">
        <v>45140.27957175926</v>
      </c>
      <c r="I1067" s="3">
        <v>45140.27957175926</v>
      </c>
      <c r="J1067" s="3">
        <v>43299.171412037038</v>
      </c>
      <c r="K1067" cm="1">
        <f t="array" ref="K1067">sentimentCalc(C1067)</f>
        <v>0</v>
      </c>
      <c r="L1067" t="str" cm="1">
        <f t="array" ref="L1067">sentimentCategory(K1067)</f>
        <v>Neutral</v>
      </c>
    </row>
    <row r="1068" spans="1:12" x14ac:dyDescent="0.25">
      <c r="A1068" t="s">
        <v>410</v>
      </c>
      <c r="B1068" t="s">
        <v>1830</v>
      </c>
      <c r="C1068" t="str" cm="1">
        <f t="array" ref="C1068">CleanText(B1068)</f>
        <v>for about three years i havent been able to watch a hollywood production filmed after  until the end this trailer just convinced me not to try anymore</v>
      </c>
      <c r="D1068">
        <v>1</v>
      </c>
      <c r="E1068">
        <v>2</v>
      </c>
      <c r="F1068" t="s">
        <v>10</v>
      </c>
      <c r="G1068" t="str" cm="1">
        <f t="array" ref="G1068">FindCountryName(F1068)</f>
        <v>None</v>
      </c>
      <c r="H1068" s="3">
        <v>45192.181550925925</v>
      </c>
      <c r="I1068" s="3">
        <v>45192.181539351855</v>
      </c>
      <c r="J1068" s="3">
        <v>44507.322326388887</v>
      </c>
      <c r="K1068" cm="1">
        <f t="array" ref="K1068">sentimentCalc(C1068)</f>
        <v>1</v>
      </c>
      <c r="L1068" t="str" cm="1">
        <f t="array" ref="L1068">sentimentCategory(K1068)</f>
        <v>Positive</v>
      </c>
    </row>
    <row r="1069" spans="1:12" x14ac:dyDescent="0.25">
      <c r="A1069" t="s">
        <v>188</v>
      </c>
      <c r="B1069" t="s">
        <v>2951</v>
      </c>
      <c r="C1069" t="str" cm="1">
        <f t="array" ref="C1069">CleanText(B1069)</f>
        <v>for girlsif you dont know how to be a girl this movie is for you</v>
      </c>
      <c r="D1069">
        <v>1</v>
      </c>
      <c r="E1069">
        <v>4</v>
      </c>
      <c r="F1069" t="s">
        <v>10</v>
      </c>
      <c r="G1069" t="str" cm="1">
        <f t="array" ref="G1069">FindCountryName(F1069)</f>
        <v>None</v>
      </c>
      <c r="H1069" s="3">
        <v>45155.512928240743</v>
      </c>
      <c r="I1069" s="3">
        <v>45155.512928240743</v>
      </c>
      <c r="J1069" s="3">
        <v>42880.072812500002</v>
      </c>
      <c r="K1069" cm="1">
        <f t="array" ref="K1069">sentimentCalc(C1069)</f>
        <v>0</v>
      </c>
      <c r="L1069" t="str" cm="1">
        <f t="array" ref="L1069">sentimentCategory(K1069)</f>
        <v>Neutral</v>
      </c>
    </row>
    <row r="1070" spans="1:12" x14ac:dyDescent="0.25">
      <c r="A1070" t="s">
        <v>225</v>
      </c>
      <c r="B1070" t="s">
        <v>4397</v>
      </c>
      <c r="C1070" t="str" cm="1">
        <f t="array" ref="C1070">CleanText(B1070)</f>
        <v>for godsaje</v>
      </c>
      <c r="D1070">
        <v>0</v>
      </c>
      <c r="E1070">
        <v>0</v>
      </c>
      <c r="F1070" t="s">
        <v>10</v>
      </c>
      <c r="G1070" t="str" cm="1">
        <f t="array" ref="G1070">FindCountryName(F1070)</f>
        <v>None</v>
      </c>
      <c r="H1070" s="3">
        <v>45140.459351851852</v>
      </c>
      <c r="I1070" s="3">
        <v>45140.459351851852</v>
      </c>
      <c r="J1070" s="3">
        <v>44501.857303240744</v>
      </c>
      <c r="K1070" cm="1">
        <f t="array" ref="K1070">sentimentCalc(C1070)</f>
        <v>0</v>
      </c>
      <c r="L1070" t="str" cm="1">
        <f t="array" ref="L1070">sentimentCategory(K1070)</f>
        <v>Neutral</v>
      </c>
    </row>
    <row r="1071" spans="1:12" x14ac:dyDescent="0.25">
      <c r="A1071" t="s">
        <v>211</v>
      </c>
      <c r="B1071" t="s">
        <v>4367</v>
      </c>
      <c r="C1071" t="str" cm="1">
        <f t="array" ref="C1071">CleanText(B1071)</f>
        <v>for kids its really ok to watch but for adultscome on its rubbish and not real and why some people compare this garbage with oppenheimer</v>
      </c>
      <c r="D1071">
        <v>2</v>
      </c>
      <c r="E1071">
        <v>1</v>
      </c>
      <c r="F1071" t="s">
        <v>10</v>
      </c>
      <c r="G1071" t="str" cm="1">
        <f t="array" ref="G1071">FindCountryName(F1071)</f>
        <v>None</v>
      </c>
      <c r="H1071" s="3">
        <v>45140.635150462964</v>
      </c>
      <c r="I1071" s="3">
        <v>45140.635150462964</v>
      </c>
      <c r="J1071" s="3">
        <v>43005.932881944442</v>
      </c>
      <c r="K1071" cm="1">
        <f t="array" ref="K1071">sentimentCalc(C1071)</f>
        <v>0</v>
      </c>
      <c r="L1071" t="str" cm="1">
        <f t="array" ref="L1071">sentimentCategory(K1071)</f>
        <v>Neutral</v>
      </c>
    </row>
    <row r="1072" spans="1:12" x14ac:dyDescent="0.25">
      <c r="A1072" t="s">
        <v>3802</v>
      </c>
      <c r="B1072" t="s">
        <v>3803</v>
      </c>
      <c r="C1072" t="str" cm="1">
        <f t="array" ref="C1072">CleanText(B1072)</f>
        <v>for more than  years after the war the airspace over japan has been dominated by the us militarycurrently japan is being invaded and occupied by the us military and remains a colonythe united states has continued to condemn japan for its past colonial rulewhat the united states has been doing to japan for over  years is treating as a hidden colonysuper exploitedin response to this the united states seems to think that it is okay to colonize only itselfthe us ambassador created a bad law in japan its called the lgbt lawin the past unlike the united states japan which had been kind to lgbt people and did not commit murder forcibly enacted the lgbt law as ordered by the us ambassadorhe hates the united states which infringes on japans sovereigntyverbenheimer it is uncomfortable to associate with a american</v>
      </c>
      <c r="D1072">
        <v>1</v>
      </c>
      <c r="E1072">
        <v>0</v>
      </c>
      <c r="F1072" t="s">
        <v>10</v>
      </c>
      <c r="G1072" t="str" cm="1">
        <f t="array" ref="G1072">FindCountryName(F1072)</f>
        <v>None</v>
      </c>
      <c r="H1072" s="3">
        <v>45145.383206018516</v>
      </c>
      <c r="I1072" s="3">
        <v>45145.383206018516</v>
      </c>
      <c r="J1072" s="3">
        <v>44866.336863425924</v>
      </c>
      <c r="K1072" cm="1">
        <f t="array" ref="K1072">sentimentCalc(C1072)</f>
        <v>-6</v>
      </c>
      <c r="L1072" t="str" cm="1">
        <f t="array" ref="L1072">sentimentCategory(K1072)</f>
        <v>Negative</v>
      </c>
    </row>
    <row r="1073" spans="1:12" x14ac:dyDescent="0.25">
      <c r="A1073" t="s">
        <v>203</v>
      </c>
      <c r="B1073" t="s">
        <v>4037</v>
      </c>
      <c r="C1073" t="str" cm="1">
        <f t="array" ref="C1073">CleanText(B1073)</f>
        <v>for some reason leftists are pushing for you to see a movie about a toy but theyre railing against you seeing a movie about human trafficking hmmn</v>
      </c>
      <c r="D1073">
        <v>1</v>
      </c>
      <c r="E1073">
        <v>7</v>
      </c>
      <c r="F1073" t="s">
        <v>10</v>
      </c>
      <c r="G1073" t="str" cm="1">
        <f t="array" ref="G1073">FindCountryName(F1073)</f>
        <v>None</v>
      </c>
      <c r="H1073" s="3">
        <v>45143.480324074073</v>
      </c>
      <c r="I1073" s="3">
        <v>45143.480324074073</v>
      </c>
      <c r="J1073" s="3">
        <v>43126.050995370373</v>
      </c>
      <c r="K1073" cm="1">
        <f t="array" ref="K1073">sentimentCalc(C1073)</f>
        <v>0</v>
      </c>
      <c r="L1073" t="str" cm="1">
        <f t="array" ref="L1073">sentimentCategory(K1073)</f>
        <v>Neutral</v>
      </c>
    </row>
    <row r="1074" spans="1:12" x14ac:dyDescent="0.25">
      <c r="A1074" t="s">
        <v>34</v>
      </c>
      <c r="B1074" t="s">
        <v>3695</v>
      </c>
      <c r="C1074" t="str" cm="1">
        <f t="array" ref="C1074">CleanText(B1074)</f>
        <v>for this year barbie is the best movie no comparison</v>
      </c>
      <c r="D1074">
        <v>3</v>
      </c>
      <c r="E1074">
        <v>1</v>
      </c>
      <c r="F1074" t="s">
        <v>10</v>
      </c>
      <c r="G1074" t="str" cm="1">
        <f t="array" ref="G1074">FindCountryName(F1074)</f>
        <v>None</v>
      </c>
      <c r="H1074" s="3">
        <v>45146.337256944447</v>
      </c>
      <c r="I1074" s="3">
        <v>45146.337256944447</v>
      </c>
      <c r="J1074" s="3">
        <v>41674.502280092594</v>
      </c>
      <c r="K1074" cm="1">
        <f t="array" ref="K1074">sentimentCalc(C1074)</f>
        <v>2</v>
      </c>
      <c r="L1074" t="str" cm="1">
        <f t="array" ref="L1074">sentimentCategory(K1074)</f>
        <v>Positive</v>
      </c>
    </row>
    <row r="1075" spans="1:12" x14ac:dyDescent="0.25">
      <c r="A1075" t="s">
        <v>624</v>
      </c>
      <c r="B1075" t="s">
        <v>3696</v>
      </c>
      <c r="C1075" t="str" cm="1">
        <f t="array" ref="C1075">CleanText(B1075)</f>
        <v>for this year oppenheimer is the best movie no comparison</v>
      </c>
      <c r="D1075">
        <v>1</v>
      </c>
      <c r="E1075">
        <v>0</v>
      </c>
      <c r="F1075" t="s">
        <v>10</v>
      </c>
      <c r="G1075" t="str" cm="1">
        <f t="array" ref="G1075">FindCountryName(F1075)</f>
        <v>None</v>
      </c>
      <c r="H1075" s="3">
        <v>45146.33152777778</v>
      </c>
      <c r="I1075" s="3">
        <v>45146.33152777778</v>
      </c>
      <c r="J1075" s="3">
        <v>42343.342118055552</v>
      </c>
      <c r="K1075" cm="1">
        <f t="array" ref="K1075">sentimentCalc(C1075)</f>
        <v>2</v>
      </c>
      <c r="L1075" t="str" cm="1">
        <f t="array" ref="L1075">sentimentCategory(K1075)</f>
        <v>Positive</v>
      </c>
    </row>
    <row r="1076" spans="1:12" x14ac:dyDescent="0.25">
      <c r="A1076" t="s">
        <v>56</v>
      </c>
      <c r="B1076" t="s">
        <v>1002</v>
      </c>
      <c r="C1076" t="str" cm="1">
        <f t="array" ref="C1076">CleanText(B1076)</f>
        <v>fragman filmi gayet iyi zetliyor</v>
      </c>
      <c r="D1076">
        <v>0</v>
      </c>
      <c r="E1076">
        <v>0</v>
      </c>
      <c r="F1076" t="s">
        <v>139</v>
      </c>
      <c r="G1076" t="str" cm="1">
        <f t="array" ref="G1076">FindCountryName(F1076)</f>
        <v>Turkey</v>
      </c>
      <c r="H1076" s="3">
        <v>45299.252222222225</v>
      </c>
      <c r="I1076" s="3">
        <v>45299.252222222225</v>
      </c>
      <c r="J1076" s="3">
        <v>42348.553935185184</v>
      </c>
      <c r="K1076" cm="1">
        <f t="array" ref="K1076">sentimentCalc(C1076)</f>
        <v>0</v>
      </c>
      <c r="L1076" t="str" cm="1">
        <f t="array" ref="L1076">sentimentCategory(K1076)</f>
        <v>Neutral</v>
      </c>
    </row>
    <row r="1077" spans="1:12" x14ac:dyDescent="0.25">
      <c r="A1077" t="s">
        <v>1774</v>
      </c>
      <c r="B1077" t="s">
        <v>2884</v>
      </c>
      <c r="C1077" t="str" cm="1">
        <f t="array" ref="C1077">CleanText(B1077)</f>
        <v>fraud of the year goes toooo</v>
      </c>
      <c r="D1077">
        <v>1</v>
      </c>
      <c r="E1077">
        <v>0</v>
      </c>
      <c r="F1077" t="s">
        <v>10</v>
      </c>
      <c r="G1077" t="str" cm="1">
        <f t="array" ref="G1077">FindCountryName(F1077)</f>
        <v>None</v>
      </c>
      <c r="H1077" s="3">
        <v>45156.454305555555</v>
      </c>
      <c r="I1077" s="3">
        <v>45156.454293981478</v>
      </c>
      <c r="J1077" s="3">
        <v>45045.133587962962</v>
      </c>
      <c r="K1077" cm="1">
        <f t="array" ref="K1077">sentimentCalc(C1077)</f>
        <v>-4</v>
      </c>
      <c r="L1077" t="str" cm="1">
        <f t="array" ref="L1077">sentimentCategory(K1077)</f>
        <v>Negative</v>
      </c>
    </row>
    <row r="1078" spans="1:12" x14ac:dyDescent="0.25">
      <c r="A1078" t="s">
        <v>201</v>
      </c>
      <c r="B1078" t="s">
        <v>1669</v>
      </c>
      <c r="C1078" t="str" cm="1">
        <f t="array" ref="C1078">CleanText(B1078)</f>
        <v>free movies barbie</v>
      </c>
      <c r="D1078">
        <v>0</v>
      </c>
      <c r="E1078">
        <v>0</v>
      </c>
      <c r="F1078" t="s">
        <v>10</v>
      </c>
      <c r="G1078" t="str" cm="1">
        <f t="array" ref="G1078">FindCountryName(F1078)</f>
        <v>None</v>
      </c>
      <c r="H1078" s="3">
        <v>45203.903090277781</v>
      </c>
      <c r="I1078" s="3">
        <v>45203.903090277781</v>
      </c>
      <c r="J1078" s="3">
        <v>45203.903067129628</v>
      </c>
      <c r="K1078" cm="1">
        <f t="array" ref="K1078">sentimentCalc(C1078)</f>
        <v>1</v>
      </c>
      <c r="L1078" t="str" cm="1">
        <f t="array" ref="L1078">sentimentCategory(K1078)</f>
        <v>Positive</v>
      </c>
    </row>
    <row r="1079" spans="1:12" x14ac:dyDescent="0.25">
      <c r="A1079" t="s">
        <v>447</v>
      </c>
      <c r="B1079" t="s">
        <v>3688</v>
      </c>
      <c r="C1079" t="str" cm="1">
        <f t="array" ref="C1079">CleanText(B1079)</f>
        <v>from now on barbie will never be the samefor mefor you</v>
      </c>
      <c r="D1079">
        <v>1</v>
      </c>
      <c r="E1079">
        <v>0</v>
      </c>
      <c r="F1079" t="s">
        <v>10</v>
      </c>
      <c r="G1079" t="str" cm="1">
        <f t="array" ref="G1079">FindCountryName(F1079)</f>
        <v>None</v>
      </c>
      <c r="H1079" s="3">
        <v>45146.403009259258</v>
      </c>
      <c r="I1079" s="3">
        <v>45146.403009259258</v>
      </c>
      <c r="J1079" s="3">
        <v>41377.698252314818</v>
      </c>
      <c r="K1079" cm="1">
        <f t="array" ref="K1079">sentimentCalc(C1079)</f>
        <v>0</v>
      </c>
      <c r="L1079" t="str" cm="1">
        <f t="array" ref="L1079">sentimentCategory(K1079)</f>
        <v>Neutral</v>
      </c>
    </row>
    <row r="1080" spans="1:12" x14ac:dyDescent="0.25">
      <c r="A1080" t="s">
        <v>28</v>
      </c>
      <c r="B1080" t="s">
        <v>29</v>
      </c>
      <c r="C1080" t="str" cm="1">
        <f t="array" ref="C1080">CleanText(B1080)</f>
        <v>from selling credit default swaps to being ken incredible</v>
      </c>
      <c r="D1080">
        <v>0</v>
      </c>
      <c r="E1080">
        <v>0</v>
      </c>
      <c r="F1080" t="s">
        <v>10</v>
      </c>
      <c r="G1080" t="str" cm="1">
        <f t="array" ref="G1080">FindCountryName(F1080)</f>
        <v>None</v>
      </c>
      <c r="H1080" s="3">
        <v>45347.945451388892</v>
      </c>
      <c r="I1080" s="3">
        <v>45347.945451388892</v>
      </c>
      <c r="J1080" s="3">
        <v>41141.741296296299</v>
      </c>
      <c r="K1080" cm="1">
        <f t="array" ref="K1080">sentimentCalc(C1080)</f>
        <v>0</v>
      </c>
      <c r="L1080" t="str" cm="1">
        <f t="array" ref="L1080">sentimentCategory(K1080)</f>
        <v>Neutral</v>
      </c>
    </row>
    <row r="1081" spans="1:12" x14ac:dyDescent="0.25">
      <c r="A1081" t="s">
        <v>866</v>
      </c>
      <c r="B1081" t="s">
        <v>3704</v>
      </c>
      <c r="C1081" t="str" cm="1">
        <f t="array" ref="C1081">CleanText(B1081)</f>
        <v>from this short trailer i can say this movie in what mess we are most of us for sure will bring a moment of joy from the what is gonna have to happen in the upcoming monthsyears fun movie worth watching</v>
      </c>
      <c r="D1081">
        <v>14</v>
      </c>
      <c r="E1081">
        <v>2</v>
      </c>
      <c r="F1081" t="s">
        <v>10</v>
      </c>
      <c r="G1081" t="str" cm="1">
        <f t="array" ref="G1081">FindCountryName(F1081)</f>
        <v>None</v>
      </c>
      <c r="H1081" s="3">
        <v>45146.280624999999</v>
      </c>
      <c r="I1081" s="3">
        <v>45146.280624999999</v>
      </c>
      <c r="J1081" s="3">
        <v>42395.863067129627</v>
      </c>
      <c r="K1081" cm="1">
        <f t="array" ref="K1081">sentimentCalc(C1081)</f>
        <v>7</v>
      </c>
      <c r="L1081" t="str" cm="1">
        <f t="array" ref="L1081">sentimentCategory(K1081)</f>
        <v>Positive</v>
      </c>
    </row>
    <row r="1082" spans="1:12" x14ac:dyDescent="0.25">
      <c r="A1082" t="s">
        <v>58</v>
      </c>
      <c r="B1082" t="s">
        <v>253</v>
      </c>
      <c r="C1082" t="str" cm="1">
        <f t="array" ref="C1082">CleanText(B1082)</f>
        <v>full movies please</v>
      </c>
      <c r="D1082">
        <v>1</v>
      </c>
      <c r="E1082">
        <v>0</v>
      </c>
      <c r="F1082" t="s">
        <v>10</v>
      </c>
      <c r="G1082" t="str" cm="1">
        <f t="array" ref="G1082">FindCountryName(F1082)</f>
        <v>None</v>
      </c>
      <c r="H1082" s="3">
        <v>45325.438136574077</v>
      </c>
      <c r="I1082" s="3">
        <v>45325.438136574077</v>
      </c>
      <c r="J1082" s="3">
        <v>45325.438078703701</v>
      </c>
      <c r="K1082" cm="1">
        <f t="array" ref="K1082">sentimentCalc(C1082)</f>
        <v>1</v>
      </c>
      <c r="L1082" t="str" cm="1">
        <f t="array" ref="L1082">sentimentCategory(K1082)</f>
        <v>Positive</v>
      </c>
    </row>
    <row r="1083" spans="1:12" x14ac:dyDescent="0.25">
      <c r="A1083" t="s">
        <v>25</v>
      </c>
      <c r="B1083" t="s">
        <v>3380</v>
      </c>
      <c r="C1083" t="str" cm="1">
        <f t="array" ref="C1083">CleanText(B1083)</f>
        <v>funny how a movie full with misandry its not cancelled and its very supported</v>
      </c>
      <c r="D1083">
        <v>3</v>
      </c>
      <c r="E1083">
        <v>0</v>
      </c>
      <c r="F1083" t="s">
        <v>10</v>
      </c>
      <c r="G1083" t="str" cm="1">
        <f t="array" ref="G1083">FindCountryName(F1083)</f>
        <v>None</v>
      </c>
      <c r="H1083" s="3">
        <v>45149.419374999998</v>
      </c>
      <c r="I1083" s="3">
        <v>45149.419374999998</v>
      </c>
      <c r="J1083" s="3">
        <v>42378.748576388891</v>
      </c>
      <c r="K1083" cm="1">
        <f t="array" ref="K1083">sentimentCalc(C1083)</f>
        <v>5</v>
      </c>
      <c r="L1083" t="str" cm="1">
        <f t="array" ref="L1083">sentimentCategory(K1083)</f>
        <v>Positive</v>
      </c>
    </row>
    <row r="1084" spans="1:12" x14ac:dyDescent="0.25">
      <c r="A1084" t="s">
        <v>124</v>
      </c>
      <c r="B1084" t="s">
        <v>125</v>
      </c>
      <c r="C1084" t="str" cm="1">
        <f t="array" ref="C1084">CleanText(B1084)</f>
        <v>gsel film</v>
      </c>
      <c r="D1084">
        <v>0</v>
      </c>
      <c r="E1084">
        <v>0</v>
      </c>
      <c r="F1084" t="s">
        <v>10</v>
      </c>
      <c r="G1084" t="str" cm="1">
        <f t="array" ref="G1084">FindCountryName(F1084)</f>
        <v>None</v>
      </c>
      <c r="H1084" s="3">
        <v>45337.464849537035</v>
      </c>
      <c r="I1084" s="3">
        <v>45337.464849537035</v>
      </c>
      <c r="J1084" s="3">
        <v>41493.526203703703</v>
      </c>
      <c r="K1084" cm="1">
        <f t="array" ref="K1084">sentimentCalc(C1084)</f>
        <v>0</v>
      </c>
      <c r="L1084" t="str" cm="1">
        <f t="array" ref="L1084">sentimentCategory(K1084)</f>
        <v>Neutral</v>
      </c>
    </row>
    <row r="1085" spans="1:12" x14ac:dyDescent="0.25">
      <c r="A1085" t="s">
        <v>130</v>
      </c>
      <c r="B1085" t="s">
        <v>131</v>
      </c>
      <c r="C1085" t="str" cm="1">
        <f t="array" ref="C1085">CleanText(B1085)</f>
        <v>gzel</v>
      </c>
      <c r="D1085">
        <v>0</v>
      </c>
      <c r="E1085">
        <v>0</v>
      </c>
      <c r="F1085" t="s">
        <v>10</v>
      </c>
      <c r="G1085" t="str" cm="1">
        <f t="array" ref="G1085">FindCountryName(F1085)</f>
        <v>None</v>
      </c>
      <c r="H1085" s="3">
        <v>45337.462870370371</v>
      </c>
      <c r="I1085" s="3">
        <v>45337.462870370371</v>
      </c>
      <c r="J1085" s="3">
        <v>45317.599976851852</v>
      </c>
      <c r="K1085" cm="1">
        <f t="array" ref="K1085">sentimentCalc(C1085)</f>
        <v>0</v>
      </c>
      <c r="L1085" t="str" cm="1">
        <f t="array" ref="L1085">sentimentCategory(K1085)</f>
        <v>Neutral</v>
      </c>
    </row>
    <row r="1086" spans="1:12" x14ac:dyDescent="0.25">
      <c r="A1086" t="s">
        <v>534</v>
      </c>
      <c r="B1086" t="s">
        <v>535</v>
      </c>
      <c r="C1086" t="str" cm="1">
        <f t="array" ref="C1086">CleanText(B1086)</f>
        <v>gzel bir aile filmi tavsiye ederim</v>
      </c>
      <c r="D1086">
        <v>0</v>
      </c>
      <c r="E1086">
        <v>0</v>
      </c>
      <c r="F1086" t="s">
        <v>10</v>
      </c>
      <c r="G1086" t="str" cm="1">
        <f t="array" ref="G1086">FindCountryName(F1086)</f>
        <v>None</v>
      </c>
      <c r="H1086" s="3">
        <v>45317.281678240739</v>
      </c>
      <c r="I1086" s="3">
        <v>45317.281678240739</v>
      </c>
      <c r="J1086" s="3">
        <v>42360.395520833335</v>
      </c>
      <c r="K1086" cm="1">
        <f t="array" ref="K1086">sentimentCalc(C1086)</f>
        <v>0</v>
      </c>
      <c r="L1086" t="str" cm="1">
        <f t="array" ref="L1086">sentimentCategory(K1086)</f>
        <v>Neutral</v>
      </c>
    </row>
    <row r="1087" spans="1:12" x14ac:dyDescent="0.25">
      <c r="A1087" t="s">
        <v>575</v>
      </c>
      <c r="B1087" t="s">
        <v>576</v>
      </c>
      <c r="C1087" t="str" cm="1">
        <f t="array" ref="C1087">CleanText(B1087)</f>
        <v>gzel bir filim izlemeye deer</v>
      </c>
      <c r="D1087">
        <v>0</v>
      </c>
      <c r="E1087">
        <v>0</v>
      </c>
      <c r="F1087" t="s">
        <v>10</v>
      </c>
      <c r="G1087" t="str" cm="1">
        <f t="array" ref="G1087">FindCountryName(F1087)</f>
        <v>None</v>
      </c>
      <c r="H1087" s="3">
        <v>45317.272812499999</v>
      </c>
      <c r="I1087" s="3">
        <v>45317.272812499999</v>
      </c>
      <c r="J1087" s="3">
        <v>45301.657268518517</v>
      </c>
      <c r="K1087" cm="1">
        <f t="array" ref="K1087">sentimentCalc(C1087)</f>
        <v>0</v>
      </c>
      <c r="L1087" t="str" cm="1">
        <f t="array" ref="L1087">sentimentCategory(K1087)</f>
        <v>Neutral</v>
      </c>
    </row>
    <row r="1088" spans="1:12" x14ac:dyDescent="0.25">
      <c r="A1088" t="s">
        <v>724</v>
      </c>
      <c r="B1088" t="s">
        <v>918</v>
      </c>
      <c r="C1088" t="str" cm="1">
        <f t="array" ref="C1088">CleanText(B1088)</f>
        <v>gzel bir film</v>
      </c>
      <c r="D1088">
        <v>0</v>
      </c>
      <c r="E1088">
        <v>0</v>
      </c>
      <c r="F1088" t="s">
        <v>10</v>
      </c>
      <c r="G1088" t="str" cm="1">
        <f t="array" ref="G1088">FindCountryName(F1088)</f>
        <v>None</v>
      </c>
      <c r="H1088" s="3">
        <v>45299.271493055552</v>
      </c>
      <c r="I1088" s="3">
        <v>45299.271493055552</v>
      </c>
      <c r="J1088" s="3">
        <v>42633.771736111114</v>
      </c>
      <c r="K1088" cm="1">
        <f t="array" ref="K1088">sentimentCalc(C1088)</f>
        <v>0</v>
      </c>
      <c r="L1088" t="str" cm="1">
        <f t="array" ref="L1088">sentimentCategory(K1088)</f>
        <v>Neutral</v>
      </c>
    </row>
    <row r="1089" spans="1:12" x14ac:dyDescent="0.25">
      <c r="A1089" t="s">
        <v>20</v>
      </c>
      <c r="B1089" t="s">
        <v>920</v>
      </c>
      <c r="C1089" t="str" cm="1">
        <f t="array" ref="C1089">CleanText(B1089)</f>
        <v>gzel bir film herkese izlemesini tavsiye ederim</v>
      </c>
      <c r="D1089">
        <v>0</v>
      </c>
      <c r="E1089">
        <v>0</v>
      </c>
      <c r="F1089" t="s">
        <v>10</v>
      </c>
      <c r="G1089" t="str" cm="1">
        <f t="array" ref="G1089">FindCountryName(F1089)</f>
        <v>None</v>
      </c>
      <c r="H1089" s="3">
        <v>45299.270613425928</v>
      </c>
      <c r="I1089" s="3">
        <v>45299.270613425928</v>
      </c>
      <c r="J1089" s="3">
        <v>44307.435624999998</v>
      </c>
      <c r="K1089" cm="1">
        <f t="array" ref="K1089">sentimentCalc(C1089)</f>
        <v>0</v>
      </c>
      <c r="L1089" t="str" cm="1">
        <f t="array" ref="L1089">sentimentCategory(K1089)</f>
        <v>Neutral</v>
      </c>
    </row>
    <row r="1090" spans="1:12" x14ac:dyDescent="0.25">
      <c r="A1090" t="s">
        <v>503</v>
      </c>
      <c r="B1090" t="s">
        <v>948</v>
      </c>
      <c r="C1090" t="str" cm="1">
        <f t="array" ref="C1090">CleanText(B1090)</f>
        <v>gzel bir film severek izledik</v>
      </c>
      <c r="D1090">
        <v>0</v>
      </c>
      <c r="E1090">
        <v>0</v>
      </c>
      <c r="F1090" t="s">
        <v>10</v>
      </c>
      <c r="G1090" t="str" cm="1">
        <f t="array" ref="G1090">FindCountryName(F1090)</f>
        <v>None</v>
      </c>
      <c r="H1090" s="3">
        <v>45299.258645833332</v>
      </c>
      <c r="I1090" s="3">
        <v>45299.258645833332</v>
      </c>
      <c r="J1090" s="3">
        <v>45299.256307870368</v>
      </c>
      <c r="K1090" cm="1">
        <f t="array" ref="K1090">sentimentCalc(C1090)</f>
        <v>0</v>
      </c>
      <c r="L1090" t="str" cm="1">
        <f t="array" ref="L1090">sentimentCategory(K1090)</f>
        <v>Neutral</v>
      </c>
    </row>
    <row r="1091" spans="1:12" x14ac:dyDescent="0.25">
      <c r="A1091" t="s">
        <v>503</v>
      </c>
      <c r="B1091" t="s">
        <v>958</v>
      </c>
      <c r="C1091" t="str" cm="1">
        <f t="array" ref="C1091">CleanText(B1091)</f>
        <v>gzel bir film severek izledim</v>
      </c>
      <c r="D1091">
        <v>0</v>
      </c>
      <c r="E1091">
        <v>0</v>
      </c>
      <c r="F1091" t="s">
        <v>10</v>
      </c>
      <c r="G1091" t="str" cm="1">
        <f t="array" ref="G1091">FindCountryName(F1091)</f>
        <v>None</v>
      </c>
      <c r="H1091" s="3">
        <v>45299.256319444445</v>
      </c>
      <c r="I1091" s="3">
        <v>45299.256319444445</v>
      </c>
      <c r="J1091" s="3">
        <v>45299.256307870368</v>
      </c>
      <c r="K1091" cm="1">
        <f t="array" ref="K1091">sentimentCalc(C1091)</f>
        <v>0</v>
      </c>
      <c r="L1091" t="str" cm="1">
        <f t="array" ref="L1091">sentimentCategory(K1091)</f>
        <v>Neutral</v>
      </c>
    </row>
    <row r="1092" spans="1:12" x14ac:dyDescent="0.25">
      <c r="A1092" t="s">
        <v>105</v>
      </c>
      <c r="B1092" t="s">
        <v>106</v>
      </c>
      <c r="C1092" t="str" cm="1">
        <f t="array" ref="C1092">CleanText(B1092)</f>
        <v>gzel bir film herkese tavsiye ederim</v>
      </c>
      <c r="D1092">
        <v>0</v>
      </c>
      <c r="E1092">
        <v>0</v>
      </c>
      <c r="F1092" t="s">
        <v>10</v>
      </c>
      <c r="G1092" t="str" cm="1">
        <f t="array" ref="G1092">FindCountryName(F1092)</f>
        <v>None</v>
      </c>
      <c r="H1092" s="3">
        <v>45337.527627314812</v>
      </c>
      <c r="I1092" s="3">
        <v>45337.527627314812</v>
      </c>
      <c r="J1092" s="3">
        <v>45337.269629629627</v>
      </c>
      <c r="K1092" cm="1">
        <f t="array" ref="K1092">sentimentCalc(C1092)</f>
        <v>0</v>
      </c>
      <c r="L1092" t="str" cm="1">
        <f t="array" ref="L1092">sentimentCategory(K1092)</f>
        <v>Neutral</v>
      </c>
    </row>
    <row r="1093" spans="1:12" x14ac:dyDescent="0.25">
      <c r="A1093" t="s">
        <v>141</v>
      </c>
      <c r="B1093" t="s">
        <v>916</v>
      </c>
      <c r="C1093" t="str" cm="1">
        <f t="array" ref="C1093">CleanText(B1093)</f>
        <v>gzel bir hikaye renkli animasyonlar ve elenceli mzikleriyle izleyicileri bylyor</v>
      </c>
      <c r="D1093">
        <v>0</v>
      </c>
      <c r="E1093">
        <v>0</v>
      </c>
      <c r="F1093" t="s">
        <v>139</v>
      </c>
      <c r="G1093" t="str" cm="1">
        <f t="array" ref="G1093">FindCountryName(F1093)</f>
        <v>Turkey</v>
      </c>
      <c r="H1093" s="3">
        <v>45299.274027777778</v>
      </c>
      <c r="I1093" s="3">
        <v>45299.274027777778</v>
      </c>
      <c r="J1093" s="3">
        <v>44647.295393518521</v>
      </c>
      <c r="K1093" cm="1">
        <f t="array" ref="K1093">sentimentCalc(C1093)</f>
        <v>0</v>
      </c>
      <c r="L1093" t="str" cm="1">
        <f t="array" ref="L1093">sentimentCategory(K1093)</f>
        <v>Neutral</v>
      </c>
    </row>
    <row r="1094" spans="1:12" x14ac:dyDescent="0.25">
      <c r="A1094" t="s">
        <v>100</v>
      </c>
      <c r="B1094" t="s">
        <v>101</v>
      </c>
      <c r="C1094" t="str" cm="1">
        <f t="array" ref="C1094">CleanText(B1094)</f>
        <v>gzel eglenceli bir film izlemenizi tafsiye ederim</v>
      </c>
      <c r="D1094">
        <v>0</v>
      </c>
      <c r="E1094">
        <v>0</v>
      </c>
      <c r="F1094" t="s">
        <v>10</v>
      </c>
      <c r="G1094" t="str" cm="1">
        <f t="array" ref="G1094">FindCountryName(F1094)</f>
        <v>None</v>
      </c>
      <c r="H1094" s="3">
        <v>45337.580729166664</v>
      </c>
      <c r="I1094" s="3">
        <v>45337.580729166664</v>
      </c>
      <c r="J1094" s="3">
        <v>45028.128993055558</v>
      </c>
      <c r="K1094" cm="1">
        <f t="array" ref="K1094">sentimentCalc(C1094)</f>
        <v>0</v>
      </c>
      <c r="L1094" t="str" cm="1">
        <f t="array" ref="L1094">sentimentCategory(K1094)</f>
        <v>Neutral</v>
      </c>
    </row>
    <row r="1095" spans="1:12" x14ac:dyDescent="0.25">
      <c r="A1095" t="s">
        <v>292</v>
      </c>
      <c r="B1095" t="s">
        <v>293</v>
      </c>
      <c r="C1095" t="str" cm="1">
        <f t="array" ref="C1095">CleanText(B1095)</f>
        <v>gzel filim ok izledim</v>
      </c>
      <c r="D1095">
        <v>0</v>
      </c>
      <c r="E1095">
        <v>0</v>
      </c>
      <c r="F1095" t="s">
        <v>10</v>
      </c>
      <c r="G1095" t="str" cm="1">
        <f t="array" ref="G1095">FindCountryName(F1095)</f>
        <v>None</v>
      </c>
      <c r="H1095" s="3">
        <v>45322.418310185189</v>
      </c>
      <c r="I1095" s="3">
        <v>45322.418310185189</v>
      </c>
      <c r="J1095" s="3">
        <v>44187.636192129627</v>
      </c>
      <c r="K1095" cm="1">
        <f t="array" ref="K1095">sentimentCalc(C1095)</f>
        <v>0</v>
      </c>
      <c r="L1095" t="str" cm="1">
        <f t="array" ref="L1095">sentimentCategory(K1095)</f>
        <v>Neutral</v>
      </c>
    </row>
    <row r="1096" spans="1:12" x14ac:dyDescent="0.25">
      <c r="A1096" t="s">
        <v>655</v>
      </c>
      <c r="B1096" t="s">
        <v>656</v>
      </c>
      <c r="C1096" t="str" cm="1">
        <f t="array" ref="C1096">CleanText(B1096)</f>
        <v>gzel film</v>
      </c>
      <c r="D1096">
        <v>0</v>
      </c>
      <c r="E1096">
        <v>0</v>
      </c>
      <c r="F1096" t="s">
        <v>10</v>
      </c>
      <c r="G1096" t="str" cm="1">
        <f t="array" ref="G1096">FindCountryName(F1096)</f>
        <v>None</v>
      </c>
      <c r="H1096" s="3">
        <v>45314.277118055557</v>
      </c>
      <c r="I1096" s="3">
        <v>45314.277118055557</v>
      </c>
      <c r="J1096" s="3">
        <v>42788.162557870368</v>
      </c>
      <c r="K1096" cm="1">
        <f t="array" ref="K1096">sentimentCalc(C1096)</f>
        <v>0</v>
      </c>
      <c r="L1096" t="str" cm="1">
        <f t="array" ref="L1096">sentimentCategory(K1096)</f>
        <v>Neutral</v>
      </c>
    </row>
    <row r="1097" spans="1:12" x14ac:dyDescent="0.25">
      <c r="A1097" t="s">
        <v>54</v>
      </c>
      <c r="B1097" t="s">
        <v>974</v>
      </c>
      <c r="C1097" t="str" cm="1">
        <f t="array" ref="C1097">CleanText(B1097)</f>
        <v>gzel film oyuncular harika devam gelir bence</v>
      </c>
      <c r="D1097">
        <v>0</v>
      </c>
      <c r="E1097">
        <v>0</v>
      </c>
      <c r="F1097" t="s">
        <v>10</v>
      </c>
      <c r="G1097" t="str" cm="1">
        <f t="array" ref="G1097">FindCountryName(F1097)</f>
        <v>None</v>
      </c>
      <c r="H1097" s="3">
        <v>45299.253842592596</v>
      </c>
      <c r="I1097" s="3">
        <v>45299.253842592596</v>
      </c>
      <c r="J1097" s="3">
        <v>42248.369606481479</v>
      </c>
      <c r="K1097" cm="1">
        <f t="array" ref="K1097">sentimentCalc(C1097)</f>
        <v>0</v>
      </c>
      <c r="L1097" t="str" cm="1">
        <f t="array" ref="L1097">sentimentCategory(K1097)</f>
        <v>Neutral</v>
      </c>
    </row>
    <row r="1098" spans="1:12" x14ac:dyDescent="0.25">
      <c r="A1098" t="s">
        <v>559</v>
      </c>
      <c r="B1098" t="s">
        <v>560</v>
      </c>
      <c r="C1098" t="str" cm="1">
        <f t="array" ref="C1098">CleanText(B1098)</f>
        <v>gzel kz arkadal izlenebilecek dzeyde ho bir film olmu</v>
      </c>
      <c r="D1098">
        <v>0</v>
      </c>
      <c r="E1098">
        <v>0</v>
      </c>
      <c r="F1098" t="s">
        <v>10</v>
      </c>
      <c r="G1098" t="str" cm="1">
        <f t="array" ref="G1098">FindCountryName(F1098)</f>
        <v>None</v>
      </c>
      <c r="H1098" s="3">
        <v>45317.274131944447</v>
      </c>
      <c r="I1098" s="3">
        <v>45317.274131944447</v>
      </c>
      <c r="J1098" s="3">
        <v>42789.382407407407</v>
      </c>
      <c r="K1098" cm="1">
        <f t="array" ref="K1098">sentimentCalc(C1098)</f>
        <v>0</v>
      </c>
      <c r="L1098" t="str" cm="1">
        <f t="array" ref="L1098">sentimentCategory(K1098)</f>
        <v>Neutral</v>
      </c>
    </row>
    <row r="1099" spans="1:12" x14ac:dyDescent="0.25">
      <c r="A1099" t="s">
        <v>45</v>
      </c>
      <c r="B1099" t="s">
        <v>674</v>
      </c>
      <c r="C1099" t="str" cm="1">
        <f t="array" ref="C1099">CleanText(B1099)</f>
        <v>gzeldi</v>
      </c>
      <c r="D1099">
        <v>0</v>
      </c>
      <c r="E1099">
        <v>0</v>
      </c>
      <c r="F1099" t="s">
        <v>10</v>
      </c>
      <c r="G1099" t="str" cm="1">
        <f t="array" ref="G1099">FindCountryName(F1099)</f>
        <v>None</v>
      </c>
      <c r="H1099" s="3">
        <v>45314.272662037038</v>
      </c>
      <c r="I1099" s="3">
        <v>45314.272662037038</v>
      </c>
      <c r="J1099" s="3">
        <v>45314.254837962966</v>
      </c>
      <c r="K1099" cm="1">
        <f t="array" ref="K1099">sentimentCalc(C1099)</f>
        <v>0</v>
      </c>
      <c r="L1099" t="str" cm="1">
        <f t="array" ref="L1099">sentimentCategory(K1099)</f>
        <v>Neutral</v>
      </c>
    </row>
    <row r="1100" spans="1:12" x14ac:dyDescent="0.25">
      <c r="A1100" t="s">
        <v>66</v>
      </c>
      <c r="B1100" t="s">
        <v>1645</v>
      </c>
      <c r="C1100" t="str" cm="1">
        <f t="array" ref="C1100">CleanText(B1100)</f>
        <v>gaknaf l</v>
      </c>
      <c r="D1100">
        <v>0</v>
      </c>
      <c r="E1100">
        <v>0</v>
      </c>
      <c r="F1100" t="s">
        <v>10</v>
      </c>
      <c r="G1100" t="str" cm="1">
        <f t="array" ref="G1100">FindCountryName(F1100)</f>
        <v>None</v>
      </c>
      <c r="H1100" s="3">
        <v>45206.056446759256</v>
      </c>
      <c r="I1100" s="3">
        <v>45206.056446759256</v>
      </c>
      <c r="J1100" s="3">
        <v>44161.933958333335</v>
      </c>
      <c r="K1100" cm="1">
        <f t="array" ref="K1100">sentimentCalc(C1100)</f>
        <v>0</v>
      </c>
      <c r="L1100" t="str" cm="1">
        <f t="array" ref="L1100">sentimentCategory(K1100)</f>
        <v>Neutral</v>
      </c>
    </row>
    <row r="1101" spans="1:12" x14ac:dyDescent="0.25">
      <c r="A1101" t="s">
        <v>81</v>
      </c>
      <c r="B1101" t="s">
        <v>2901</v>
      </c>
      <c r="C1101" t="str" cm="1">
        <f t="array" ref="C1101">CleanText(B1101)</f>
        <v>gal gadot was the first choice coz she so pretty but margot slay the roleshe brings barbie into life</v>
      </c>
      <c r="D1101">
        <v>0</v>
      </c>
      <c r="E1101">
        <v>0</v>
      </c>
      <c r="F1101" t="s">
        <v>10</v>
      </c>
      <c r="G1101" t="str" cm="1">
        <f t="array" ref="G1101">FindCountryName(F1101)</f>
        <v>None</v>
      </c>
      <c r="H1101" s="3">
        <v>45156.198761574073</v>
      </c>
      <c r="I1101" s="3">
        <v>45156.198750000003</v>
      </c>
      <c r="J1101" s="3">
        <v>44037.93167824074</v>
      </c>
      <c r="K1101" cm="1">
        <f t="array" ref="K1101">sentimentCalc(C1101)</f>
        <v>1</v>
      </c>
      <c r="L1101" t="str" cm="1">
        <f t="array" ref="L1101">sentimentCategory(K1101)</f>
        <v>Positive</v>
      </c>
    </row>
    <row r="1102" spans="1:12" x14ac:dyDescent="0.25">
      <c r="A1102" t="s">
        <v>2070</v>
      </c>
      <c r="B1102" t="s">
        <v>2072</v>
      </c>
      <c r="C1102" t="str" cm="1">
        <f t="array" ref="C1102">CleanText(B1102)</f>
        <v>garbage</v>
      </c>
      <c r="D1102">
        <v>2</v>
      </c>
      <c r="E1102">
        <v>0</v>
      </c>
      <c r="F1102" t="s">
        <v>10</v>
      </c>
      <c r="G1102" t="str" cm="1">
        <f t="array" ref="G1102">FindCountryName(F1102)</f>
        <v>None</v>
      </c>
      <c r="H1102" s="3">
        <v>45182.034259259257</v>
      </c>
      <c r="I1102" s="3">
        <v>45182.034247685187</v>
      </c>
      <c r="J1102" s="3">
        <v>39120.797175925924</v>
      </c>
      <c r="K1102" cm="1">
        <f t="array" ref="K1102">sentimentCalc(C1102)</f>
        <v>0</v>
      </c>
      <c r="L1102" t="str" cm="1">
        <f t="array" ref="L1102">sentimentCategory(K1102)</f>
        <v>Neutral</v>
      </c>
    </row>
    <row r="1103" spans="1:12" x14ac:dyDescent="0.25">
      <c r="A1103" t="s">
        <v>684</v>
      </c>
      <c r="B1103" t="s">
        <v>1991</v>
      </c>
      <c r="C1103" t="str" cm="1">
        <f t="array" ref="C1103">CleanText(B1103)</f>
        <v>garbage</v>
      </c>
      <c r="D1103">
        <v>1</v>
      </c>
      <c r="E1103">
        <v>0</v>
      </c>
      <c r="F1103" t="s">
        <v>10</v>
      </c>
      <c r="G1103" t="str" cm="1">
        <f t="array" ref="G1103">FindCountryName(F1103)</f>
        <v>None</v>
      </c>
      <c r="H1103" s="3">
        <v>45185.334560185183</v>
      </c>
      <c r="I1103" s="3">
        <v>45185.334560185183</v>
      </c>
      <c r="J1103" s="3">
        <v>40453.577488425923</v>
      </c>
      <c r="K1103" cm="1">
        <f t="array" ref="K1103">sentimentCalc(C1103)</f>
        <v>0</v>
      </c>
      <c r="L1103" t="str" cm="1">
        <f t="array" ref="L1103">sentimentCategory(K1103)</f>
        <v>Neutral</v>
      </c>
    </row>
    <row r="1104" spans="1:12" x14ac:dyDescent="0.25">
      <c r="A1104" t="s">
        <v>569</v>
      </c>
      <c r="B1104" t="s">
        <v>4357</v>
      </c>
      <c r="C1104" t="str" cm="1">
        <f t="array" ref="C1104">CleanText(B1104)</f>
        <v>garbage</v>
      </c>
      <c r="D1104">
        <v>1</v>
      </c>
      <c r="E1104">
        <v>0</v>
      </c>
      <c r="F1104" t="s">
        <v>10</v>
      </c>
      <c r="G1104" t="str" cm="1">
        <f t="array" ref="G1104">FindCountryName(F1104)</f>
        <v>None</v>
      </c>
      <c r="H1104" s="3">
        <v>45140.701493055552</v>
      </c>
      <c r="I1104" s="3">
        <v>45140.701493055552</v>
      </c>
      <c r="J1104" s="3">
        <v>43074.183900462966</v>
      </c>
      <c r="K1104" cm="1">
        <f t="array" ref="K1104">sentimentCalc(C1104)</f>
        <v>0</v>
      </c>
      <c r="L1104" t="str" cm="1">
        <f t="array" ref="L1104">sentimentCategory(K1104)</f>
        <v>Neutral</v>
      </c>
    </row>
    <row r="1105" spans="1:12" x14ac:dyDescent="0.25">
      <c r="A1105" t="s">
        <v>1667</v>
      </c>
      <c r="B1105" t="s">
        <v>3593</v>
      </c>
      <c r="C1105" t="str" cm="1">
        <f t="array" ref="C1105">CleanText(B1105)</f>
        <v>garbage film</v>
      </c>
      <c r="D1105">
        <v>6</v>
      </c>
      <c r="E1105">
        <v>0</v>
      </c>
      <c r="F1105" t="s">
        <v>10</v>
      </c>
      <c r="G1105" t="str" cm="1">
        <f t="array" ref="G1105">FindCountryName(F1105)</f>
        <v>None</v>
      </c>
      <c r="H1105" s="3">
        <v>45147.326898148145</v>
      </c>
      <c r="I1105" s="3">
        <v>45147.326898148145</v>
      </c>
      <c r="J1105" s="3">
        <v>43393.687337962961</v>
      </c>
      <c r="K1105" cm="1">
        <f t="array" ref="K1105">sentimentCalc(C1105)</f>
        <v>0</v>
      </c>
      <c r="L1105" t="str" cm="1">
        <f t="array" ref="L1105">sentimentCategory(K1105)</f>
        <v>Neutral</v>
      </c>
    </row>
    <row r="1106" spans="1:12" x14ac:dyDescent="0.25">
      <c r="A1106" t="s">
        <v>1107</v>
      </c>
      <c r="B1106" t="s">
        <v>1150</v>
      </c>
      <c r="C1106" t="str" cm="1">
        <f t="array" ref="C1106">CleanText(B1106)</f>
        <v>garbage movie</v>
      </c>
      <c r="D1106">
        <v>1</v>
      </c>
      <c r="E1106">
        <v>0</v>
      </c>
      <c r="F1106" t="s">
        <v>1151</v>
      </c>
      <c r="G1106" t="str" cm="1">
        <f t="array" ref="G1106">FindCountryName(F1106)</f>
        <v>United Kingdom of Great Britain and Northern Ireland (the)</v>
      </c>
      <c r="H1106" s="3">
        <v>45282.887523148151</v>
      </c>
      <c r="I1106" s="3">
        <v>45282.887523148151</v>
      </c>
      <c r="J1106" s="3">
        <v>43076.342835648145</v>
      </c>
      <c r="K1106" cm="1">
        <f t="array" ref="K1106">sentimentCalc(C1106)</f>
        <v>0</v>
      </c>
      <c r="L1106" t="str" cm="1">
        <f t="array" ref="L1106">sentimentCategory(K1106)</f>
        <v>Neutral</v>
      </c>
    </row>
    <row r="1107" spans="1:12" x14ac:dyDescent="0.25">
      <c r="A1107" t="s">
        <v>66</v>
      </c>
      <c r="B1107" t="s">
        <v>593</v>
      </c>
      <c r="C1107" t="str" cm="1">
        <f t="array" ref="C1107">CleanText(B1107)</f>
        <v>garika bir film</v>
      </c>
      <c r="D1107">
        <v>0</v>
      </c>
      <c r="E1107">
        <v>0</v>
      </c>
      <c r="F1107" t="s">
        <v>10</v>
      </c>
      <c r="G1107" t="str" cm="1">
        <f t="array" ref="G1107">FindCountryName(F1107)</f>
        <v>None</v>
      </c>
      <c r="H1107" s="3">
        <v>45317.270983796298</v>
      </c>
      <c r="I1107" s="3">
        <v>45317.270983796298</v>
      </c>
      <c r="J1107" s="3">
        <v>43092.447662037041</v>
      </c>
      <c r="K1107" cm="1">
        <f t="array" ref="K1107">sentimentCalc(C1107)</f>
        <v>0</v>
      </c>
      <c r="L1107" t="str" cm="1">
        <f t="array" ref="L1107">sentimentCategory(K1107)</f>
        <v>Neutral</v>
      </c>
    </row>
    <row r="1108" spans="1:12" x14ac:dyDescent="0.25">
      <c r="A1108" t="s">
        <v>324</v>
      </c>
      <c r="B1108" t="s">
        <v>743</v>
      </c>
      <c r="C1108" t="str" cm="1">
        <f t="array" ref="C1108">CleanText(B1108)</f>
        <v>gayet baarl ve eylenceli bir gsteri zlenmeli kesinlikle</v>
      </c>
      <c r="D1108">
        <v>0</v>
      </c>
      <c r="E1108">
        <v>0</v>
      </c>
      <c r="F1108" t="s">
        <v>139</v>
      </c>
      <c r="G1108" t="str" cm="1">
        <f t="array" ref="G1108">FindCountryName(F1108)</f>
        <v>Turkey</v>
      </c>
      <c r="H1108" s="3">
        <v>45310.253657407404</v>
      </c>
      <c r="I1108" s="3">
        <v>45310.253657407404</v>
      </c>
      <c r="J1108" s="3">
        <v>41801.906226851854</v>
      </c>
      <c r="K1108" cm="1">
        <f t="array" ref="K1108">sentimentCalc(C1108)</f>
        <v>0</v>
      </c>
      <c r="L1108" t="str" cm="1">
        <f t="array" ref="L1108">sentimentCategory(K1108)</f>
        <v>Neutral</v>
      </c>
    </row>
    <row r="1109" spans="1:12" x14ac:dyDescent="0.25">
      <c r="A1109" t="s">
        <v>17</v>
      </c>
      <c r="B1109" t="s">
        <v>640</v>
      </c>
      <c r="C1109" t="str" cm="1">
        <f t="array" ref="C1109">CleanText(B1109)</f>
        <v>gayet gzel bir film</v>
      </c>
      <c r="D1109">
        <v>1</v>
      </c>
      <c r="E1109">
        <v>0</v>
      </c>
      <c r="F1109" t="s">
        <v>10</v>
      </c>
      <c r="G1109" t="str" cm="1">
        <f t="array" ref="G1109">FindCountryName(F1109)</f>
        <v>None</v>
      </c>
      <c r="H1109" s="3">
        <v>45314.414479166669</v>
      </c>
      <c r="I1109" s="3">
        <v>45314.414479166669</v>
      </c>
      <c r="J1109" s="3">
        <v>43549.471238425926</v>
      </c>
      <c r="K1109" cm="1">
        <f t="array" ref="K1109">sentimentCalc(C1109)</f>
        <v>0</v>
      </c>
      <c r="L1109" t="str" cm="1">
        <f t="array" ref="L1109">sentimentCategory(K1109)</f>
        <v>Neutral</v>
      </c>
    </row>
    <row r="1110" spans="1:12" x14ac:dyDescent="0.25">
      <c r="A1110" t="s">
        <v>895</v>
      </c>
      <c r="B1110" t="s">
        <v>984</v>
      </c>
      <c r="C1110" t="str" cm="1">
        <f t="array" ref="C1110">CleanText(B1110)</f>
        <v>geen sene baya haslat yapt gzel bir filme benziyor</v>
      </c>
      <c r="D1110">
        <v>0</v>
      </c>
      <c r="E1110">
        <v>0</v>
      </c>
      <c r="F1110" t="s">
        <v>10</v>
      </c>
      <c r="G1110" t="str" cm="1">
        <f t="array" ref="G1110">FindCountryName(F1110)</f>
        <v>None</v>
      </c>
      <c r="H1110" s="3">
        <v>45299.253391203703</v>
      </c>
      <c r="I1110" s="3">
        <v>45299.253391203703</v>
      </c>
      <c r="J1110" s="3">
        <v>41493.462048611109</v>
      </c>
      <c r="K1110" cm="1">
        <f t="array" ref="K1110">sentimentCalc(C1110)</f>
        <v>0</v>
      </c>
      <c r="L1110" t="str" cm="1">
        <f t="array" ref="L1110">sentimentCategory(K1110)</f>
        <v>Neutral</v>
      </c>
    </row>
    <row r="1111" spans="1:12" x14ac:dyDescent="0.25">
      <c r="A1111" t="s">
        <v>87</v>
      </c>
      <c r="B1111" t="s">
        <v>3590</v>
      </c>
      <c r="C1111" t="str" cm="1">
        <f t="array" ref="C1111">CleanText(B1111)</f>
        <v>gee i wonder how much they had to pay ryan gothling to transition for them and be a part of this whole sick marxist groomerfest</v>
      </c>
      <c r="D1111">
        <v>1</v>
      </c>
      <c r="E1111">
        <v>0</v>
      </c>
      <c r="F1111" t="s">
        <v>10</v>
      </c>
      <c r="G1111" t="str" cm="1">
        <f t="array" ref="G1111">FindCountryName(F1111)</f>
        <v>None</v>
      </c>
      <c r="H1111" s="3">
        <v>45147.343993055554</v>
      </c>
      <c r="I1111" s="3">
        <v>45147.343981481485</v>
      </c>
      <c r="J1111" s="3">
        <v>44517.95385416667</v>
      </c>
      <c r="K1111" cm="1">
        <f t="array" ref="K1111">sentimentCalc(C1111)</f>
        <v>-3</v>
      </c>
      <c r="L1111" t="str" cm="1">
        <f t="array" ref="L1111">sentimentCategory(K1111)</f>
        <v>Negative</v>
      </c>
    </row>
    <row r="1112" spans="1:12" x14ac:dyDescent="0.25">
      <c r="A1112" t="s">
        <v>385</v>
      </c>
      <c r="B1112" t="s">
        <v>386</v>
      </c>
      <c r="C1112" t="str" cm="1">
        <f t="array" ref="C1112">CleanText(B1112)</f>
        <v>gen kitleyi elendiren gzel vakit geirmesini salayan gzel bir film</v>
      </c>
      <c r="D1112">
        <v>0</v>
      </c>
      <c r="E1112">
        <v>0</v>
      </c>
      <c r="F1112" t="s">
        <v>10</v>
      </c>
      <c r="G1112" t="str" cm="1">
        <f t="array" ref="G1112">FindCountryName(F1112)</f>
        <v>None</v>
      </c>
      <c r="H1112" s="3">
        <v>45322.273275462961</v>
      </c>
      <c r="I1112" s="3">
        <v>45322.273275462961</v>
      </c>
      <c r="J1112" s="3">
        <v>42397.68712962963</v>
      </c>
      <c r="K1112" cm="1">
        <f t="array" ref="K1112">sentimentCalc(C1112)</f>
        <v>0</v>
      </c>
      <c r="L1112" t="str" cm="1">
        <f t="array" ref="L1112">sentimentCategory(K1112)</f>
        <v>Neutral</v>
      </c>
    </row>
    <row r="1113" spans="1:12" x14ac:dyDescent="0.25">
      <c r="A1113" t="s">
        <v>875</v>
      </c>
      <c r="B1113" t="s">
        <v>876</v>
      </c>
      <c r="C1113" t="str" cm="1">
        <f t="array" ref="C1113">CleanText(B1113)</f>
        <v>genlik iin olduka elenceli bir film olmu</v>
      </c>
      <c r="D1113">
        <v>1</v>
      </c>
      <c r="E1113">
        <v>0</v>
      </c>
      <c r="F1113" t="s">
        <v>10</v>
      </c>
      <c r="G1113" t="str" cm="1">
        <f t="array" ref="G1113">FindCountryName(F1113)</f>
        <v>None</v>
      </c>
      <c r="H1113" s="3">
        <v>45299.367256944446</v>
      </c>
      <c r="I1113" s="3">
        <v>45299.367256944446</v>
      </c>
      <c r="J1113" s="3">
        <v>41929.661423611113</v>
      </c>
      <c r="K1113" cm="1">
        <f t="array" ref="K1113">sentimentCalc(C1113)</f>
        <v>0</v>
      </c>
      <c r="L1113" t="str" cm="1">
        <f t="array" ref="L1113">sentimentCategory(K1113)</f>
        <v>Neutral</v>
      </c>
    </row>
    <row r="1114" spans="1:12" x14ac:dyDescent="0.25">
      <c r="A1114" t="s">
        <v>58</v>
      </c>
      <c r="B1114" t="s">
        <v>1402</v>
      </c>
      <c r="C1114" t="str" cm="1">
        <f t="array" ref="C1114">CleanText(B1114)</f>
        <v>gente assistam relembrei minha infncia</v>
      </c>
      <c r="D1114">
        <v>0</v>
      </c>
      <c r="E1114">
        <v>0</v>
      </c>
      <c r="F1114" t="s">
        <v>10</v>
      </c>
      <c r="G1114" t="str" cm="1">
        <f t="array" ref="G1114">FindCountryName(F1114)</f>
        <v>None</v>
      </c>
      <c r="H1114" s="3">
        <v>45233.590358796297</v>
      </c>
      <c r="I1114" s="3">
        <v>45233.590358796297</v>
      </c>
      <c r="J1114" s="3">
        <v>45227.63181712963</v>
      </c>
      <c r="K1114" cm="1">
        <f t="array" ref="K1114">sentimentCalc(C1114)</f>
        <v>0</v>
      </c>
      <c r="L1114" t="str" cm="1">
        <f t="array" ref="L1114">sentimentCategory(K1114)</f>
        <v>Neutral</v>
      </c>
    </row>
    <row r="1115" spans="1:12" x14ac:dyDescent="0.25">
      <c r="A1115" t="s">
        <v>173</v>
      </c>
      <c r="B1115" t="s">
        <v>668</v>
      </c>
      <c r="C1115" t="str" cm="1">
        <f t="array" ref="C1115">CleanText(B1115)</f>
        <v>gerekten ok iyi</v>
      </c>
      <c r="D1115">
        <v>0</v>
      </c>
      <c r="E1115">
        <v>0</v>
      </c>
      <c r="F1115" t="s">
        <v>10</v>
      </c>
      <c r="G1115" t="str" cm="1">
        <f t="array" ref="G1115">FindCountryName(F1115)</f>
        <v>None</v>
      </c>
      <c r="H1115" s="3">
        <v>45314.273229166669</v>
      </c>
      <c r="I1115" s="3">
        <v>45314.273229166669</v>
      </c>
      <c r="J1115" s="3">
        <v>42759.940011574072</v>
      </c>
      <c r="K1115" cm="1">
        <f t="array" ref="K1115">sentimentCalc(C1115)</f>
        <v>0</v>
      </c>
      <c r="L1115" t="str" cm="1">
        <f t="array" ref="L1115">sentimentCategory(K1115)</f>
        <v>Neutral</v>
      </c>
    </row>
    <row r="1116" spans="1:12" x14ac:dyDescent="0.25">
      <c r="A1116" t="s">
        <v>580</v>
      </c>
      <c r="B1116" t="s">
        <v>581</v>
      </c>
      <c r="C1116" t="str" cm="1">
        <f t="array" ref="C1116">CleanText(B1116)</f>
        <v>gerekten kucuk kardesinizle cocugunuzla ozliyebileceginiz mukemmel bir film herkese tavsiye ederim mutlaka izleyin</v>
      </c>
      <c r="D1116">
        <v>1</v>
      </c>
      <c r="E1116">
        <v>0</v>
      </c>
      <c r="F1116" t="s">
        <v>10</v>
      </c>
      <c r="G1116" t="str" cm="1">
        <f t="array" ref="G1116">FindCountryName(F1116)</f>
        <v>None</v>
      </c>
      <c r="H1116" s="3">
        <v>45317.272326388891</v>
      </c>
      <c r="I1116" s="3">
        <v>45317.272326388891</v>
      </c>
      <c r="J1116" s="3">
        <v>45141.403912037036</v>
      </c>
      <c r="K1116" cm="1">
        <f t="array" ref="K1116">sentimentCalc(C1116)</f>
        <v>0</v>
      </c>
      <c r="L1116" t="str" cm="1">
        <f t="array" ref="L1116">sentimentCategory(K1116)</f>
        <v>Neutral</v>
      </c>
    </row>
    <row r="1117" spans="1:12" x14ac:dyDescent="0.25">
      <c r="A1117" t="s">
        <v>525</v>
      </c>
      <c r="B1117" t="s">
        <v>913</v>
      </c>
      <c r="C1117" t="str" cm="1">
        <f t="array" ref="C1117">CleanText(B1117)</f>
        <v>gercekten cok renkli ve guzel bi dunya  cok guzel gorunuyor  kesinlikle denemeliyiz</v>
      </c>
      <c r="D1117">
        <v>0</v>
      </c>
      <c r="E1117">
        <v>0</v>
      </c>
      <c r="F1117" t="s">
        <v>10</v>
      </c>
      <c r="G1117" t="str" cm="1">
        <f t="array" ref="G1117">FindCountryName(F1117)</f>
        <v>None</v>
      </c>
      <c r="H1117" s="3">
        <v>45299.279166666667</v>
      </c>
      <c r="I1117" s="3">
        <v>45299.279166666667</v>
      </c>
      <c r="J1117" s="3">
        <v>42522.621122685188</v>
      </c>
      <c r="K1117" cm="1">
        <f t="array" ref="K1117">sentimentCalc(C1117)</f>
        <v>0</v>
      </c>
      <c r="L1117" t="str" cm="1">
        <f t="array" ref="L1117">sentimentCategory(K1117)</f>
        <v>Neutral</v>
      </c>
    </row>
    <row r="1118" spans="1:12" x14ac:dyDescent="0.25">
      <c r="A1118" t="s">
        <v>932</v>
      </c>
      <c r="B1118" t="s">
        <v>933</v>
      </c>
      <c r="C1118" t="str" cm="1">
        <f t="array" ref="C1118">CleanText(B1118)</f>
        <v>gercekten harika bi fragman olmus herkesin eline saglik</v>
      </c>
      <c r="D1118">
        <v>0</v>
      </c>
      <c r="E1118">
        <v>0</v>
      </c>
      <c r="F1118" t="s">
        <v>10</v>
      </c>
      <c r="G1118" t="str" cm="1">
        <f t="array" ref="G1118">FindCountryName(F1118)</f>
        <v>None</v>
      </c>
      <c r="H1118" s="3">
        <v>45299.264502314814</v>
      </c>
      <c r="I1118" s="3">
        <v>45299.264884259261</v>
      </c>
      <c r="J1118" s="3">
        <v>42810.491990740738</v>
      </c>
      <c r="K1118" cm="1">
        <f t="array" ref="K1118">sentimentCalc(C1118)</f>
        <v>0</v>
      </c>
      <c r="L1118" t="str" cm="1">
        <f t="array" ref="L1118">sentimentCategory(K1118)</f>
        <v>Neutral</v>
      </c>
    </row>
    <row r="1119" spans="1:12" x14ac:dyDescent="0.25">
      <c r="A1119" t="s">
        <v>512</v>
      </c>
      <c r="B1119" t="s">
        <v>742</v>
      </c>
      <c r="C1119" t="str" cm="1">
        <f t="array" ref="C1119">CleanText(B1119)</f>
        <v>gerekli bir film di ok seviyorum bu filmi</v>
      </c>
      <c r="D1119">
        <v>0</v>
      </c>
      <c r="E1119">
        <v>0</v>
      </c>
      <c r="F1119" t="s">
        <v>10</v>
      </c>
      <c r="G1119" t="str" cm="1">
        <f t="array" ref="G1119">FindCountryName(F1119)</f>
        <v>None</v>
      </c>
      <c r="H1119" s="3">
        <v>45310.254259259258</v>
      </c>
      <c r="I1119" s="3">
        <v>45310.254259259258</v>
      </c>
      <c r="J1119" s="3">
        <v>43045.287106481483</v>
      </c>
      <c r="K1119" cm="1">
        <f t="array" ref="K1119">sentimentCalc(C1119)</f>
        <v>0</v>
      </c>
      <c r="L1119" t="str" cm="1">
        <f t="array" ref="L1119">sentimentCategory(K1119)</f>
        <v>Neutral</v>
      </c>
    </row>
    <row r="1120" spans="1:12" x14ac:dyDescent="0.25">
      <c r="A1120" t="s">
        <v>1771</v>
      </c>
      <c r="B1120" t="s">
        <v>1772</v>
      </c>
      <c r="C1120" t="str" cm="1">
        <f t="array" ref="C1120">CleanText(B1120)</f>
        <v>get ready for dajjal</v>
      </c>
      <c r="D1120">
        <v>0</v>
      </c>
      <c r="E1120">
        <v>0</v>
      </c>
      <c r="F1120" t="s">
        <v>10</v>
      </c>
      <c r="G1120" t="str" cm="1">
        <f t="array" ref="G1120">FindCountryName(F1120)</f>
        <v>None</v>
      </c>
      <c r="H1120" s="3">
        <v>45196.426481481481</v>
      </c>
      <c r="I1120" s="3">
        <v>45196.426481481481</v>
      </c>
      <c r="J1120" s="3">
        <v>45137.232361111113</v>
      </c>
      <c r="K1120" cm="1">
        <f t="array" ref="K1120">sentimentCalc(C1120)</f>
        <v>0</v>
      </c>
      <c r="L1120" t="str" cm="1">
        <f t="array" ref="L1120">sentimentCategory(K1120)</f>
        <v>Neutral</v>
      </c>
    </row>
    <row r="1121" spans="1:12" x14ac:dyDescent="0.25">
      <c r="A1121" t="s">
        <v>3320</v>
      </c>
      <c r="B1121" t="s">
        <v>3321</v>
      </c>
      <c r="C1121" t="str" cm="1">
        <f t="array" ref="C1121">CleanText(B1121)</f>
        <v>get them grippers away</v>
      </c>
      <c r="D1121">
        <v>1</v>
      </c>
      <c r="E1121">
        <v>0</v>
      </c>
      <c r="F1121" t="s">
        <v>10</v>
      </c>
      <c r="G1121" t="str" cm="1">
        <f t="array" ref="G1121">FindCountryName(F1121)</f>
        <v>None</v>
      </c>
      <c r="H1121" s="3">
        <v>45150.36347222222</v>
      </c>
      <c r="I1121" s="3">
        <v>45150.36347222222</v>
      </c>
      <c r="J1121" s="3">
        <v>44855.762256944443</v>
      </c>
      <c r="K1121" cm="1">
        <f t="array" ref="K1121">sentimentCalc(C1121)</f>
        <v>0</v>
      </c>
      <c r="L1121" t="str" cm="1">
        <f t="array" ref="L1121">sentimentCategory(K1121)</f>
        <v>Neutral</v>
      </c>
    </row>
    <row r="1122" spans="1:12" x14ac:dyDescent="0.25">
      <c r="A1122" t="s">
        <v>425</v>
      </c>
      <c r="B1122" t="s">
        <v>1663</v>
      </c>
      <c r="C1122" t="str" cm="1">
        <f t="array" ref="C1122">CleanText(B1122)</f>
        <v>gia groovesmy favourite movie is barbie which is margot robbie ive seen it in cinemas</v>
      </c>
      <c r="D1122">
        <v>1</v>
      </c>
      <c r="E1122">
        <v>0</v>
      </c>
      <c r="F1122" t="s">
        <v>10</v>
      </c>
      <c r="G1122" t="str" cm="1">
        <f t="array" ref="G1122">FindCountryName(F1122)</f>
        <v>None</v>
      </c>
      <c r="H1122" s="3">
        <v>45204.235798611109</v>
      </c>
      <c r="I1122" s="3">
        <v>45204.235798611109</v>
      </c>
      <c r="J1122" s="3">
        <v>41087.931516203702</v>
      </c>
      <c r="K1122" cm="1">
        <f t="array" ref="K1122">sentimentCalc(C1122)</f>
        <v>0</v>
      </c>
      <c r="L1122" t="str" cm="1">
        <f t="array" ref="L1122">sentimentCategory(K1122)</f>
        <v>Neutral</v>
      </c>
    </row>
    <row r="1123" spans="1:12" x14ac:dyDescent="0.25">
      <c r="A1123" t="s">
        <v>541</v>
      </c>
      <c r="B1123" t="s">
        <v>873</v>
      </c>
      <c r="C1123" t="str" cm="1">
        <f t="array" ref="C1123">CleanText(B1123)</f>
        <v>giant blowout party</v>
      </c>
      <c r="D1123">
        <v>0</v>
      </c>
      <c r="E1123">
        <v>0</v>
      </c>
      <c r="F1123" t="s">
        <v>10</v>
      </c>
      <c r="G1123" t="str" cm="1">
        <f t="array" ref="G1123">FindCountryName(F1123)</f>
        <v>None</v>
      </c>
      <c r="H1123" s="3">
        <v>45299.410601851851</v>
      </c>
      <c r="I1123" s="3">
        <v>45299.410601851851</v>
      </c>
      <c r="J1123" s="3">
        <v>41918.685567129629</v>
      </c>
      <c r="K1123" cm="1">
        <f t="array" ref="K1123">sentimentCalc(C1123)</f>
        <v>0</v>
      </c>
      <c r="L1123" t="str" cm="1">
        <f t="array" ref="L1123">sentimentCategory(K1123)</f>
        <v>Neutral</v>
      </c>
    </row>
    <row r="1124" spans="1:12" x14ac:dyDescent="0.25">
      <c r="A1124" t="s">
        <v>427</v>
      </c>
      <c r="B1124" t="s">
        <v>3225</v>
      </c>
      <c r="C1124" t="str" cm="1">
        <f t="array" ref="C1124">CleanText(B1124)</f>
        <v>girl</v>
      </c>
      <c r="D1124">
        <v>1</v>
      </c>
      <c r="E1124">
        <v>0</v>
      </c>
      <c r="F1124" t="s">
        <v>10</v>
      </c>
      <c r="G1124" t="str" cm="1">
        <f t="array" ref="G1124">FindCountryName(F1124)</f>
        <v>None</v>
      </c>
      <c r="H1124" s="3">
        <v>45151.579432870371</v>
      </c>
      <c r="I1124" s="3">
        <v>45151.579432870371</v>
      </c>
      <c r="J1124" s="3">
        <v>42548.644131944442</v>
      </c>
      <c r="K1124" cm="1">
        <f t="array" ref="K1124">sentimentCalc(C1124)</f>
        <v>0</v>
      </c>
      <c r="L1124" t="str" cm="1">
        <f t="array" ref="L1124">sentimentCategory(K1124)</f>
        <v>Neutral</v>
      </c>
    </row>
    <row r="1125" spans="1:12" x14ac:dyDescent="0.25">
      <c r="A1125" t="s">
        <v>646</v>
      </c>
      <c r="B1125" t="s">
        <v>1917</v>
      </c>
      <c r="C1125" t="str" cm="1">
        <f t="array" ref="C1125">CleanText(B1125)</f>
        <v>girls is in barbies</v>
      </c>
      <c r="D1125">
        <v>1</v>
      </c>
      <c r="E1125">
        <v>0</v>
      </c>
      <c r="F1125" t="s">
        <v>10</v>
      </c>
      <c r="G1125" t="str" cm="1">
        <f t="array" ref="G1125">FindCountryName(F1125)</f>
        <v>None</v>
      </c>
      <c r="H1125" s="3">
        <v>45187.767708333333</v>
      </c>
      <c r="I1125" s="3">
        <v>45187.767708333333</v>
      </c>
      <c r="J1125" s="3">
        <v>41628.955543981479</v>
      </c>
      <c r="K1125" cm="1">
        <f t="array" ref="K1125">sentimentCalc(C1125)</f>
        <v>0</v>
      </c>
      <c r="L1125" t="str" cm="1">
        <f t="array" ref="L1125">sentimentCategory(K1125)</f>
        <v>Neutral</v>
      </c>
    </row>
    <row r="1126" spans="1:12" x14ac:dyDescent="0.25">
      <c r="A1126" t="s">
        <v>36</v>
      </c>
      <c r="B1126" t="s">
        <v>4134</v>
      </c>
      <c r="C1126" t="str" cm="1">
        <f t="array" ref="C1126">CleanText(B1126)</f>
        <v>go see it barbieworld</v>
      </c>
      <c r="D1126">
        <v>0</v>
      </c>
      <c r="E1126">
        <v>0</v>
      </c>
      <c r="F1126" t="s">
        <v>10</v>
      </c>
      <c r="G1126" t="str" cm="1">
        <f t="array" ref="G1126">FindCountryName(F1126)</f>
        <v>None</v>
      </c>
      <c r="H1126" s="3">
        <v>45142.614444444444</v>
      </c>
      <c r="I1126" s="3">
        <v>45142.614444444444</v>
      </c>
      <c r="J1126" s="3">
        <v>44710.713680555556</v>
      </c>
      <c r="K1126" cm="1">
        <f t="array" ref="K1126">sentimentCalc(C1126)</f>
        <v>0</v>
      </c>
      <c r="L1126" t="str" cm="1">
        <f t="array" ref="L1126">sentimentCategory(K1126)</f>
        <v>Neutral</v>
      </c>
    </row>
    <row r="1127" spans="1:12" x14ac:dyDescent="0.25">
      <c r="A1127" t="s">
        <v>1100</v>
      </c>
      <c r="B1127" t="s">
        <v>3127</v>
      </c>
      <c r="C1127" t="str" cm="1">
        <f t="array" ref="C1127">CleanText(B1127)</f>
        <v>go woke go broke</v>
      </c>
      <c r="D1127">
        <v>2</v>
      </c>
      <c r="E1127">
        <v>11</v>
      </c>
      <c r="F1127" t="s">
        <v>10</v>
      </c>
      <c r="G1127" t="str" cm="1">
        <f t="array" ref="G1127">FindCountryName(F1127)</f>
        <v>None</v>
      </c>
      <c r="H1127" s="3">
        <v>45152.921018518522</v>
      </c>
      <c r="I1127" s="3">
        <v>45152.921018518522</v>
      </c>
      <c r="J1127" s="3">
        <v>42927.461134259262</v>
      </c>
      <c r="K1127" cm="1">
        <f t="array" ref="K1127">sentimentCalc(C1127)</f>
        <v>-1</v>
      </c>
      <c r="L1127" t="str" cm="1">
        <f t="array" ref="L1127">sentimentCategory(K1127)</f>
        <v>Negative</v>
      </c>
    </row>
    <row r="1128" spans="1:12" x14ac:dyDescent="0.25">
      <c r="A1128" t="s">
        <v>3034</v>
      </c>
      <c r="B1128" t="s">
        <v>3545</v>
      </c>
      <c r="C1128" t="str" cm="1">
        <f t="array" ref="C1128">CleanText(B1128)</f>
        <v>go woke go broke sound of freedom  of</v>
      </c>
      <c r="D1128">
        <v>3</v>
      </c>
      <c r="E1128">
        <v>0</v>
      </c>
      <c r="F1128" t="s">
        <v>10</v>
      </c>
      <c r="G1128" t="str" cm="1">
        <f t="array" ref="G1128">FindCountryName(F1128)</f>
        <v>None</v>
      </c>
      <c r="H1128" s="3">
        <v>45147.618807870371</v>
      </c>
      <c r="I1128" s="3">
        <v>45147.618807870371</v>
      </c>
      <c r="J1128" s="3">
        <v>45092.557500000003</v>
      </c>
      <c r="K1128" cm="1">
        <f t="array" ref="K1128">sentimentCalc(C1128)</f>
        <v>1</v>
      </c>
      <c r="L1128" t="str" cm="1">
        <f t="array" ref="L1128">sentimentCategory(K1128)</f>
        <v>Positive</v>
      </c>
    </row>
    <row r="1129" spans="1:12" x14ac:dyDescent="0.25">
      <c r="A1129" t="s">
        <v>1055</v>
      </c>
      <c r="B1129" t="s">
        <v>3272</v>
      </c>
      <c r="C1129" t="str" cm="1">
        <f t="array" ref="C1129">CleanText(B1129)</f>
        <v>go woke go broke</v>
      </c>
      <c r="D1129">
        <v>4</v>
      </c>
      <c r="E1129">
        <v>1</v>
      </c>
      <c r="F1129" t="s">
        <v>227</v>
      </c>
      <c r="G1129" t="str" cm="1">
        <f t="array" ref="G1129">FindCountryName(F1129)</f>
        <v>United States of America (the)</v>
      </c>
      <c r="H1129" s="3">
        <v>45150.975081018521</v>
      </c>
      <c r="I1129" s="3">
        <v>45150.975081018521</v>
      </c>
      <c r="J1129" s="3">
        <v>41571.890613425923</v>
      </c>
      <c r="K1129" cm="1">
        <f t="array" ref="K1129">sentimentCalc(C1129)</f>
        <v>-1</v>
      </c>
      <c r="L1129" t="str" cm="1">
        <f t="array" ref="L1129">sentimentCategory(K1129)</f>
        <v>Negative</v>
      </c>
    </row>
    <row r="1130" spans="1:12" x14ac:dyDescent="0.25">
      <c r="A1130" t="s">
        <v>358</v>
      </c>
      <c r="B1130" t="s">
        <v>3251</v>
      </c>
      <c r="C1130" t="str" cm="1">
        <f t="array" ref="C1130">CleanText(B1130)</f>
        <v>go barbie ist pingki</v>
      </c>
      <c r="D1130">
        <v>0</v>
      </c>
      <c r="E1130">
        <v>0</v>
      </c>
      <c r="F1130" t="s">
        <v>10</v>
      </c>
      <c r="G1130" t="str" cm="1">
        <f t="array" ref="G1130">FindCountryName(F1130)</f>
        <v>None</v>
      </c>
      <c r="H1130" s="3">
        <v>45151.367777777778</v>
      </c>
      <c r="I1130" s="3">
        <v>45151.367777777778</v>
      </c>
      <c r="J1130" s="3">
        <v>44441.228935185187</v>
      </c>
      <c r="K1130" cm="1">
        <f t="array" ref="K1130">sentimentCalc(C1130)</f>
        <v>0</v>
      </c>
      <c r="L1130" t="str" cm="1">
        <f t="array" ref="L1130">sentimentCategory(K1130)</f>
        <v>Neutral</v>
      </c>
    </row>
    <row r="1131" spans="1:12" x14ac:dyDescent="0.25">
      <c r="A1131" t="s">
        <v>30</v>
      </c>
      <c r="B1131" t="s">
        <v>2540</v>
      </c>
      <c r="C1131" t="str" cm="1">
        <f t="array" ref="C1131">CleanText(B1131)</f>
        <v>god bless barbie and margot robbie star poweri love her for the privacy she was given to live her life on her termsfirst movie i will hope see on the big screen in half a decadeits like therapy</v>
      </c>
      <c r="D1131">
        <v>1</v>
      </c>
      <c r="E1131">
        <v>1</v>
      </c>
      <c r="F1131" t="s">
        <v>10</v>
      </c>
      <c r="G1131" t="str" cm="1">
        <f t="array" ref="G1131">FindCountryName(F1131)</f>
        <v>None</v>
      </c>
      <c r="H1131" s="3">
        <v>45163.865497685183</v>
      </c>
      <c r="I1131" s="3">
        <v>45163.865497685183</v>
      </c>
      <c r="J1131" s="3">
        <v>44087.044548611113</v>
      </c>
      <c r="K1131" cm="1">
        <f t="array" ref="K1131">sentimentCalc(C1131)</f>
        <v>11</v>
      </c>
      <c r="L1131" t="str" cm="1">
        <f t="array" ref="L1131">sentimentCategory(K1131)</f>
        <v>Positive</v>
      </c>
    </row>
    <row r="1132" spans="1:12" x14ac:dyDescent="0.25">
      <c r="A1132" t="s">
        <v>2842</v>
      </c>
      <c r="B1132" t="s">
        <v>2843</v>
      </c>
      <c r="C1132" t="str" cm="1">
        <f t="array" ref="C1132">CleanText(B1132)</f>
        <v>god this new generation everything sucks monies music god take me</v>
      </c>
      <c r="D1132">
        <v>0</v>
      </c>
      <c r="E1132">
        <v>2</v>
      </c>
      <c r="F1132" t="s">
        <v>10</v>
      </c>
      <c r="G1132" t="str" cm="1">
        <f t="array" ref="G1132">FindCountryName(F1132)</f>
        <v>None</v>
      </c>
      <c r="H1132" s="3">
        <v>45156.929479166669</v>
      </c>
      <c r="I1132" s="3">
        <v>45156.929479166669</v>
      </c>
      <c r="J1132" s="3">
        <v>42884.778449074074</v>
      </c>
      <c r="K1132" cm="1">
        <f t="array" ref="K1132">sentimentCalc(C1132)</f>
        <v>-1</v>
      </c>
      <c r="L1132" t="str" cm="1">
        <f t="array" ref="L1132">sentimentCategory(K1132)</f>
        <v>Negative</v>
      </c>
    </row>
    <row r="1133" spans="1:12" x14ac:dyDescent="0.25">
      <c r="A1133" t="s">
        <v>2504</v>
      </c>
      <c r="B1133" t="s">
        <v>3549</v>
      </c>
      <c r="C1133" t="str" cm="1">
        <f t="array" ref="C1133">CleanText(B1133)</f>
        <v>gods hello</v>
      </c>
      <c r="D1133">
        <v>1</v>
      </c>
      <c r="E1133">
        <v>0</v>
      </c>
      <c r="F1133" t="s">
        <v>10</v>
      </c>
      <c r="G1133" t="str" cm="1">
        <f t="array" ref="G1133">FindCountryName(F1133)</f>
        <v>None</v>
      </c>
      <c r="H1133" s="3">
        <v>45147.599108796298</v>
      </c>
      <c r="I1133" s="3">
        <v>45147.599108796298</v>
      </c>
      <c r="J1133" s="3">
        <v>43918.356793981482</v>
      </c>
      <c r="K1133" cm="1">
        <f t="array" ref="K1133">sentimentCalc(C1133)</f>
        <v>0</v>
      </c>
      <c r="L1133" t="str" cm="1">
        <f t="array" ref="L1133">sentimentCategory(K1133)</f>
        <v>Neutral</v>
      </c>
    </row>
    <row r="1134" spans="1:12" x14ac:dyDescent="0.25">
      <c r="A1134" t="s">
        <v>3388</v>
      </c>
      <c r="B1134" t="s">
        <v>3389</v>
      </c>
      <c r="C1134" t="str" cm="1">
        <f t="array" ref="C1134">CleanText(B1134)</f>
        <v>going to watch on august</v>
      </c>
      <c r="D1134">
        <v>0</v>
      </c>
      <c r="E1134">
        <v>0</v>
      </c>
      <c r="F1134" t="s">
        <v>2894</v>
      </c>
      <c r="G1134" t="str" cm="1">
        <f t="array" ref="G1134">FindCountryName(F1134)</f>
        <v>Japan</v>
      </c>
      <c r="H1134" s="3">
        <v>45149.365740740737</v>
      </c>
      <c r="I1134" s="3">
        <v>45149.365740740737</v>
      </c>
      <c r="J1134" s="3">
        <v>40824.618877314817</v>
      </c>
      <c r="K1134" cm="1">
        <f t="array" ref="K1134">sentimentCalc(C1134)</f>
        <v>0</v>
      </c>
      <c r="L1134" t="str" cm="1">
        <f t="array" ref="L1134">sentimentCategory(K1134)</f>
        <v>Neutral</v>
      </c>
    </row>
    <row r="1135" spans="1:12" x14ac:dyDescent="0.25">
      <c r="A1135" t="s">
        <v>459</v>
      </c>
      <c r="B1135" t="s">
        <v>1240</v>
      </c>
      <c r="C1135" t="str" cm="1">
        <f t="array" ref="C1135">CleanText(B1135)</f>
        <v>golden globespink force for barbie domination</v>
      </c>
      <c r="D1135">
        <v>2</v>
      </c>
      <c r="E1135">
        <v>0</v>
      </c>
      <c r="F1135" t="s">
        <v>10</v>
      </c>
      <c r="G1135" t="str" cm="1">
        <f t="array" ref="G1135">FindCountryName(F1135)</f>
        <v>None</v>
      </c>
      <c r="H1135" s="3">
        <v>45271.907002314816</v>
      </c>
      <c r="I1135" s="3">
        <v>45271.907002314816</v>
      </c>
      <c r="J1135" s="3">
        <v>44380.424305555556</v>
      </c>
      <c r="K1135" cm="1">
        <f t="array" ref="K1135">sentimentCalc(C1135)</f>
        <v>0</v>
      </c>
      <c r="L1135" t="str" cm="1">
        <f t="array" ref="L1135">sentimentCategory(K1135)</f>
        <v>Neutral</v>
      </c>
    </row>
    <row r="1136" spans="1:12" x14ac:dyDescent="0.25">
      <c r="A1136" t="s">
        <v>472</v>
      </c>
      <c r="B1136" t="s">
        <v>1759</v>
      </c>
      <c r="C1136" t="str" cm="1">
        <f t="array" ref="C1136">CleanText(B1136)</f>
        <v>good film about womans</v>
      </c>
      <c r="D1136">
        <v>0</v>
      </c>
      <c r="E1136">
        <v>0</v>
      </c>
      <c r="F1136" t="s">
        <v>10</v>
      </c>
      <c r="G1136" t="str" cm="1">
        <f t="array" ref="G1136">FindCountryName(F1136)</f>
        <v>None</v>
      </c>
      <c r="H1136" s="3">
        <v>45196.760636574072</v>
      </c>
      <c r="I1136" s="3">
        <v>45196.760636574072</v>
      </c>
      <c r="J1136" s="3">
        <v>43652.175196759257</v>
      </c>
      <c r="K1136" cm="1">
        <f t="array" ref="K1136">sentimentCalc(C1136)</f>
        <v>3</v>
      </c>
      <c r="L1136" t="str" cm="1">
        <f t="array" ref="L1136">sentimentCategory(K1136)</f>
        <v>Positive</v>
      </c>
    </row>
    <row r="1137" spans="1:12" x14ac:dyDescent="0.25">
      <c r="A1137" t="s">
        <v>737</v>
      </c>
      <c r="B1137" t="s">
        <v>3602</v>
      </c>
      <c r="C1137" t="str" cm="1">
        <f t="array" ref="C1137">CleanText(B1137)</f>
        <v>good job</v>
      </c>
      <c r="D1137">
        <v>1</v>
      </c>
      <c r="E1137">
        <v>0</v>
      </c>
      <c r="F1137" t="s">
        <v>10</v>
      </c>
      <c r="G1137" t="str" cm="1">
        <f t="array" ref="G1137">FindCountryName(F1137)</f>
        <v>None</v>
      </c>
      <c r="H1137" s="3">
        <v>45147.238055555557</v>
      </c>
      <c r="I1137" s="3">
        <v>45147.238055555557</v>
      </c>
      <c r="J1137" s="3">
        <v>43960.477048611108</v>
      </c>
      <c r="K1137" cm="1">
        <f t="array" ref="K1137">sentimentCalc(C1137)</f>
        <v>3</v>
      </c>
      <c r="L1137" t="str" cm="1">
        <f t="array" ref="L1137">sentimentCategory(K1137)</f>
        <v>Positive</v>
      </c>
    </row>
    <row r="1138" spans="1:12" x14ac:dyDescent="0.25">
      <c r="A1138" t="s">
        <v>830</v>
      </c>
      <c r="B1138" t="s">
        <v>4317</v>
      </c>
      <c r="C1138" t="str" cm="1">
        <f t="array" ref="C1138">CleanText(B1138)</f>
        <v>good job greta gerwig your writing ideology becomes the joke of this moviehow ironic that ken ends up being the highlight of the show for everyone and overshadowing a movie about your men hating radical feminist ideology point of view failure</v>
      </c>
      <c r="D1138">
        <v>3</v>
      </c>
      <c r="E1138">
        <v>6</v>
      </c>
      <c r="F1138" t="s">
        <v>10</v>
      </c>
      <c r="G1138" t="str" cm="1">
        <f t="array" ref="G1138">FindCountryName(F1138)</f>
        <v>None</v>
      </c>
      <c r="H1138" s="3">
        <v>45141.001909722225</v>
      </c>
      <c r="I1138" s="3">
        <v>45141.319409722222</v>
      </c>
      <c r="J1138" s="3">
        <v>42210.975949074076</v>
      </c>
      <c r="K1138" cm="1">
        <f t="array" ref="K1138">sentimentCalc(C1138)</f>
        <v>1</v>
      </c>
      <c r="L1138" t="str" cm="1">
        <f t="array" ref="L1138">sentimentCategory(K1138)</f>
        <v>Positive</v>
      </c>
    </row>
    <row r="1139" spans="1:12" x14ac:dyDescent="0.25">
      <c r="A1139" t="s">
        <v>313</v>
      </c>
      <c r="B1139" t="s">
        <v>1360</v>
      </c>
      <c r="C1139" t="str" cm="1">
        <f t="array" ref="C1139">CleanText(B1139)</f>
        <v>good movie</v>
      </c>
      <c r="D1139">
        <v>1</v>
      </c>
      <c r="E1139">
        <v>0</v>
      </c>
      <c r="F1139" t="s">
        <v>10</v>
      </c>
      <c r="G1139" t="str" cm="1">
        <f t="array" ref="G1139">FindCountryName(F1139)</f>
        <v>None</v>
      </c>
      <c r="H1139" s="3">
        <v>45241.439143518517</v>
      </c>
      <c r="I1139" s="3">
        <v>45241.439143518517</v>
      </c>
      <c r="J1139" s="3">
        <v>45241.439085648148</v>
      </c>
      <c r="K1139" cm="1">
        <f t="array" ref="K1139">sentimentCalc(C1139)</f>
        <v>3</v>
      </c>
      <c r="L1139" t="str" cm="1">
        <f t="array" ref="L1139">sentimentCategory(K1139)</f>
        <v>Positive</v>
      </c>
    </row>
    <row r="1140" spans="1:12" x14ac:dyDescent="0.25">
      <c r="A1140" t="s">
        <v>154</v>
      </c>
      <c r="B1140" t="s">
        <v>1243</v>
      </c>
      <c r="C1140" t="str" cm="1">
        <f t="array" ref="C1140">CleanText(B1140)</f>
        <v>good movie for girls</v>
      </c>
      <c r="D1140">
        <v>0</v>
      </c>
      <c r="E1140">
        <v>0</v>
      </c>
      <c r="F1140" t="s">
        <v>10</v>
      </c>
      <c r="G1140" t="str" cm="1">
        <f t="array" ref="G1140">FindCountryName(F1140)</f>
        <v>None</v>
      </c>
      <c r="H1140" s="3">
        <v>45269.932754629626</v>
      </c>
      <c r="I1140" s="3">
        <v>45269.932754629626</v>
      </c>
      <c r="J1140" s="3">
        <v>45262.76866898148</v>
      </c>
      <c r="K1140" cm="1">
        <f t="array" ref="K1140">sentimentCalc(C1140)</f>
        <v>3</v>
      </c>
      <c r="L1140" t="str" cm="1">
        <f t="array" ref="L1140">sentimentCategory(K1140)</f>
        <v>Positive</v>
      </c>
    </row>
    <row r="1141" spans="1:12" x14ac:dyDescent="0.25">
      <c r="A1141" t="s">
        <v>2469</v>
      </c>
      <c r="B1141" t="s">
        <v>2470</v>
      </c>
      <c r="C1141" t="str" cm="1">
        <f t="array" ref="C1141">CleanText(B1141)</f>
        <v>good movie for my grandkidsfor me pass</v>
      </c>
      <c r="D1141">
        <v>0</v>
      </c>
      <c r="E1141">
        <v>0</v>
      </c>
      <c r="F1141" t="s">
        <v>10</v>
      </c>
      <c r="G1141" t="str" cm="1">
        <f t="array" ref="G1141">FindCountryName(F1141)</f>
        <v>None</v>
      </c>
      <c r="H1141" s="3">
        <v>45165.919270833336</v>
      </c>
      <c r="I1141" s="3">
        <v>45165.919270833336</v>
      </c>
      <c r="J1141" s="3">
        <v>39928.101053240738</v>
      </c>
      <c r="K1141" cm="1">
        <f t="array" ref="K1141">sentimentCalc(C1141)</f>
        <v>3</v>
      </c>
      <c r="L1141" t="str" cm="1">
        <f t="array" ref="L1141">sentimentCategory(K1141)</f>
        <v>Positive</v>
      </c>
    </row>
    <row r="1142" spans="1:12" x14ac:dyDescent="0.25">
      <c r="A1142" t="s">
        <v>380</v>
      </c>
      <c r="B1142" t="s">
        <v>381</v>
      </c>
      <c r="C1142" t="str" cm="1">
        <f t="array" ref="C1142">CleanText(B1142)</f>
        <v>good nice music</v>
      </c>
      <c r="D1142">
        <v>0</v>
      </c>
      <c r="E1142">
        <v>0</v>
      </c>
      <c r="F1142" t="s">
        <v>10</v>
      </c>
      <c r="G1142" t="str" cm="1">
        <f t="array" ref="G1142">FindCountryName(F1142)</f>
        <v>None</v>
      </c>
      <c r="H1142" s="3">
        <v>45322.273564814815</v>
      </c>
      <c r="I1142" s="3">
        <v>45322.273564814815</v>
      </c>
      <c r="J1142" s="3">
        <v>44158.283263888887</v>
      </c>
      <c r="K1142" cm="1">
        <f t="array" ref="K1142">sentimentCalc(C1142)</f>
        <v>6</v>
      </c>
      <c r="L1142" t="str" cm="1">
        <f t="array" ref="L1142">sentimentCategory(K1142)</f>
        <v>Positive</v>
      </c>
    </row>
    <row r="1143" spans="1:12" x14ac:dyDescent="0.25">
      <c r="A1143" t="s">
        <v>382</v>
      </c>
      <c r="B1143" t="s">
        <v>2020</v>
      </c>
      <c r="C1143" t="str" cm="1">
        <f t="array" ref="C1143">CleanText(B1143)</f>
        <v>good songs and good movie and good photo</v>
      </c>
      <c r="D1143">
        <v>0</v>
      </c>
      <c r="E1143">
        <v>0</v>
      </c>
      <c r="F1143" t="s">
        <v>10</v>
      </c>
      <c r="G1143" t="str" cm="1">
        <f t="array" ref="G1143">FindCountryName(F1143)</f>
        <v>None</v>
      </c>
      <c r="H1143" s="3">
        <v>45184.280451388891</v>
      </c>
      <c r="I1143" s="3">
        <v>45184.280451388891</v>
      </c>
      <c r="J1143" s="3">
        <v>45184.280428240738</v>
      </c>
      <c r="K1143" cm="1">
        <f t="array" ref="K1143">sentimentCalc(C1143)</f>
        <v>9</v>
      </c>
      <c r="L1143" t="str" cm="1">
        <f t="array" ref="L1143">sentimentCategory(K1143)</f>
        <v>Positive</v>
      </c>
    </row>
    <row r="1144" spans="1:12" x14ac:dyDescent="0.25">
      <c r="A1144" t="s">
        <v>197</v>
      </c>
      <c r="B1144" t="s">
        <v>651</v>
      </c>
      <c r="C1144" t="str" cm="1">
        <f t="array" ref="C1144">CleanText(B1144)</f>
        <v>good videos</v>
      </c>
      <c r="D1144">
        <v>0</v>
      </c>
      <c r="E1144">
        <v>0</v>
      </c>
      <c r="F1144" t="s">
        <v>10</v>
      </c>
      <c r="G1144" t="str" cm="1">
        <f t="array" ref="G1144">FindCountryName(F1144)</f>
        <v>None</v>
      </c>
      <c r="H1144" s="3">
        <v>45314.280451388891</v>
      </c>
      <c r="I1144" s="3">
        <v>45314.280451388891</v>
      </c>
      <c r="J1144" s="3">
        <v>42528.310694444444</v>
      </c>
      <c r="K1144" cm="1">
        <f t="array" ref="K1144">sentimentCalc(C1144)</f>
        <v>3</v>
      </c>
      <c r="L1144" t="str" cm="1">
        <f t="array" ref="L1144">sentimentCategory(K1144)</f>
        <v>Positive</v>
      </c>
    </row>
    <row r="1145" spans="1:12" x14ac:dyDescent="0.25">
      <c r="A1145" t="s">
        <v>2472</v>
      </c>
      <c r="B1145" t="s">
        <v>2473</v>
      </c>
      <c r="C1145" t="str" cm="1">
        <f t="array" ref="C1145">CleanText(B1145)</f>
        <v>good shes not black</v>
      </c>
      <c r="D1145">
        <v>0</v>
      </c>
      <c r="E1145">
        <v>0</v>
      </c>
      <c r="F1145" t="s">
        <v>10</v>
      </c>
      <c r="G1145" t="str" cm="1">
        <f t="array" ref="G1145">FindCountryName(F1145)</f>
        <v>None</v>
      </c>
      <c r="H1145" s="3">
        <v>45165.893541666665</v>
      </c>
      <c r="I1145" s="3">
        <v>45165.893541666665</v>
      </c>
      <c r="J1145" s="3">
        <v>43064.075011574074</v>
      </c>
      <c r="K1145" cm="1">
        <f t="array" ref="K1145">sentimentCalc(C1145)</f>
        <v>3</v>
      </c>
      <c r="L1145" t="str" cm="1">
        <f t="array" ref="L1145">sentimentCategory(K1145)</f>
        <v>Positive</v>
      </c>
    </row>
    <row r="1146" spans="1:12" x14ac:dyDescent="0.25">
      <c r="A1146" t="s">
        <v>2418</v>
      </c>
      <c r="B1146" t="s">
        <v>2419</v>
      </c>
      <c r="C1146" t="str" cm="1">
        <f t="array" ref="C1146">CleanText(B1146)</f>
        <v>goodygoodmovie afterall</v>
      </c>
      <c r="D1146">
        <v>0</v>
      </c>
      <c r="E1146">
        <v>0</v>
      </c>
      <c r="F1146" t="s">
        <v>2420</v>
      </c>
      <c r="G1146" t="str" cm="1">
        <f t="array" ref="G1146">FindCountryName(F1146)</f>
        <v>Spain</v>
      </c>
      <c r="H1146" s="3">
        <v>45168.139733796299</v>
      </c>
      <c r="I1146" s="3">
        <v>45168.139733796299</v>
      </c>
      <c r="J1146" s="3">
        <v>42012.023020833331</v>
      </c>
      <c r="K1146" cm="1">
        <f t="array" ref="K1146">sentimentCalc(C1146)</f>
        <v>0</v>
      </c>
      <c r="L1146" t="str" cm="1">
        <f t="array" ref="L1146">sentimentCategory(K1146)</f>
        <v>Neutral</v>
      </c>
    </row>
    <row r="1147" spans="1:12" x14ac:dyDescent="0.25">
      <c r="A1147" t="s">
        <v>150</v>
      </c>
      <c r="B1147" t="s">
        <v>151</v>
      </c>
      <c r="C1147" t="str" cm="1">
        <f t="array" ref="C1147">CleanText(B1147)</f>
        <v>goood</v>
      </c>
      <c r="D1147">
        <v>0</v>
      </c>
      <c r="E1147">
        <v>0</v>
      </c>
      <c r="F1147" t="s">
        <v>139</v>
      </c>
      <c r="G1147" t="str" cm="1">
        <f t="array" ref="G1147">FindCountryName(F1147)</f>
        <v>Turkey</v>
      </c>
      <c r="H1147" s="3">
        <v>45337.459988425922</v>
      </c>
      <c r="I1147" s="3">
        <v>45337.459988425922</v>
      </c>
      <c r="J1147" s="3">
        <v>40943.598495370374</v>
      </c>
      <c r="K1147" cm="1">
        <f t="array" ref="K1147">sentimentCalc(C1147)</f>
        <v>0</v>
      </c>
      <c r="L1147" t="str" cm="1">
        <f t="array" ref="L1147">sentimentCategory(K1147)</f>
        <v>Neutral</v>
      </c>
    </row>
    <row r="1148" spans="1:12" x14ac:dyDescent="0.25">
      <c r="A1148" t="s">
        <v>13</v>
      </c>
      <c r="B1148" t="s">
        <v>759</v>
      </c>
      <c r="C1148" t="str" cm="1">
        <f t="array" ref="C1148">CleanText(B1148)</f>
        <v>gorduguk en harika filimlerden birisi</v>
      </c>
      <c r="D1148">
        <v>0</v>
      </c>
      <c r="E1148">
        <v>0</v>
      </c>
      <c r="F1148" t="s">
        <v>10</v>
      </c>
      <c r="G1148" t="str" cm="1">
        <f t="array" ref="G1148">FindCountryName(F1148)</f>
        <v>None</v>
      </c>
      <c r="H1148" s="3">
        <v>45310.249895833331</v>
      </c>
      <c r="I1148" s="3">
        <v>45310.249895833331</v>
      </c>
      <c r="J1148" s="3">
        <v>43923.764432870368</v>
      </c>
      <c r="K1148" cm="1">
        <f t="array" ref="K1148">sentimentCalc(C1148)</f>
        <v>0</v>
      </c>
      <c r="L1148" t="str" cm="1">
        <f t="array" ref="L1148">sentimentCategory(K1148)</f>
        <v>Neutral</v>
      </c>
    </row>
    <row r="1149" spans="1:12" x14ac:dyDescent="0.25">
      <c r="A1149" t="s">
        <v>479</v>
      </c>
      <c r="B1149" t="s">
        <v>480</v>
      </c>
      <c r="C1149" t="str" cm="1">
        <f t="array" ref="C1149">CleanText(B1149)</f>
        <v>gosling was the only thing i liked there</v>
      </c>
      <c r="D1149">
        <v>0</v>
      </c>
      <c r="E1149">
        <v>0</v>
      </c>
      <c r="F1149" t="s">
        <v>10</v>
      </c>
      <c r="G1149" t="str" cm="1">
        <f t="array" ref="G1149">FindCountryName(F1149)</f>
        <v>None</v>
      </c>
      <c r="H1149" s="3">
        <v>45320.250185185185</v>
      </c>
      <c r="I1149" s="3">
        <v>45320.250185185185</v>
      </c>
      <c r="J1149" s="3">
        <v>41523.497361111113</v>
      </c>
      <c r="K1149" cm="1">
        <f t="array" ref="K1149">sentimentCalc(C1149)</f>
        <v>2</v>
      </c>
      <c r="L1149" t="str" cm="1">
        <f t="array" ref="L1149">sentimentCategory(K1149)</f>
        <v>Positive</v>
      </c>
    </row>
    <row r="1150" spans="1:12" x14ac:dyDescent="0.25">
      <c r="A1150" t="s">
        <v>600</v>
      </c>
      <c r="B1150" t="s">
        <v>1742</v>
      </c>
      <c r="C1150" t="str" cm="1">
        <f t="array" ref="C1150">CleanText(B1150)</f>
        <v>gostei</v>
      </c>
      <c r="D1150">
        <v>0</v>
      </c>
      <c r="E1150">
        <v>0</v>
      </c>
      <c r="F1150" t="s">
        <v>10</v>
      </c>
      <c r="G1150" t="str" cm="1">
        <f t="array" ref="G1150">FindCountryName(F1150)</f>
        <v>None</v>
      </c>
      <c r="H1150" s="3">
        <v>45197.572812500002</v>
      </c>
      <c r="I1150" s="3">
        <v>45197.572812500002</v>
      </c>
      <c r="J1150" s="3">
        <v>42263.282025462962</v>
      </c>
      <c r="K1150" cm="1">
        <f t="array" ref="K1150">sentimentCalc(C1150)</f>
        <v>0</v>
      </c>
      <c r="L1150" t="str" cm="1">
        <f t="array" ref="L1150">sentimentCategory(K1150)</f>
        <v>Neutral</v>
      </c>
    </row>
    <row r="1151" spans="1:12" x14ac:dyDescent="0.25">
      <c r="A1151" t="s">
        <v>986</v>
      </c>
      <c r="B1151" t="s">
        <v>1387</v>
      </c>
      <c r="C1151" t="str" cm="1">
        <f t="array" ref="C1151">CleanText(B1151)</f>
        <v>gostei legal</v>
      </c>
      <c r="D1151">
        <v>0</v>
      </c>
      <c r="E1151">
        <v>0</v>
      </c>
      <c r="F1151" t="s">
        <v>10</v>
      </c>
      <c r="G1151" t="str" cm="1">
        <f t="array" ref="G1151">FindCountryName(F1151)</f>
        <v>None</v>
      </c>
      <c r="H1151" s="3">
        <v>45234.357141203705</v>
      </c>
      <c r="I1151" s="3">
        <v>45234.357141203705</v>
      </c>
      <c r="J1151" s="3">
        <v>43837.315833333334</v>
      </c>
      <c r="K1151" cm="1">
        <f t="array" ref="K1151">sentimentCalc(C1151)</f>
        <v>1</v>
      </c>
      <c r="L1151" t="str" cm="1">
        <f t="array" ref="L1151">sentimentCategory(K1151)</f>
        <v>Positive</v>
      </c>
    </row>
    <row r="1152" spans="1:12" x14ac:dyDescent="0.25">
      <c r="A1152" t="s">
        <v>60</v>
      </c>
      <c r="B1152" t="s">
        <v>1868</v>
      </c>
      <c r="C1152" t="str" cm="1">
        <f t="array" ref="C1152">CleanText(B1152)</f>
        <v>gostei muito</v>
      </c>
      <c r="D1152">
        <v>1</v>
      </c>
      <c r="E1152">
        <v>1</v>
      </c>
      <c r="F1152" t="s">
        <v>10</v>
      </c>
      <c r="G1152" t="str" cm="1">
        <f t="array" ref="G1152">FindCountryName(F1152)</f>
        <v>None</v>
      </c>
      <c r="H1152" s="3">
        <v>45189.847013888888</v>
      </c>
      <c r="I1152" s="3">
        <v>45189.847013888888</v>
      </c>
      <c r="J1152" s="3">
        <v>43336.92087962963</v>
      </c>
      <c r="K1152" cm="1">
        <f t="array" ref="K1152">sentimentCalc(C1152)</f>
        <v>0</v>
      </c>
      <c r="L1152" t="str" cm="1">
        <f t="array" ref="L1152">sentimentCategory(K1152)</f>
        <v>Neutral</v>
      </c>
    </row>
    <row r="1153" spans="1:12" x14ac:dyDescent="0.25">
      <c r="A1153" t="s">
        <v>1895</v>
      </c>
      <c r="B1153" t="s">
        <v>1896</v>
      </c>
      <c r="C1153" t="str" cm="1">
        <f t="array" ref="C1153">CleanText(B1153)</f>
        <v>gostei muito desse filmr</v>
      </c>
      <c r="D1153">
        <v>0</v>
      </c>
      <c r="E1153">
        <v>0</v>
      </c>
      <c r="F1153" t="s">
        <v>10</v>
      </c>
      <c r="G1153" t="str" cm="1">
        <f t="array" ref="G1153">FindCountryName(F1153)</f>
        <v>None</v>
      </c>
      <c r="H1153" s="3">
        <v>45188.568298611113</v>
      </c>
      <c r="I1153" s="3">
        <v>45188.568298611113</v>
      </c>
      <c r="J1153" s="3">
        <v>40029.75608796296</v>
      </c>
      <c r="K1153" cm="1">
        <f t="array" ref="K1153">sentimentCalc(C1153)</f>
        <v>0</v>
      </c>
      <c r="L1153" t="str" cm="1">
        <f t="array" ref="L1153">sentimentCategory(K1153)</f>
        <v>Neutral</v>
      </c>
    </row>
    <row r="1154" spans="1:12" x14ac:dyDescent="0.25">
      <c r="A1154" t="s">
        <v>643</v>
      </c>
      <c r="B1154" t="s">
        <v>1331</v>
      </c>
      <c r="C1154" t="str" cm="1">
        <f t="array" ref="C1154">CleanText(B1154)</f>
        <v>gostei muito top</v>
      </c>
      <c r="D1154">
        <v>1</v>
      </c>
      <c r="E1154">
        <v>0</v>
      </c>
      <c r="F1154" t="s">
        <v>10</v>
      </c>
      <c r="G1154" t="str" cm="1">
        <f t="array" ref="G1154">FindCountryName(F1154)</f>
        <v>None</v>
      </c>
      <c r="H1154" s="3">
        <v>45243.277418981481</v>
      </c>
      <c r="I1154" s="3">
        <v>45243.277418981481</v>
      </c>
      <c r="J1154" s="3">
        <v>41179.804224537038</v>
      </c>
      <c r="K1154" cm="1">
        <f t="array" ref="K1154">sentimentCalc(C1154)</f>
        <v>2</v>
      </c>
      <c r="L1154" t="str" cm="1">
        <f t="array" ref="L1154">sentimentCategory(K1154)</f>
        <v>Positive</v>
      </c>
    </row>
    <row r="1155" spans="1:12" x14ac:dyDescent="0.25">
      <c r="A1155" t="s">
        <v>932</v>
      </c>
      <c r="B1155" t="s">
        <v>1916</v>
      </c>
      <c r="C1155" t="str" cm="1">
        <f t="array" ref="C1155">CleanText(B1155)</f>
        <v>gosto de filme de barbie muito bom engraado</v>
      </c>
      <c r="D1155">
        <v>0</v>
      </c>
      <c r="E1155">
        <v>0</v>
      </c>
      <c r="F1155" t="s">
        <v>10</v>
      </c>
      <c r="G1155" t="str" cm="1">
        <f t="array" ref="G1155">FindCountryName(F1155)</f>
        <v>None</v>
      </c>
      <c r="H1155" s="3">
        <v>45187.784166666665</v>
      </c>
      <c r="I1155" s="3">
        <v>45187.784166666665</v>
      </c>
      <c r="J1155" s="3">
        <v>44976.866307870368</v>
      </c>
      <c r="K1155" cm="1">
        <f t="array" ref="K1155">sentimentCalc(C1155)</f>
        <v>0</v>
      </c>
      <c r="L1155" t="str" cm="1">
        <f t="array" ref="L1155">sentimentCategory(K1155)</f>
        <v>Neutral</v>
      </c>
    </row>
    <row r="1156" spans="1:12" x14ac:dyDescent="0.25">
      <c r="A1156" t="s">
        <v>3566</v>
      </c>
      <c r="B1156" t="s">
        <v>3567</v>
      </c>
      <c r="C1156" t="str" cm="1">
        <f t="array" ref="C1156">CleanText(B1156)</f>
        <v>got the guns ready</v>
      </c>
      <c r="D1156">
        <v>1</v>
      </c>
      <c r="E1156">
        <v>0</v>
      </c>
      <c r="F1156" t="s">
        <v>10</v>
      </c>
      <c r="G1156" t="str" cm="1">
        <f t="array" ref="G1156">FindCountryName(F1156)</f>
        <v>None</v>
      </c>
      <c r="H1156" s="3">
        <v>45147.489629629628</v>
      </c>
      <c r="I1156" s="3">
        <v>45147.489629629628</v>
      </c>
      <c r="J1156" s="3">
        <v>44581.119988425926</v>
      </c>
      <c r="K1156" cm="1">
        <f t="array" ref="K1156">sentimentCalc(C1156)</f>
        <v>0</v>
      </c>
      <c r="L1156" t="str" cm="1">
        <f t="array" ref="L1156">sentimentCategory(K1156)</f>
        <v>Neutral</v>
      </c>
    </row>
    <row r="1157" spans="1:12" x14ac:dyDescent="0.25">
      <c r="A1157" t="s">
        <v>3009</v>
      </c>
      <c r="B1157" t="s">
        <v>3010</v>
      </c>
      <c r="C1157" t="str" cm="1">
        <f t="array" ref="C1157">CleanText(B1157)</f>
        <v>gotta appreciate ken</v>
      </c>
      <c r="D1157">
        <v>0</v>
      </c>
      <c r="E1157">
        <v>0</v>
      </c>
      <c r="F1157" t="s">
        <v>10</v>
      </c>
      <c r="G1157" t="str" cm="1">
        <f t="array" ref="G1157">FindCountryName(F1157)</f>
        <v>None</v>
      </c>
      <c r="H1157" s="3">
        <v>45154.502986111111</v>
      </c>
      <c r="I1157" s="3">
        <v>45154.502974537034</v>
      </c>
      <c r="J1157" s="3">
        <v>45071.693229166667</v>
      </c>
      <c r="K1157" cm="1">
        <f t="array" ref="K1157">sentimentCalc(C1157)</f>
        <v>2</v>
      </c>
      <c r="L1157" t="str" cm="1">
        <f t="array" ref="L1157">sentimentCategory(K1157)</f>
        <v>Positive</v>
      </c>
    </row>
    <row r="1158" spans="1:12" x14ac:dyDescent="0.25">
      <c r="A1158" t="s">
        <v>1918</v>
      </c>
      <c r="B1158" t="s">
        <v>4470</v>
      </c>
      <c r="C1158" t="str" cm="1">
        <f t="array" ref="C1158">CleanText(B1158)</f>
        <v>gotta love that empowering women can only happen by putting down men nothing says strong like writing all your men like morons and making all your women perfect</v>
      </c>
      <c r="D1158">
        <v>1</v>
      </c>
      <c r="E1158">
        <v>5</v>
      </c>
      <c r="F1158" t="s">
        <v>10</v>
      </c>
      <c r="G1158" t="str" cm="1">
        <f t="array" ref="G1158">FindCountryName(F1158)</f>
        <v>None</v>
      </c>
      <c r="H1158" s="3">
        <v>45140.090763888889</v>
      </c>
      <c r="I1158" s="3">
        <v>45140.090763888889</v>
      </c>
      <c r="J1158" s="3">
        <v>40420.857453703706</v>
      </c>
      <c r="K1158" cm="1">
        <f t="array" ref="K1158">sentimentCalc(C1158)</f>
        <v>12</v>
      </c>
      <c r="L1158" t="str" cm="1">
        <f t="array" ref="L1158">sentimentCategory(K1158)</f>
        <v>Positive</v>
      </c>
    </row>
    <row r="1159" spans="1:12" x14ac:dyDescent="0.25">
      <c r="A1159" t="s">
        <v>2221</v>
      </c>
      <c r="B1159" t="s">
        <v>2222</v>
      </c>
      <c r="C1159" t="str" cm="1">
        <f t="array" ref="C1159">CleanText(B1159)</f>
        <v>grand rollercoaster of cringe oversimplifying social issues from a skewed point of view unrealistic black and white political commentary</v>
      </c>
      <c r="D1159">
        <v>0</v>
      </c>
      <c r="E1159">
        <v>4</v>
      </c>
      <c r="F1159" t="s">
        <v>10</v>
      </c>
      <c r="G1159" t="str" cm="1">
        <f t="array" ref="G1159">FindCountryName(F1159)</f>
        <v>None</v>
      </c>
      <c r="H1159" s="3">
        <v>45175.387430555558</v>
      </c>
      <c r="I1159" s="3">
        <v>45175.387430555558</v>
      </c>
      <c r="J1159" s="3">
        <v>44398.27270833333</v>
      </c>
      <c r="K1159" cm="1">
        <f t="array" ref="K1159">sentimentCalc(C1159)</f>
        <v>3</v>
      </c>
      <c r="L1159" t="str" cm="1">
        <f t="array" ref="L1159">sentimentCategory(K1159)</f>
        <v>Positive</v>
      </c>
    </row>
    <row r="1160" spans="1:12" x14ac:dyDescent="0.25">
      <c r="A1160" t="s">
        <v>60</v>
      </c>
      <c r="B1160" t="s">
        <v>954</v>
      </c>
      <c r="C1160" t="str" cm="1">
        <f t="array" ref="C1160">CleanText(B1160)</f>
        <v>greaat</v>
      </c>
      <c r="D1160">
        <v>0</v>
      </c>
      <c r="E1160">
        <v>0</v>
      </c>
      <c r="F1160" t="s">
        <v>10</v>
      </c>
      <c r="G1160" t="str" cm="1">
        <f t="array" ref="G1160">FindCountryName(F1160)</f>
        <v>None</v>
      </c>
      <c r="H1160" s="3">
        <v>45299.256921296299</v>
      </c>
      <c r="I1160" s="3">
        <v>45299.256921296299</v>
      </c>
      <c r="J1160" s="3">
        <v>41656.727083333331</v>
      </c>
      <c r="K1160" cm="1">
        <f t="array" ref="K1160">sentimentCalc(C1160)</f>
        <v>0</v>
      </c>
      <c r="L1160" t="str" cm="1">
        <f t="array" ref="L1160">sentimentCategory(K1160)</f>
        <v>Neutral</v>
      </c>
    </row>
    <row r="1161" spans="1:12" x14ac:dyDescent="0.25">
      <c r="A1161" t="s">
        <v>481</v>
      </c>
      <c r="B1161" t="s">
        <v>710</v>
      </c>
      <c r="C1161" t="str" cm="1">
        <f t="array" ref="C1161">CleanText(B1161)</f>
        <v>great actors but a totally stupid movies</v>
      </c>
      <c r="D1161">
        <v>1</v>
      </c>
      <c r="E1161">
        <v>0</v>
      </c>
      <c r="F1161" t="s">
        <v>10</v>
      </c>
      <c r="G1161" t="str" cm="1">
        <f t="array" ref="G1161">FindCountryName(F1161)</f>
        <v>None</v>
      </c>
      <c r="H1161" s="3">
        <v>45311.855543981481</v>
      </c>
      <c r="I1161" s="3">
        <v>45311.855543981481</v>
      </c>
      <c r="J1161" s="3">
        <v>43624.973344907405</v>
      </c>
      <c r="K1161" cm="1">
        <f t="array" ref="K1161">sentimentCalc(C1161)</f>
        <v>1</v>
      </c>
      <c r="L1161" t="str" cm="1">
        <f t="array" ref="L1161">sentimentCategory(K1161)</f>
        <v>Positive</v>
      </c>
    </row>
    <row r="1162" spans="1:12" x14ac:dyDescent="0.25">
      <c r="A1162" t="s">
        <v>442</v>
      </c>
      <c r="B1162" t="s">
        <v>3897</v>
      </c>
      <c r="C1162" t="str" cm="1">
        <f t="array" ref="C1162">CleanText(B1162)</f>
        <v>great film that teaches women to recognize the patriarchy and stay woke  out of  stars</v>
      </c>
      <c r="D1162">
        <v>1</v>
      </c>
      <c r="E1162">
        <v>0</v>
      </c>
      <c r="F1162" t="s">
        <v>10</v>
      </c>
      <c r="G1162" t="str" cm="1">
        <f t="array" ref="G1162">FindCountryName(F1162)</f>
        <v>None</v>
      </c>
      <c r="H1162" s="3">
        <v>45144.641909722224</v>
      </c>
      <c r="I1162" s="3">
        <v>45144.641909722224</v>
      </c>
      <c r="J1162" s="3">
        <v>43140.229062500002</v>
      </c>
      <c r="K1162" cm="1">
        <f t="array" ref="K1162">sentimentCalc(C1162)</f>
        <v>3</v>
      </c>
      <c r="L1162" t="str" cm="1">
        <f t="array" ref="L1162">sentimentCategory(K1162)</f>
        <v>Positive</v>
      </c>
    </row>
    <row r="1163" spans="1:12" x14ac:dyDescent="0.25">
      <c r="A1163" t="s">
        <v>2988</v>
      </c>
      <c r="B1163" t="s">
        <v>2990</v>
      </c>
      <c r="C1163" t="str" cm="1">
        <f t="array" ref="C1163">CleanText(B1163)</f>
        <v>great job greta and noah</v>
      </c>
      <c r="D1163">
        <v>0</v>
      </c>
      <c r="E1163">
        <v>0</v>
      </c>
      <c r="F1163" t="s">
        <v>10</v>
      </c>
      <c r="G1163" t="str" cm="1">
        <f t="array" ref="G1163">FindCountryName(F1163)</f>
        <v>None</v>
      </c>
      <c r="H1163" s="3">
        <v>45154.720717592594</v>
      </c>
      <c r="I1163" s="3">
        <v>45154.720717592594</v>
      </c>
      <c r="J1163" s="3">
        <v>39194.194641203707</v>
      </c>
      <c r="K1163" cm="1">
        <f t="array" ref="K1163">sentimentCalc(C1163)</f>
        <v>3</v>
      </c>
      <c r="L1163" t="str" cm="1">
        <f t="array" ref="L1163">sentimentCategory(K1163)</f>
        <v>Positive</v>
      </c>
    </row>
    <row r="1164" spans="1:12" x14ac:dyDescent="0.25">
      <c r="A1164" t="s">
        <v>4043</v>
      </c>
      <c r="B1164" t="s">
        <v>4044</v>
      </c>
      <c r="C1164" t="str" cm="1">
        <f t="array" ref="C1164">CleanText(B1164)</f>
        <v>great message behind the movie but i didnt like the jokes  my daughter liked it the hype was too much</v>
      </c>
      <c r="D1164">
        <v>1</v>
      </c>
      <c r="E1164">
        <v>11</v>
      </c>
      <c r="F1164" t="s">
        <v>10</v>
      </c>
      <c r="G1164" t="str" cm="1">
        <f t="array" ref="G1164">FindCountryName(F1164)</f>
        <v>None</v>
      </c>
      <c r="H1164" s="3">
        <v>45143.430451388886</v>
      </c>
      <c r="I1164" s="3">
        <v>45143.431504629632</v>
      </c>
      <c r="J1164" s="3">
        <v>40828.256956018522</v>
      </c>
      <c r="K1164" cm="1">
        <f t="array" ref="K1164">sentimentCalc(C1164)</f>
        <v>9</v>
      </c>
      <c r="L1164" t="str" cm="1">
        <f t="array" ref="L1164">sentimentCategory(K1164)</f>
        <v>Positive</v>
      </c>
    </row>
    <row r="1165" spans="1:12" x14ac:dyDescent="0.25">
      <c r="A1165" t="s">
        <v>382</v>
      </c>
      <c r="B1165" t="s">
        <v>3879</v>
      </c>
      <c r="C1165" t="str" cm="1">
        <f t="array" ref="C1165">CleanText(B1165)</f>
        <v>great movie</v>
      </c>
      <c r="D1165">
        <v>0</v>
      </c>
      <c r="E1165">
        <v>0</v>
      </c>
      <c r="F1165" t="s">
        <v>10</v>
      </c>
      <c r="G1165" t="str" cm="1">
        <f t="array" ref="G1165">FindCountryName(F1165)</f>
        <v>None</v>
      </c>
      <c r="H1165" s="3">
        <v>45144.767638888887</v>
      </c>
      <c r="I1165" s="3">
        <v>45144.767638888887</v>
      </c>
      <c r="J1165" s="3">
        <v>45069.651354166665</v>
      </c>
      <c r="K1165" cm="1">
        <f t="array" ref="K1165">sentimentCalc(C1165)</f>
        <v>3</v>
      </c>
      <c r="L1165" t="str" cm="1">
        <f t="array" ref="L1165">sentimentCategory(K1165)</f>
        <v>Positive</v>
      </c>
    </row>
    <row r="1166" spans="1:12" x14ac:dyDescent="0.25">
      <c r="A1166" t="s">
        <v>2861</v>
      </c>
      <c r="B1166" t="s">
        <v>2862</v>
      </c>
      <c r="C1166" t="str" cm="1">
        <f t="array" ref="C1166">CleanText(B1166)</f>
        <v>great movie ive seen it d</v>
      </c>
      <c r="D1166">
        <v>0</v>
      </c>
      <c r="E1166">
        <v>0</v>
      </c>
      <c r="F1166" t="s">
        <v>10</v>
      </c>
      <c r="G1166" t="str" cm="1">
        <f t="array" ref="G1166">FindCountryName(F1166)</f>
        <v>None</v>
      </c>
      <c r="H1166" s="3">
        <v>45156.740173611113</v>
      </c>
      <c r="I1166" s="3">
        <v>45156.740162037036</v>
      </c>
      <c r="J1166" s="3">
        <v>43923.58898148148</v>
      </c>
      <c r="K1166" cm="1">
        <f t="array" ref="K1166">sentimentCalc(C1166)</f>
        <v>3</v>
      </c>
      <c r="L1166" t="str" cm="1">
        <f t="array" ref="L1166">sentimentCategory(K1166)</f>
        <v>Positive</v>
      </c>
    </row>
    <row r="1167" spans="1:12" x14ac:dyDescent="0.25">
      <c r="A1167" t="s">
        <v>4425</v>
      </c>
      <c r="B1167" t="s">
        <v>4426</v>
      </c>
      <c r="C1167" t="str" cm="1">
        <f t="array" ref="C1167">CleanText(B1167)</f>
        <v>great movie</v>
      </c>
      <c r="D1167">
        <v>0</v>
      </c>
      <c r="E1167">
        <v>1</v>
      </c>
      <c r="F1167" t="s">
        <v>227</v>
      </c>
      <c r="G1167" t="str" cm="1">
        <f t="array" ref="G1167">FindCountryName(F1167)</f>
        <v>United States of America (the)</v>
      </c>
      <c r="H1167" s="3">
        <v>45140.352673611109</v>
      </c>
      <c r="I1167" s="3">
        <v>45140.352673611109</v>
      </c>
      <c r="J1167" s="3">
        <v>44244.282604166663</v>
      </c>
      <c r="K1167" cm="1">
        <f t="array" ref="K1167">sentimentCalc(C1167)</f>
        <v>3</v>
      </c>
      <c r="L1167" t="str" cm="1">
        <f t="array" ref="L1167">sentimentCategory(K1167)</f>
        <v>Positive</v>
      </c>
    </row>
    <row r="1168" spans="1:12" x14ac:dyDescent="0.25">
      <c r="A1168" t="s">
        <v>1117</v>
      </c>
      <c r="B1168" t="s">
        <v>2699</v>
      </c>
      <c r="C1168" t="str" cm="1">
        <f t="array" ref="C1168">CleanText(B1168)</f>
        <v>great movie loved every second of it costumes plot cast perfect and it was hilarious too</v>
      </c>
      <c r="D1168">
        <v>6</v>
      </c>
      <c r="E1168">
        <v>0</v>
      </c>
      <c r="F1168" t="s">
        <v>10</v>
      </c>
      <c r="G1168" t="str" cm="1">
        <f t="array" ref="G1168">FindCountryName(F1168)</f>
        <v>None</v>
      </c>
      <c r="H1168" s="3">
        <v>45159.693043981482</v>
      </c>
      <c r="I1168" s="3">
        <v>45159.693043981482</v>
      </c>
      <c r="J1168" s="3">
        <v>42485.41710648148</v>
      </c>
      <c r="K1168" cm="1">
        <f t="array" ref="K1168">sentimentCalc(C1168)</f>
        <v>11</v>
      </c>
      <c r="L1168" t="str" cm="1">
        <f t="array" ref="L1168">sentimentCategory(K1168)</f>
        <v>Positive</v>
      </c>
    </row>
    <row r="1169" spans="1:12" x14ac:dyDescent="0.25">
      <c r="A1169" t="s">
        <v>228</v>
      </c>
      <c r="B1169" t="s">
        <v>1943</v>
      </c>
      <c r="C1169" t="str" cm="1">
        <f t="array" ref="C1169">CleanText(B1169)</f>
        <v>great picture just like uncle sam who has slaughtered native indians africans and japanese like insectsthank you i will never watch a warner bros movie again</v>
      </c>
      <c r="D1169">
        <v>1</v>
      </c>
      <c r="E1169">
        <v>2</v>
      </c>
      <c r="F1169" t="s">
        <v>10</v>
      </c>
      <c r="G1169" t="str" cm="1">
        <f t="array" ref="G1169">FindCountryName(F1169)</f>
        <v>None</v>
      </c>
      <c r="H1169" s="3">
        <v>45187.132118055553</v>
      </c>
      <c r="I1169" s="3">
        <v>45187.132118055553</v>
      </c>
      <c r="J1169" s="3">
        <v>41692.703587962962</v>
      </c>
      <c r="K1169" cm="1">
        <f t="array" ref="K1169">sentimentCalc(C1169)</f>
        <v>7</v>
      </c>
      <c r="L1169" t="str" cm="1">
        <f t="array" ref="L1169">sentimentCategory(K1169)</f>
        <v>Positive</v>
      </c>
    </row>
    <row r="1170" spans="1:12" x14ac:dyDescent="0.25">
      <c r="A1170" t="s">
        <v>141</v>
      </c>
      <c r="B1170" t="s">
        <v>142</v>
      </c>
      <c r="C1170" t="str" cm="1">
        <f t="array" ref="C1170">CleanText(B1170)</f>
        <v>great trailer</v>
      </c>
      <c r="D1170">
        <v>0</v>
      </c>
      <c r="E1170">
        <v>0</v>
      </c>
      <c r="F1170" t="s">
        <v>10</v>
      </c>
      <c r="G1170" t="str" cm="1">
        <f t="array" ref="G1170">FindCountryName(F1170)</f>
        <v>None</v>
      </c>
      <c r="H1170" s="3">
        <v>45337.461157407408</v>
      </c>
      <c r="I1170" s="3">
        <v>45337.461157407408</v>
      </c>
      <c r="J1170" s="3">
        <v>43722.646493055552</v>
      </c>
      <c r="K1170" cm="1">
        <f t="array" ref="K1170">sentimentCalc(C1170)</f>
        <v>3</v>
      </c>
      <c r="L1170" t="str" cm="1">
        <f t="array" ref="L1170">sentimentCategory(K1170)</f>
        <v>Positive</v>
      </c>
    </row>
    <row r="1171" spans="1:12" x14ac:dyDescent="0.25">
      <c r="A1171" t="s">
        <v>2523</v>
      </c>
      <c r="B1171" t="s">
        <v>2524</v>
      </c>
      <c r="C1171" t="str" cm="1">
        <f t="array" ref="C1171">CleanText(B1171)</f>
        <v>greetings from kolkata india</v>
      </c>
      <c r="D1171">
        <v>1</v>
      </c>
      <c r="E1171">
        <v>1</v>
      </c>
      <c r="F1171" t="s">
        <v>10</v>
      </c>
      <c r="G1171" t="str" cm="1">
        <f t="array" ref="G1171">FindCountryName(F1171)</f>
        <v>None</v>
      </c>
      <c r="H1171" s="3">
        <v>45164.366203703707</v>
      </c>
      <c r="I1171" s="3">
        <v>45164.366203703707</v>
      </c>
      <c r="J1171" s="3">
        <v>43229.30605324074</v>
      </c>
      <c r="K1171" cm="1">
        <f t="array" ref="K1171">sentimentCalc(C1171)</f>
        <v>2</v>
      </c>
      <c r="L1171" t="str" cm="1">
        <f t="array" ref="L1171">sentimentCategory(K1171)</f>
        <v>Positive</v>
      </c>
    </row>
    <row r="1172" spans="1:12" x14ac:dyDescent="0.25">
      <c r="A1172" t="s">
        <v>462</v>
      </c>
      <c r="B1172" t="s">
        <v>797</v>
      </c>
      <c r="C1172" t="str" cm="1">
        <f t="array" ref="C1172">CleanText(B1172)</f>
        <v>greta gerwig gerekten ok iyi film ars keyifliydi</v>
      </c>
      <c r="D1172">
        <v>0</v>
      </c>
      <c r="E1172">
        <v>0</v>
      </c>
      <c r="F1172" t="s">
        <v>10</v>
      </c>
      <c r="G1172" t="str" cm="1">
        <f t="array" ref="G1172">FindCountryName(F1172)</f>
        <v>None</v>
      </c>
      <c r="H1172" s="3">
        <v>45308.251261574071</v>
      </c>
      <c r="I1172" s="3">
        <v>45308.251261574071</v>
      </c>
      <c r="J1172" s="3">
        <v>42664.189039351855</v>
      </c>
      <c r="K1172" cm="1">
        <f t="array" ref="K1172">sentimentCalc(C1172)</f>
        <v>0</v>
      </c>
      <c r="L1172" t="str" cm="1">
        <f t="array" ref="L1172">sentimentCategory(K1172)</f>
        <v>Neutral</v>
      </c>
    </row>
    <row r="1173" spans="1:12" x14ac:dyDescent="0.25">
      <c r="A1173" t="s">
        <v>378</v>
      </c>
      <c r="B1173" t="s">
        <v>821</v>
      </c>
      <c r="C1173" t="str" cm="1">
        <f t="array" ref="C1173">CleanText(B1173)</f>
        <v>greta gerwig is a genius thank you for creating a masterpiece</v>
      </c>
      <c r="D1173">
        <v>2</v>
      </c>
      <c r="E1173">
        <v>0</v>
      </c>
      <c r="F1173" t="s">
        <v>10</v>
      </c>
      <c r="G1173" t="str" cm="1">
        <f t="array" ref="G1173">FindCountryName(F1173)</f>
        <v>None</v>
      </c>
      <c r="H1173" s="3">
        <v>45305.135405092595</v>
      </c>
      <c r="I1173" s="3">
        <v>45305.135405092595</v>
      </c>
      <c r="J1173" s="3">
        <v>42789.863171296296</v>
      </c>
      <c r="K1173" cm="1">
        <f t="array" ref="K1173">sentimentCalc(C1173)</f>
        <v>6</v>
      </c>
      <c r="L1173" t="str" cm="1">
        <f t="array" ref="L1173">sentimentCategory(K1173)</f>
        <v>Positive</v>
      </c>
    </row>
    <row r="1174" spans="1:12" x14ac:dyDescent="0.25">
      <c r="A1174" t="s">
        <v>1173</v>
      </c>
      <c r="B1174" t="s">
        <v>1174</v>
      </c>
      <c r="C1174" t="str" cm="1">
        <f t="array" ref="C1174">CleanText(B1174)</f>
        <v>greta gerwig sums up  years of feminist theory throughbarbie now thats just plain brilliant as are margot robbie and ryan gosling</v>
      </c>
      <c r="D1174">
        <v>1</v>
      </c>
      <c r="E1174">
        <v>0</v>
      </c>
      <c r="F1174" t="s">
        <v>10</v>
      </c>
      <c r="G1174" t="str" cm="1">
        <f t="array" ref="G1174">FindCountryName(F1174)</f>
        <v>None</v>
      </c>
      <c r="H1174" s="3">
        <v>45280.734189814815</v>
      </c>
      <c r="I1174" s="3">
        <v>45280.734189814815</v>
      </c>
      <c r="J1174" s="3">
        <v>43792.873055555552</v>
      </c>
      <c r="K1174" cm="1">
        <f t="array" ref="K1174">sentimentCalc(C1174)</f>
        <v>4</v>
      </c>
      <c r="L1174" t="str" cm="1">
        <f t="array" ref="L1174">sentimentCategory(K1174)</f>
        <v>Positive</v>
      </c>
    </row>
    <row r="1175" spans="1:12" x14ac:dyDescent="0.25">
      <c r="A1175" t="s">
        <v>444</v>
      </c>
      <c r="B1175" t="s">
        <v>2270</v>
      </c>
      <c r="C1175" t="str" cm="1">
        <f t="array" ref="C1175">CleanText(B1175)</f>
        <v>greta gerwig talks about feminism and she made a man to divorce his wife for herridiculous</v>
      </c>
      <c r="D1175">
        <v>2</v>
      </c>
      <c r="E1175">
        <v>3</v>
      </c>
      <c r="F1175" t="s">
        <v>10</v>
      </c>
      <c r="G1175" t="str" cm="1">
        <f t="array" ref="G1175">FindCountryName(F1175)</f>
        <v>None</v>
      </c>
      <c r="H1175" s="3">
        <v>45173.137881944444</v>
      </c>
      <c r="I1175" s="3">
        <v>45173.137881944444</v>
      </c>
      <c r="J1175" s="3">
        <v>45135.196006944447</v>
      </c>
      <c r="K1175" cm="1">
        <f t="array" ref="K1175">sentimentCalc(C1175)</f>
        <v>0</v>
      </c>
      <c r="L1175" t="str" cm="1">
        <f t="array" ref="L1175">sentimentCategory(K1175)</f>
        <v>Neutral</v>
      </c>
    </row>
    <row r="1176" spans="1:12" x14ac:dyDescent="0.25">
      <c r="A1176" t="s">
        <v>986</v>
      </c>
      <c r="B1176" t="s">
        <v>1212</v>
      </c>
      <c r="C1176" t="str" cm="1">
        <f t="array" ref="C1176">CleanText(B1176)</f>
        <v>greta gerwig the barbie movie tonight on hbo</v>
      </c>
      <c r="D1176">
        <v>0</v>
      </c>
      <c r="E1176">
        <v>0</v>
      </c>
      <c r="F1176" t="s">
        <v>10</v>
      </c>
      <c r="G1176" t="str" cm="1">
        <f t="array" ref="G1176">FindCountryName(F1176)</f>
        <v>None</v>
      </c>
      <c r="H1176" s="3">
        <v>45275.909467592595</v>
      </c>
      <c r="I1176" s="3">
        <v>45275.909467592595</v>
      </c>
      <c r="J1176" s="3">
        <v>41860.751736111109</v>
      </c>
      <c r="K1176" cm="1">
        <f t="array" ref="K1176">sentimentCalc(C1176)</f>
        <v>0</v>
      </c>
      <c r="L1176" t="str" cm="1">
        <f t="array" ref="L1176">sentimentCategory(K1176)</f>
        <v>Neutral</v>
      </c>
    </row>
    <row r="1177" spans="1:12" x14ac:dyDescent="0.25">
      <c r="A1177" t="s">
        <v>2315</v>
      </c>
      <c r="B1177" t="s">
        <v>2317</v>
      </c>
      <c r="C1177" t="str" cm="1">
        <f t="array" ref="C1177">CleanText(B1177)</f>
        <v>greta we hardly knew ye</v>
      </c>
      <c r="D1177">
        <v>0</v>
      </c>
      <c r="E1177">
        <v>0</v>
      </c>
      <c r="F1177" t="s">
        <v>10</v>
      </c>
      <c r="G1177" t="str" cm="1">
        <f t="array" ref="G1177">FindCountryName(F1177)</f>
        <v>None</v>
      </c>
      <c r="H1177" s="3">
        <v>45172.073171296295</v>
      </c>
      <c r="I1177" s="3">
        <v>45172.073171296295</v>
      </c>
      <c r="J1177" s="3">
        <v>44011.731273148151</v>
      </c>
      <c r="K1177" cm="1">
        <f t="array" ref="K1177">sentimentCalc(C1177)</f>
        <v>0</v>
      </c>
      <c r="L1177" t="str" cm="1">
        <f t="array" ref="L1177">sentimentCategory(K1177)</f>
        <v>Neutral</v>
      </c>
    </row>
    <row r="1178" spans="1:12" x14ac:dyDescent="0.25">
      <c r="A1178" t="s">
        <v>1105</v>
      </c>
      <c r="B1178" t="s">
        <v>1106</v>
      </c>
      <c r="C1178" t="str" cm="1">
        <f t="array" ref="C1178">CleanText(B1178)</f>
        <v>groartig</v>
      </c>
      <c r="D1178">
        <v>0</v>
      </c>
      <c r="E1178">
        <v>0</v>
      </c>
      <c r="F1178" t="s">
        <v>10</v>
      </c>
      <c r="G1178" t="str" cm="1">
        <f t="array" ref="G1178">FindCountryName(F1178)</f>
        <v>None</v>
      </c>
      <c r="H1178" s="3">
        <v>45289.469641203701</v>
      </c>
      <c r="I1178" s="3">
        <v>45289.469641203701</v>
      </c>
      <c r="J1178" s="3">
        <v>39742.40253472222</v>
      </c>
      <c r="K1178" cm="1">
        <f t="array" ref="K1178">sentimentCalc(C1178)</f>
        <v>0</v>
      </c>
      <c r="L1178" t="str" cm="1">
        <f t="array" ref="L1178">sentimentCategory(K1178)</f>
        <v>Neutral</v>
      </c>
    </row>
    <row r="1179" spans="1:12" x14ac:dyDescent="0.25">
      <c r="A1179" t="s">
        <v>395</v>
      </c>
      <c r="B1179" t="s">
        <v>1250</v>
      </c>
      <c r="C1179" t="str" cm="1">
        <f t="array" ref="C1179">CleanText(B1179)</f>
        <v>gta  trailer got more views than this movie trailer</v>
      </c>
      <c r="D1179">
        <v>2</v>
      </c>
      <c r="E1179">
        <v>3</v>
      </c>
      <c r="F1179" t="s">
        <v>10</v>
      </c>
      <c r="G1179" t="str" cm="1">
        <f t="array" ref="G1179">FindCountryName(F1179)</f>
        <v>None</v>
      </c>
      <c r="H1179" s="3">
        <v>45268.483449074076</v>
      </c>
      <c r="I1179" s="3">
        <v>45268.842442129629</v>
      </c>
      <c r="J1179" s="3">
        <v>42390.240231481483</v>
      </c>
      <c r="K1179" cm="1">
        <f t="array" ref="K1179">sentimentCalc(C1179)</f>
        <v>0</v>
      </c>
      <c r="L1179" t="str" cm="1">
        <f t="array" ref="L1179">sentimentCategory(K1179)</f>
        <v>Neutral</v>
      </c>
    </row>
    <row r="1180" spans="1:12" x14ac:dyDescent="0.25">
      <c r="A1180" t="s">
        <v>819</v>
      </c>
      <c r="B1180" t="s">
        <v>1241</v>
      </c>
      <c r="C1180" t="str" cm="1">
        <f t="array" ref="C1180">CleanText(B1180)</f>
        <v>gta vi trailer</v>
      </c>
      <c r="D1180">
        <v>3</v>
      </c>
      <c r="E1180">
        <v>0</v>
      </c>
      <c r="F1180" t="s">
        <v>10</v>
      </c>
      <c r="G1180" t="str" cm="1">
        <f t="array" ref="G1180">FindCountryName(F1180)</f>
        <v>None</v>
      </c>
      <c r="H1180" s="3">
        <v>45270.870821759258</v>
      </c>
      <c r="I1180" s="3">
        <v>45270.870821759258</v>
      </c>
      <c r="J1180" s="3">
        <v>43491.584016203706</v>
      </c>
      <c r="K1180" cm="1">
        <f t="array" ref="K1180">sentimentCalc(C1180)</f>
        <v>0</v>
      </c>
      <c r="L1180" t="str" cm="1">
        <f t="array" ref="L1180">sentimentCategory(K1180)</f>
        <v>Neutral</v>
      </c>
    </row>
    <row r="1181" spans="1:12" x14ac:dyDescent="0.25">
      <c r="A1181" t="s">
        <v>3017</v>
      </c>
      <c r="B1181" t="s">
        <v>3018</v>
      </c>
      <c r="C1181" t="str" cm="1">
        <f t="array" ref="C1181">CleanText(B1181)</f>
        <v>guess what harley queen is actually the barbie from the new barbie movie</v>
      </c>
      <c r="D1181">
        <v>0</v>
      </c>
      <c r="E1181">
        <v>0</v>
      </c>
      <c r="F1181" t="s">
        <v>10</v>
      </c>
      <c r="G1181" t="str" cm="1">
        <f t="array" ref="G1181">FindCountryName(F1181)</f>
        <v>None</v>
      </c>
      <c r="H1181" s="3">
        <v>45154.452650462961</v>
      </c>
      <c r="I1181" s="3">
        <v>45154.452650462961</v>
      </c>
      <c r="J1181" s="3">
        <v>45086.864918981482</v>
      </c>
      <c r="K1181" cm="1">
        <f t="array" ref="K1181">sentimentCalc(C1181)</f>
        <v>0</v>
      </c>
      <c r="L1181" t="str" cm="1">
        <f t="array" ref="L1181">sentimentCategory(K1181)</f>
        <v>Neutral</v>
      </c>
    </row>
    <row r="1182" spans="1:12" x14ac:dyDescent="0.25">
      <c r="A1182" t="s">
        <v>2616</v>
      </c>
      <c r="B1182" t="s">
        <v>2618</v>
      </c>
      <c r="C1182" t="str" cm="1">
        <f t="array" ref="C1182">CleanText(B1182)</f>
        <v>guys dont watch this movie is very very bad it also not for every one</v>
      </c>
      <c r="D1182">
        <v>0</v>
      </c>
      <c r="E1182">
        <v>0</v>
      </c>
      <c r="F1182" t="s">
        <v>10</v>
      </c>
      <c r="G1182" t="str" cm="1">
        <f t="array" ref="G1182">FindCountryName(F1182)</f>
        <v>None</v>
      </c>
      <c r="H1182" s="3">
        <v>45161.784189814818</v>
      </c>
      <c r="I1182" s="3">
        <v>45161.784189814818</v>
      </c>
      <c r="J1182" s="3">
        <v>44749.537916666668</v>
      </c>
      <c r="K1182" cm="1">
        <f t="array" ref="K1182">sentimentCalc(C1182)</f>
        <v>-3</v>
      </c>
      <c r="L1182" t="str" cm="1">
        <f t="array" ref="L1182">sentimentCategory(K1182)</f>
        <v>Negative</v>
      </c>
    </row>
    <row r="1183" spans="1:12" x14ac:dyDescent="0.25">
      <c r="A1183" t="s">
        <v>237</v>
      </c>
      <c r="B1183" t="s">
        <v>238</v>
      </c>
      <c r="C1183" t="str" cm="1">
        <f t="array" ref="C1183">CleanText(B1183)</f>
        <v>guys isnt it so funny that theres hardly any fat barbies on here hilarious  i bet all those fat models hate this film and the few ones that are in the movie my god they used so much more fabric on their costumes lolololol</v>
      </c>
      <c r="D1183">
        <v>0</v>
      </c>
      <c r="E1183">
        <v>0</v>
      </c>
      <c r="F1183" t="s">
        <v>10</v>
      </c>
      <c r="G1183" t="str" cm="1">
        <f t="array" ref="G1183">FindCountryName(F1183)</f>
        <v>None</v>
      </c>
      <c r="H1183" s="3">
        <v>45327.834849537037</v>
      </c>
      <c r="I1183" s="3">
        <v>45327.834849537037</v>
      </c>
      <c r="J1183" s="3">
        <v>43903.777615740742</v>
      </c>
      <c r="K1183" cm="1">
        <f t="array" ref="K1183">sentimentCalc(C1183)</f>
        <v>4</v>
      </c>
      <c r="L1183" t="str" cm="1">
        <f t="array" ref="L1183">sentimentCategory(K1183)</f>
        <v>Positive</v>
      </c>
    </row>
    <row r="1184" spans="1:12" x14ac:dyDescent="0.25">
      <c r="A1184" t="s">
        <v>830</v>
      </c>
      <c r="B1184" t="s">
        <v>3276</v>
      </c>
      <c r="C1184" t="str" cm="1">
        <f t="array" ref="C1184">CleanText(B1184)</f>
        <v>guys save your money this movie was so rubbish you wont believe it it is so bad</v>
      </c>
      <c r="D1184">
        <v>3</v>
      </c>
      <c r="E1184">
        <v>0</v>
      </c>
      <c r="F1184" t="s">
        <v>10</v>
      </c>
      <c r="G1184" t="str" cm="1">
        <f t="array" ref="G1184">FindCountryName(F1184)</f>
        <v>None</v>
      </c>
      <c r="H1184" s="3">
        <v>45150.892164351855</v>
      </c>
      <c r="I1184" s="3">
        <v>45150.892164351855</v>
      </c>
      <c r="J1184" s="3">
        <v>43633.750451388885</v>
      </c>
      <c r="K1184" cm="1">
        <f t="array" ref="K1184">sentimentCalc(C1184)</f>
        <v>-1</v>
      </c>
      <c r="L1184" t="str" cm="1">
        <f t="array" ref="L1184">sentimentCategory(K1184)</f>
        <v>Negative</v>
      </c>
    </row>
    <row r="1185" spans="1:12" x14ac:dyDescent="0.25">
      <c r="A1185" t="s">
        <v>197</v>
      </c>
      <c r="B1185" t="s">
        <v>2776</v>
      </c>
      <c r="C1185" t="str" cm="1">
        <f t="array" ref="C1185">CleanText(B1185)</f>
        <v>guysthen shower when i have food i need my soon</v>
      </c>
      <c r="D1185">
        <v>0</v>
      </c>
      <c r="E1185">
        <v>0</v>
      </c>
      <c r="F1185" t="s">
        <v>10</v>
      </c>
      <c r="G1185" t="str" cm="1">
        <f t="array" ref="G1185">FindCountryName(F1185)</f>
        <v>None</v>
      </c>
      <c r="H1185" s="3">
        <v>45158.124583333331</v>
      </c>
      <c r="I1185" s="3">
        <v>45158.124583333331</v>
      </c>
      <c r="J1185" s="3">
        <v>44700.343958333331</v>
      </c>
      <c r="K1185" cm="1">
        <f t="array" ref="K1185">sentimentCalc(C1185)</f>
        <v>0</v>
      </c>
      <c r="L1185" t="str" cm="1">
        <f t="array" ref="L1185">sentimentCategory(K1185)</f>
        <v>Neutral</v>
      </c>
    </row>
    <row r="1186" spans="1:12" x14ac:dyDescent="0.25">
      <c r="A1186" t="s">
        <v>269</v>
      </c>
      <c r="B1186" t="s">
        <v>522</v>
      </c>
      <c r="C1186" t="str" cm="1">
        <f t="array" ref="C1186">CleanText(B1186)</f>
        <v>guzel</v>
      </c>
      <c r="D1186">
        <v>0</v>
      </c>
      <c r="E1186">
        <v>0</v>
      </c>
      <c r="F1186" t="s">
        <v>10</v>
      </c>
      <c r="G1186" t="str" cm="1">
        <f t="array" ref="G1186">FindCountryName(F1186)</f>
        <v>None</v>
      </c>
      <c r="H1186" s="3">
        <v>45317.308217592596</v>
      </c>
      <c r="I1186" s="3">
        <v>45317.308217592596</v>
      </c>
      <c r="J1186" s="3">
        <v>44867.400231481479</v>
      </c>
      <c r="K1186" cm="1">
        <f t="array" ref="K1186">sentimentCalc(C1186)</f>
        <v>0</v>
      </c>
      <c r="L1186" t="str" cm="1">
        <f t="array" ref="L1186">sentimentCategory(K1186)</f>
        <v>Neutral</v>
      </c>
    </row>
    <row r="1187" spans="1:12" x14ac:dyDescent="0.25">
      <c r="A1187" t="s">
        <v>573</v>
      </c>
      <c r="B1187" t="s">
        <v>574</v>
      </c>
      <c r="C1187" t="str" cm="1">
        <f t="array" ref="C1187">CleanText(B1187)</f>
        <v>guzel bir filmdi izlemeyi dusunuyorum</v>
      </c>
      <c r="D1187">
        <v>0</v>
      </c>
      <c r="E1187">
        <v>0</v>
      </c>
      <c r="F1187" t="s">
        <v>10</v>
      </c>
      <c r="G1187" t="str" cm="1">
        <f t="array" ref="G1187">FindCountryName(F1187)</f>
        <v>None</v>
      </c>
      <c r="H1187" s="3">
        <v>45317.273009259261</v>
      </c>
      <c r="I1187" s="3">
        <v>45317.273009259261</v>
      </c>
      <c r="J1187" s="3">
        <v>42594.533263888887</v>
      </c>
      <c r="K1187" cm="1">
        <f t="array" ref="K1187">sentimentCalc(C1187)</f>
        <v>0</v>
      </c>
      <c r="L1187" t="str" cm="1">
        <f t="array" ref="L1187">sentimentCategory(K1187)</f>
        <v>Neutral</v>
      </c>
    </row>
    <row r="1188" spans="1:12" x14ac:dyDescent="0.25">
      <c r="A1188" t="s">
        <v>304</v>
      </c>
      <c r="B1188" t="s">
        <v>305</v>
      </c>
      <c r="C1188" t="str" cm="1">
        <f t="array" ref="C1188">CleanText(B1188)</f>
        <v>guzel bir ikili olmu bir her ikisininde bir ok filmini izledim barbie guzel bir romantik komediye benziyor</v>
      </c>
      <c r="D1188">
        <v>0</v>
      </c>
      <c r="E1188">
        <v>0</v>
      </c>
      <c r="F1188" t="s">
        <v>10</v>
      </c>
      <c r="G1188" t="str" cm="1">
        <f t="array" ref="G1188">FindCountryName(F1188)</f>
        <v>None</v>
      </c>
      <c r="H1188" s="3">
        <v>45322.358391203707</v>
      </c>
      <c r="I1188" s="3">
        <v>45322.358391203707</v>
      </c>
      <c r="J1188" s="3">
        <v>41920.649375000001</v>
      </c>
      <c r="K1188" cm="1">
        <f t="array" ref="K1188">sentimentCalc(C1188)</f>
        <v>0</v>
      </c>
      <c r="L1188" t="str" cm="1">
        <f t="array" ref="L1188">sentimentCategory(K1188)</f>
        <v>Neutral</v>
      </c>
    </row>
    <row r="1189" spans="1:12" x14ac:dyDescent="0.25">
      <c r="A1189" t="s">
        <v>122</v>
      </c>
      <c r="B1189" t="s">
        <v>123</v>
      </c>
      <c r="C1189" t="str" cm="1">
        <f t="array" ref="C1189">CleanText(B1189)</f>
        <v>guzell gzel</v>
      </c>
      <c r="D1189">
        <v>0</v>
      </c>
      <c r="E1189">
        <v>0</v>
      </c>
      <c r="F1189" t="s">
        <v>10</v>
      </c>
      <c r="G1189" t="str" cm="1">
        <f t="array" ref="G1189">FindCountryName(F1189)</f>
        <v>None</v>
      </c>
      <c r="H1189" s="3">
        <v>45337.469201388885</v>
      </c>
      <c r="I1189" s="3">
        <v>45337.469201388885</v>
      </c>
      <c r="J1189" s="3">
        <v>44163.30296296296</v>
      </c>
      <c r="K1189" cm="1">
        <f t="array" ref="K1189">sentimentCalc(C1189)</f>
        <v>0</v>
      </c>
      <c r="L1189" t="str" cm="1">
        <f t="array" ref="L1189">sentimentCategory(K1189)</f>
        <v>Neutral</v>
      </c>
    </row>
    <row r="1190" spans="1:12" x14ac:dyDescent="0.25">
      <c r="A1190" t="s">
        <v>629</v>
      </c>
      <c r="B1190" t="s">
        <v>1847</v>
      </c>
      <c r="C1190" t="str" cm="1">
        <f t="array" ref="C1190">CleanText(B1190)</f>
        <v>gy film</v>
      </c>
      <c r="D1190">
        <v>0</v>
      </c>
      <c r="E1190">
        <v>0</v>
      </c>
      <c r="F1190" t="s">
        <v>10</v>
      </c>
      <c r="G1190" t="str" cm="1">
        <f t="array" ref="G1190">FindCountryName(F1190)</f>
        <v>None</v>
      </c>
      <c r="H1190" s="3">
        <v>45190.985243055555</v>
      </c>
      <c r="I1190" s="3">
        <v>45190.985243055555</v>
      </c>
      <c r="J1190" s="3">
        <v>43423.128368055557</v>
      </c>
      <c r="K1190" cm="1">
        <f t="array" ref="K1190">sentimentCalc(C1190)</f>
        <v>0</v>
      </c>
      <c r="L1190" t="str" cm="1">
        <f t="array" ref="L1190">sentimentCategory(K1190)</f>
        <v>Neutral</v>
      </c>
    </row>
    <row r="1191" spans="1:12" x14ac:dyDescent="0.25">
      <c r="A1191" t="s">
        <v>853</v>
      </c>
      <c r="B1191" t="s">
        <v>2718</v>
      </c>
      <c r="C1191" t="str" cm="1">
        <f t="array" ref="C1191">CleanText(B1191)</f>
        <v>gza</v>
      </c>
      <c r="D1191">
        <v>1</v>
      </c>
      <c r="E1191">
        <v>0</v>
      </c>
      <c r="F1191" t="s">
        <v>10</v>
      </c>
      <c r="G1191" t="str" cm="1">
        <f t="array" ref="G1191">FindCountryName(F1191)</f>
        <v>None</v>
      </c>
      <c r="H1191" s="3">
        <v>45159.342766203707</v>
      </c>
      <c r="I1191" s="3">
        <v>45159.342766203707</v>
      </c>
      <c r="J1191" s="3">
        <v>41611.530393518522</v>
      </c>
      <c r="K1191" cm="1">
        <f t="array" ref="K1191">sentimentCalc(C1191)</f>
        <v>0</v>
      </c>
      <c r="L1191" t="str" cm="1">
        <f t="array" ref="L1191">sentimentCategory(K1191)</f>
        <v>Neutral</v>
      </c>
    </row>
    <row r="1192" spans="1:12" x14ac:dyDescent="0.25">
      <c r="A1192" t="s">
        <v>3472</v>
      </c>
      <c r="B1192" t="s">
        <v>3473</v>
      </c>
      <c r="C1192" t="str" cm="1">
        <f t="array" ref="C1192">CleanText(B1192)</f>
        <v>hpnadsvckande</v>
      </c>
      <c r="D1192">
        <v>0</v>
      </c>
      <c r="E1192">
        <v>0</v>
      </c>
      <c r="F1192" t="s">
        <v>10</v>
      </c>
      <c r="G1192" t="str" cm="1">
        <f t="array" ref="G1192">FindCountryName(F1192)</f>
        <v>None</v>
      </c>
      <c r="H1192" s="3">
        <v>45148.53460648148</v>
      </c>
      <c r="I1192" s="3">
        <v>45148.53460648148</v>
      </c>
      <c r="J1192" s="3">
        <v>45148.529293981483</v>
      </c>
      <c r="K1192" cm="1">
        <f t="array" ref="K1192">sentimentCalc(C1192)</f>
        <v>0</v>
      </c>
      <c r="L1192" t="str" cm="1">
        <f t="array" ref="L1192">sentimentCategory(K1192)</f>
        <v>Neutral</v>
      </c>
    </row>
    <row r="1193" spans="1:12" x14ac:dyDescent="0.25">
      <c r="A1193" t="s">
        <v>205</v>
      </c>
      <c r="B1193" t="s">
        <v>3021</v>
      </c>
      <c r="C1193" t="str" cm="1">
        <f t="array" ref="C1193">CleanText(B1193)</f>
        <v>ha</v>
      </c>
      <c r="D1193">
        <v>0</v>
      </c>
      <c r="E1193">
        <v>0</v>
      </c>
      <c r="F1193" t="s">
        <v>10</v>
      </c>
      <c r="G1193" t="str" cm="1">
        <f t="array" ref="G1193">FindCountryName(F1193)</f>
        <v>None</v>
      </c>
      <c r="H1193" s="3">
        <v>45154.399710648147</v>
      </c>
      <c r="I1193" s="3">
        <v>45154.399710648147</v>
      </c>
      <c r="J1193" s="3">
        <v>44698.719907407409</v>
      </c>
      <c r="K1193" cm="1">
        <f t="array" ref="K1193">sentimentCalc(C1193)</f>
        <v>0</v>
      </c>
      <c r="L1193" t="str" cm="1">
        <f t="array" ref="L1193">sentimentCategory(K1193)</f>
        <v>Neutral</v>
      </c>
    </row>
    <row r="1194" spans="1:12" x14ac:dyDescent="0.25">
      <c r="A1194" t="s">
        <v>3232</v>
      </c>
      <c r="B1194" t="s">
        <v>3681</v>
      </c>
      <c r="C1194" t="str" cm="1">
        <f t="array" ref="C1194">CleanText(B1194)</f>
        <v>hahah</v>
      </c>
      <c r="D1194">
        <v>1</v>
      </c>
      <c r="E1194">
        <v>0</v>
      </c>
      <c r="F1194" t="s">
        <v>10</v>
      </c>
      <c r="G1194" t="str" cm="1">
        <f t="array" ref="G1194">FindCountryName(F1194)</f>
        <v>None</v>
      </c>
      <c r="H1194" s="3">
        <v>45146.497175925928</v>
      </c>
      <c r="I1194" s="3">
        <v>45146.497175925928</v>
      </c>
      <c r="J1194" s="3">
        <v>44167.874780092592</v>
      </c>
      <c r="K1194" cm="1">
        <f t="array" ref="K1194">sentimentCalc(C1194)</f>
        <v>0</v>
      </c>
      <c r="L1194" t="str" cm="1">
        <f t="array" ref="L1194">sentimentCategory(K1194)</f>
        <v>Neutral</v>
      </c>
    </row>
    <row r="1195" spans="1:12" x14ac:dyDescent="0.25">
      <c r="A1195" t="s">
        <v>3375</v>
      </c>
      <c r="B1195" t="s">
        <v>3674</v>
      </c>
      <c r="C1195" t="str" cm="1">
        <f t="array" ref="C1195">CleanText(B1195)</f>
        <v>hail ken he is the only best part of the movie</v>
      </c>
      <c r="D1195">
        <v>0</v>
      </c>
      <c r="E1195">
        <v>0</v>
      </c>
      <c r="F1195" t="s">
        <v>1151</v>
      </c>
      <c r="G1195" t="str" cm="1">
        <f t="array" ref="G1195">FindCountryName(F1195)</f>
        <v>United Kingdom of Great Britain and Northern Ireland (the)</v>
      </c>
      <c r="H1195" s="3">
        <v>45146.576412037037</v>
      </c>
      <c r="I1195" s="3">
        <v>45146.576412037037</v>
      </c>
      <c r="J1195" s="3">
        <v>44880.353981481479</v>
      </c>
      <c r="K1195" cm="1">
        <f t="array" ref="K1195">sentimentCalc(C1195)</f>
        <v>5</v>
      </c>
      <c r="L1195" t="str" cm="1">
        <f t="array" ref="L1195">sentimentCategory(K1195)</f>
        <v>Positive</v>
      </c>
    </row>
    <row r="1196" spans="1:12" x14ac:dyDescent="0.25">
      <c r="A1196" t="s">
        <v>467</v>
      </c>
      <c r="B1196" t="s">
        <v>468</v>
      </c>
      <c r="C1196" t="str" cm="1">
        <f t="array" ref="C1196">CleanText(B1196)</f>
        <v>hala izlemediyseniz eger cok sey karmsnz demektir</v>
      </c>
      <c r="D1196">
        <v>0</v>
      </c>
      <c r="E1196">
        <v>0</v>
      </c>
      <c r="F1196" t="s">
        <v>10</v>
      </c>
      <c r="G1196" t="str" cm="1">
        <f t="array" ref="G1196">FindCountryName(F1196)</f>
        <v>None</v>
      </c>
      <c r="H1196" s="3">
        <v>45322.271006944444</v>
      </c>
      <c r="I1196" s="3">
        <v>45322.271006944444</v>
      </c>
      <c r="J1196" s="3">
        <v>45143.833506944444</v>
      </c>
      <c r="K1196" cm="1">
        <f t="array" ref="K1196">sentimentCalc(C1196)</f>
        <v>0</v>
      </c>
      <c r="L1196" t="str" cm="1">
        <f t="array" ref="L1196">sentimentCategory(K1196)</f>
        <v>Neutral</v>
      </c>
    </row>
    <row r="1197" spans="1:12" x14ac:dyDescent="0.25">
      <c r="A1197" t="s">
        <v>600</v>
      </c>
      <c r="B1197" t="s">
        <v>3451</v>
      </c>
      <c r="C1197" t="str" cm="1">
        <f t="array" ref="C1197">CleanText(B1197)</f>
        <v>hallo menschen mama wochen  barbie juli  barbie bock ken bock  auto menschen bruder film kino  essen   haus ken haus barbie ken punkte   mio ich  mio euro kino barbie</v>
      </c>
      <c r="D1197">
        <v>0</v>
      </c>
      <c r="E1197">
        <v>0</v>
      </c>
      <c r="F1197" t="s">
        <v>10</v>
      </c>
      <c r="G1197" t="str" cm="1">
        <f t="array" ref="G1197">FindCountryName(F1197)</f>
        <v>None</v>
      </c>
      <c r="H1197" s="3">
        <v>45148.709872685184</v>
      </c>
      <c r="I1197" s="3">
        <v>45148.709872685184</v>
      </c>
      <c r="J1197" s="3">
        <v>43959.601793981485</v>
      </c>
      <c r="K1197" cm="1">
        <f t="array" ref="K1197">sentimentCalc(C1197)</f>
        <v>0</v>
      </c>
      <c r="L1197" t="str" cm="1">
        <f t="array" ref="L1197">sentimentCategory(K1197)</f>
        <v>Neutral</v>
      </c>
    </row>
    <row r="1198" spans="1:12" x14ac:dyDescent="0.25">
      <c r="A1198" t="s">
        <v>553</v>
      </c>
      <c r="B1198" t="s">
        <v>863</v>
      </c>
      <c r="C1198" t="str" cm="1">
        <f t="array" ref="C1198">CleanText(B1198)</f>
        <v>hands down the absolute most sexest movie to ever be made ryan gosling should be ashamed as well as any other man that played in this movie</v>
      </c>
      <c r="D1198">
        <v>2</v>
      </c>
      <c r="E1198">
        <v>5</v>
      </c>
      <c r="F1198" t="s">
        <v>10</v>
      </c>
      <c r="G1198" t="str" cm="1">
        <f t="array" ref="G1198">FindCountryName(F1198)</f>
        <v>None</v>
      </c>
      <c r="H1198" s="3">
        <v>45299.751504629632</v>
      </c>
      <c r="I1198" s="3">
        <v>45299.753217592595</v>
      </c>
      <c r="J1198" s="3">
        <v>42250.001400462963</v>
      </c>
      <c r="K1198" cm="1">
        <f t="array" ref="K1198">sentimentCalc(C1198)</f>
        <v>-2</v>
      </c>
      <c r="L1198" t="str" cm="1">
        <f t="array" ref="L1198">sentimentCategory(K1198)</f>
        <v>Negative</v>
      </c>
    </row>
    <row r="1199" spans="1:12" x14ac:dyDescent="0.25">
      <c r="A1199" t="s">
        <v>462</v>
      </c>
      <c r="B1199" t="s">
        <v>2434</v>
      </c>
      <c r="C1199" t="str" cm="1">
        <f t="array" ref="C1199">CleanText(B1199)</f>
        <v>haram</v>
      </c>
      <c r="D1199">
        <v>0</v>
      </c>
      <c r="E1199">
        <v>0</v>
      </c>
      <c r="F1199" t="s">
        <v>10</v>
      </c>
      <c r="G1199" t="str" cm="1">
        <f t="array" ref="G1199">FindCountryName(F1199)</f>
        <v>None</v>
      </c>
      <c r="H1199" s="3">
        <v>45167.318194444444</v>
      </c>
      <c r="I1199" s="3">
        <v>45167.318194444444</v>
      </c>
      <c r="J1199" s="3">
        <v>42523.519849537035</v>
      </c>
      <c r="K1199" cm="1">
        <f t="array" ref="K1199">sentimentCalc(C1199)</f>
        <v>0</v>
      </c>
      <c r="L1199" t="str" cm="1">
        <f t="array" ref="L1199">sentimentCategory(K1199)</f>
        <v>Neutral</v>
      </c>
    </row>
    <row r="1200" spans="1:12" x14ac:dyDescent="0.25">
      <c r="A1200" t="s">
        <v>442</v>
      </c>
      <c r="B1200" t="s">
        <v>4381</v>
      </c>
      <c r="C1200" t="str" cm="1">
        <f t="array" ref="C1200">CleanText(B1200)</f>
        <v>hari nef saying flat feet is a mood</v>
      </c>
      <c r="D1200">
        <v>0</v>
      </c>
      <c r="E1200">
        <v>0</v>
      </c>
      <c r="F1200" t="s">
        <v>10</v>
      </c>
      <c r="G1200" t="str" cm="1">
        <f t="array" ref="G1200">FindCountryName(F1200)</f>
        <v>None</v>
      </c>
      <c r="H1200" s="3">
        <v>45140.532534722224</v>
      </c>
      <c r="I1200" s="3">
        <v>45140.532534722224</v>
      </c>
      <c r="J1200" s="3">
        <v>42014.754340277781</v>
      </c>
      <c r="K1200" cm="1">
        <f t="array" ref="K1200">sentimentCalc(C1200)</f>
        <v>0</v>
      </c>
      <c r="L1200" t="str" cm="1">
        <f t="array" ref="L1200">sentimentCategory(K1200)</f>
        <v>Neutral</v>
      </c>
    </row>
    <row r="1201" spans="1:12" x14ac:dyDescent="0.25">
      <c r="A1201" t="s">
        <v>462</v>
      </c>
      <c r="B1201" t="s">
        <v>463</v>
      </c>
      <c r="C1201" t="str" cm="1">
        <f t="array" ref="C1201">CleanText(B1201)</f>
        <v>harika</v>
      </c>
      <c r="D1201">
        <v>0</v>
      </c>
      <c r="E1201">
        <v>0</v>
      </c>
      <c r="F1201" t="s">
        <v>10</v>
      </c>
      <c r="G1201" t="str" cm="1">
        <f t="array" ref="G1201">FindCountryName(F1201)</f>
        <v>None</v>
      </c>
      <c r="H1201" s="3">
        <v>45322.271099537036</v>
      </c>
      <c r="I1201" s="3">
        <v>45322.271099537036</v>
      </c>
      <c r="J1201" s="3">
        <v>42650.587210648147</v>
      </c>
      <c r="K1201" cm="1">
        <f t="array" ref="K1201">sentimentCalc(C1201)</f>
        <v>0</v>
      </c>
      <c r="L1201" t="str" cm="1">
        <f t="array" ref="L1201">sentimentCategory(K1201)</f>
        <v>Neutral</v>
      </c>
    </row>
    <row r="1202" spans="1:12" x14ac:dyDescent="0.25">
      <c r="A1202" t="s">
        <v>866</v>
      </c>
      <c r="B1202" t="s">
        <v>992</v>
      </c>
      <c r="C1202" t="str" cm="1">
        <f t="array" ref="C1202">CleanText(B1202)</f>
        <v>harika</v>
      </c>
      <c r="D1202">
        <v>0</v>
      </c>
      <c r="E1202">
        <v>0</v>
      </c>
      <c r="F1202" t="s">
        <v>10</v>
      </c>
      <c r="G1202" t="str" cm="1">
        <f t="array" ref="G1202">FindCountryName(F1202)</f>
        <v>None</v>
      </c>
      <c r="H1202" s="3">
        <v>45299.252800925926</v>
      </c>
      <c r="I1202" s="3">
        <v>45299.252800925926</v>
      </c>
      <c r="J1202" s="3">
        <v>41549.677210648151</v>
      </c>
      <c r="K1202" cm="1">
        <f t="array" ref="K1202">sentimentCalc(C1202)</f>
        <v>0</v>
      </c>
      <c r="L1202" t="str" cm="1">
        <f t="array" ref="L1202">sentimentCategory(K1202)</f>
        <v>Neutral</v>
      </c>
    </row>
    <row r="1203" spans="1:12" x14ac:dyDescent="0.25">
      <c r="A1203" t="s">
        <v>453</v>
      </c>
      <c r="B1203" t="s">
        <v>545</v>
      </c>
      <c r="C1203" t="str" cm="1">
        <f t="array" ref="C1203">CleanText(B1203)</f>
        <v>harika ailece izlenmeli bence</v>
      </c>
      <c r="D1203">
        <v>0</v>
      </c>
      <c r="E1203">
        <v>0</v>
      </c>
      <c r="F1203" t="s">
        <v>10</v>
      </c>
      <c r="G1203" t="str" cm="1">
        <f t="array" ref="G1203">FindCountryName(F1203)</f>
        <v>None</v>
      </c>
      <c r="H1203" s="3">
        <v>45317.276319444441</v>
      </c>
      <c r="I1203" s="3">
        <v>45317.276319444441</v>
      </c>
      <c r="J1203" s="3">
        <v>42746.621979166666</v>
      </c>
      <c r="K1203" cm="1">
        <f t="array" ref="K1203">sentimentCalc(C1203)</f>
        <v>0</v>
      </c>
      <c r="L1203" t="str" cm="1">
        <f t="array" ref="L1203">sentimentCategory(K1203)</f>
        <v>Neutral</v>
      </c>
    </row>
    <row r="1204" spans="1:12" x14ac:dyDescent="0.25">
      <c r="A1204" t="s">
        <v>324</v>
      </c>
      <c r="B1204" t="s">
        <v>658</v>
      </c>
      <c r="C1204" t="str" cm="1">
        <f t="array" ref="C1204">CleanText(B1204)</f>
        <v>harika ahane bir film</v>
      </c>
      <c r="D1204">
        <v>0</v>
      </c>
      <c r="E1204">
        <v>0</v>
      </c>
      <c r="F1204" t="s">
        <v>10</v>
      </c>
      <c r="G1204" t="str" cm="1">
        <f t="array" ref="G1204">FindCountryName(F1204)</f>
        <v>None</v>
      </c>
      <c r="H1204" s="3">
        <v>45314.276759259257</v>
      </c>
      <c r="I1204" s="3">
        <v>45314.276759259257</v>
      </c>
      <c r="J1204" s="3">
        <v>43149.303402777776</v>
      </c>
      <c r="K1204" cm="1">
        <f t="array" ref="K1204">sentimentCalc(C1204)</f>
        <v>0</v>
      </c>
      <c r="L1204" t="str" cm="1">
        <f t="array" ref="L1204">sentimentCategory(K1204)</f>
        <v>Neutral</v>
      </c>
    </row>
    <row r="1205" spans="1:12" x14ac:dyDescent="0.25">
      <c r="A1205" t="s">
        <v>11</v>
      </c>
      <c r="B1205" t="s">
        <v>89</v>
      </c>
      <c r="C1205" t="str" cm="1">
        <f t="array" ref="C1205">CleanText(B1205)</f>
        <v>harika bir filim herkeze tavsiye ederim</v>
      </c>
      <c r="D1205">
        <v>0</v>
      </c>
      <c r="E1205">
        <v>0</v>
      </c>
      <c r="F1205" t="s">
        <v>10</v>
      </c>
      <c r="G1205" t="str" cm="1">
        <f t="array" ref="G1205">FindCountryName(F1205)</f>
        <v>None</v>
      </c>
      <c r="H1205" s="3">
        <v>45338.162893518522</v>
      </c>
      <c r="I1205" s="3">
        <v>45338.162893518522</v>
      </c>
      <c r="J1205" s="3">
        <v>45338.162881944445</v>
      </c>
      <c r="K1205" cm="1">
        <f t="array" ref="K1205">sentimentCalc(C1205)</f>
        <v>0</v>
      </c>
      <c r="L1205" t="str" cm="1">
        <f t="array" ref="L1205">sentimentCategory(K1205)</f>
        <v>Neutral</v>
      </c>
    </row>
    <row r="1206" spans="1:12" x14ac:dyDescent="0.25">
      <c r="A1206" t="s">
        <v>152</v>
      </c>
      <c r="B1206" t="s">
        <v>153</v>
      </c>
      <c r="C1206" t="str" cm="1">
        <f t="array" ref="C1206">CleanText(B1206)</f>
        <v>harika bir film</v>
      </c>
      <c r="D1206">
        <v>0</v>
      </c>
      <c r="E1206">
        <v>0</v>
      </c>
      <c r="F1206" t="s">
        <v>10</v>
      </c>
      <c r="G1206" t="str" cm="1">
        <f t="array" ref="G1206">FindCountryName(F1206)</f>
        <v>None</v>
      </c>
      <c r="H1206" s="3">
        <v>45337.459849537037</v>
      </c>
      <c r="I1206" s="3">
        <v>45337.459849537037</v>
      </c>
      <c r="J1206" s="3">
        <v>43114.317916666667</v>
      </c>
      <c r="K1206" cm="1">
        <f t="array" ref="K1206">sentimentCalc(C1206)</f>
        <v>0</v>
      </c>
      <c r="L1206" t="str" cm="1">
        <f t="array" ref="L1206">sentimentCategory(K1206)</f>
        <v>Neutral</v>
      </c>
    </row>
    <row r="1207" spans="1:12" x14ac:dyDescent="0.25">
      <c r="A1207" t="s">
        <v>329</v>
      </c>
      <c r="B1207" t="s">
        <v>431</v>
      </c>
      <c r="C1207" t="str" cm="1">
        <f t="array" ref="C1207">CleanText(B1207)</f>
        <v>harika bir film</v>
      </c>
      <c r="D1207">
        <v>0</v>
      </c>
      <c r="E1207">
        <v>0</v>
      </c>
      <c r="F1207" t="s">
        <v>10</v>
      </c>
      <c r="G1207" t="str" cm="1">
        <f t="array" ref="G1207">FindCountryName(F1207)</f>
        <v>None</v>
      </c>
      <c r="H1207" s="3">
        <v>45322.271689814814</v>
      </c>
      <c r="I1207" s="3">
        <v>45322.271689814814</v>
      </c>
      <c r="J1207" s="3">
        <v>42857.23333333333</v>
      </c>
      <c r="K1207" cm="1">
        <f t="array" ref="K1207">sentimentCalc(C1207)</f>
        <v>0</v>
      </c>
      <c r="L1207" t="str" cm="1">
        <f t="array" ref="L1207">sentimentCategory(K1207)</f>
        <v>Neutral</v>
      </c>
    </row>
    <row r="1208" spans="1:12" x14ac:dyDescent="0.25">
      <c r="A1208" t="s">
        <v>559</v>
      </c>
      <c r="B1208" t="s">
        <v>740</v>
      </c>
      <c r="C1208" t="str" cm="1">
        <f t="array" ref="C1208">CleanText(B1208)</f>
        <v>harika bir film izlemenizi neririm</v>
      </c>
      <c r="D1208">
        <v>0</v>
      </c>
      <c r="E1208">
        <v>0</v>
      </c>
      <c r="F1208" t="s">
        <v>10</v>
      </c>
      <c r="G1208" t="str" cm="1">
        <f t="array" ref="G1208">FindCountryName(F1208)</f>
        <v>None</v>
      </c>
      <c r="H1208" s="3">
        <v>45310.256053240744</v>
      </c>
      <c r="I1208" s="3">
        <v>45310.256053240744</v>
      </c>
      <c r="J1208" s="3">
        <v>43775.396018518521</v>
      </c>
      <c r="K1208" cm="1">
        <f t="array" ref="K1208">sentimentCalc(C1208)</f>
        <v>0</v>
      </c>
      <c r="L1208" t="str" cm="1">
        <f t="array" ref="L1208">sentimentCategory(K1208)</f>
        <v>Neutral</v>
      </c>
    </row>
    <row r="1209" spans="1:12" x14ac:dyDescent="0.25">
      <c r="A1209" t="s">
        <v>462</v>
      </c>
      <c r="B1209" t="s">
        <v>957</v>
      </c>
      <c r="C1209" t="str" cm="1">
        <f t="array" ref="C1209">CleanText(B1209)</f>
        <v>harika bir film mutlaka izlenmesi gereken filmlerden birisi</v>
      </c>
      <c r="D1209">
        <v>0</v>
      </c>
      <c r="E1209">
        <v>0</v>
      </c>
      <c r="F1209" t="s">
        <v>10</v>
      </c>
      <c r="G1209" t="str" cm="1">
        <f t="array" ref="G1209">FindCountryName(F1209)</f>
        <v>None</v>
      </c>
      <c r="H1209" s="3">
        <v>45299.25644675926</v>
      </c>
      <c r="I1209" s="3">
        <v>45299.25644675926</v>
      </c>
      <c r="J1209" s="3">
        <v>42874.548622685186</v>
      </c>
      <c r="K1209" cm="1">
        <f t="array" ref="K1209">sentimentCalc(C1209)</f>
        <v>0</v>
      </c>
      <c r="L1209" t="str" cm="1">
        <f t="array" ref="L1209">sentimentCategory(K1209)</f>
        <v>Neutral</v>
      </c>
    </row>
    <row r="1210" spans="1:12" x14ac:dyDescent="0.25">
      <c r="A1210" t="s">
        <v>459</v>
      </c>
      <c r="B1210" t="s">
        <v>579</v>
      </c>
      <c r="C1210" t="str" cm="1">
        <f t="array" ref="C1210">CleanText(B1210)</f>
        <v>harika bir film olmu emei geen herkese baarlarnn devamn diliyorum</v>
      </c>
      <c r="D1210">
        <v>0</v>
      </c>
      <c r="E1210">
        <v>0</v>
      </c>
      <c r="F1210" t="s">
        <v>10</v>
      </c>
      <c r="G1210" t="str" cm="1">
        <f t="array" ref="G1210">FindCountryName(F1210)</f>
        <v>None</v>
      </c>
      <c r="H1210" s="3">
        <v>45317.272499999999</v>
      </c>
      <c r="I1210" s="3">
        <v>45317.272499999999</v>
      </c>
      <c r="J1210" s="3">
        <v>42357.59615740741</v>
      </c>
      <c r="K1210" cm="1">
        <f t="array" ref="K1210">sentimentCalc(C1210)</f>
        <v>0</v>
      </c>
      <c r="L1210" t="str" cm="1">
        <f t="array" ref="L1210">sentimentCategory(K1210)</f>
        <v>Neutral</v>
      </c>
    </row>
    <row r="1211" spans="1:12" x14ac:dyDescent="0.25">
      <c r="A1211" t="s">
        <v>757</v>
      </c>
      <c r="B1211" t="s">
        <v>758</v>
      </c>
      <c r="C1211" t="str" cm="1">
        <f t="array" ref="C1211">CleanText(B1211)</f>
        <v>harika bir film olmus bayldm</v>
      </c>
      <c r="D1211">
        <v>0</v>
      </c>
      <c r="E1211">
        <v>0</v>
      </c>
      <c r="F1211" t="s">
        <v>139</v>
      </c>
      <c r="G1211" t="str" cm="1">
        <f t="array" ref="G1211">FindCountryName(F1211)</f>
        <v>Turkey</v>
      </c>
      <c r="H1211" s="3">
        <v>45310.250416666669</v>
      </c>
      <c r="I1211" s="3">
        <v>45310.250416666669</v>
      </c>
      <c r="J1211" s="3">
        <v>43248.238819444443</v>
      </c>
      <c r="K1211" cm="1">
        <f t="array" ref="K1211">sentimentCalc(C1211)</f>
        <v>0</v>
      </c>
      <c r="L1211" t="str" cm="1">
        <f t="array" ref="L1211">sentimentCategory(K1211)</f>
        <v>Neutral</v>
      </c>
    </row>
    <row r="1212" spans="1:12" x14ac:dyDescent="0.25">
      <c r="A1212" t="s">
        <v>311</v>
      </c>
      <c r="B1212" t="s">
        <v>312</v>
      </c>
      <c r="C1212" t="str" cm="1">
        <f t="array" ref="C1212">CleanText(B1212)</f>
        <v>harika bir film sevgilinizle izlenmelik romantik bir film tavsiye ederim</v>
      </c>
      <c r="D1212">
        <v>0</v>
      </c>
      <c r="E1212">
        <v>0</v>
      </c>
      <c r="F1212" t="s">
        <v>10</v>
      </c>
      <c r="G1212" t="str" cm="1">
        <f t="array" ref="G1212">FindCountryName(F1212)</f>
        <v>None</v>
      </c>
      <c r="H1212" s="3">
        <v>45322.349768518521</v>
      </c>
      <c r="I1212" s="3">
        <v>45322.349768518521</v>
      </c>
      <c r="J1212" s="3">
        <v>44178.273923611108</v>
      </c>
      <c r="K1212" cm="1">
        <f t="array" ref="K1212">sentimentCalc(C1212)</f>
        <v>0</v>
      </c>
      <c r="L1212" t="str" cm="1">
        <f t="array" ref="L1212">sentimentCategory(K1212)</f>
        <v>Neutral</v>
      </c>
    </row>
    <row r="1213" spans="1:12" x14ac:dyDescent="0.25">
      <c r="A1213" t="s">
        <v>143</v>
      </c>
      <c r="B1213" t="s">
        <v>790</v>
      </c>
      <c r="C1213" t="str" cm="1">
        <f t="array" ref="C1213">CleanText(B1213)</f>
        <v>harika bir film ocuklarm buna bayld</v>
      </c>
      <c r="D1213">
        <v>0</v>
      </c>
      <c r="E1213">
        <v>0</v>
      </c>
      <c r="F1213" t="s">
        <v>10</v>
      </c>
      <c r="G1213" t="str" cm="1">
        <f t="array" ref="G1213">FindCountryName(F1213)</f>
        <v>None</v>
      </c>
      <c r="H1213" s="3">
        <v>45308.254548611112</v>
      </c>
      <c r="I1213" s="3">
        <v>45308.254548611112</v>
      </c>
      <c r="J1213" s="3">
        <v>41100.396296296298</v>
      </c>
      <c r="K1213" cm="1">
        <f t="array" ref="K1213">sentimentCalc(C1213)</f>
        <v>0</v>
      </c>
      <c r="L1213" t="str" cm="1">
        <f t="array" ref="L1213">sentimentCategory(K1213)</f>
        <v>Neutral</v>
      </c>
    </row>
    <row r="1214" spans="1:12" x14ac:dyDescent="0.25">
      <c r="A1214" t="s">
        <v>158</v>
      </c>
      <c r="B1214" t="s">
        <v>648</v>
      </c>
      <c r="C1214" t="str" cm="1">
        <f t="array" ref="C1214">CleanText(B1214)</f>
        <v>harika bir film aksiyon dolu</v>
      </c>
      <c r="D1214">
        <v>0</v>
      </c>
      <c r="E1214">
        <v>0</v>
      </c>
      <c r="F1214" t="s">
        <v>10</v>
      </c>
      <c r="G1214" t="str" cm="1">
        <f t="array" ref="G1214">FindCountryName(F1214)</f>
        <v>None</v>
      </c>
      <c r="H1214" s="3">
        <v>45314.285995370374</v>
      </c>
      <c r="I1214" s="3">
        <v>45314.285995370374</v>
      </c>
      <c r="J1214" s="3">
        <v>41221.732025462959</v>
      </c>
      <c r="K1214" cm="1">
        <f t="array" ref="K1214">sentimentCalc(C1214)</f>
        <v>0</v>
      </c>
      <c r="L1214" t="str" cm="1">
        <f t="array" ref="L1214">sentimentCategory(K1214)</f>
        <v>Neutral</v>
      </c>
    </row>
    <row r="1215" spans="1:12" x14ac:dyDescent="0.25">
      <c r="A1215" t="s">
        <v>503</v>
      </c>
      <c r="B1215" t="s">
        <v>934</v>
      </c>
      <c r="C1215" t="str" cm="1">
        <f t="array" ref="C1215">CleanText(B1215)</f>
        <v>harika bir film barbie hikayesine farkl bir bak getirmi</v>
      </c>
      <c r="D1215">
        <v>0</v>
      </c>
      <c r="E1215">
        <v>0</v>
      </c>
      <c r="F1215" t="s">
        <v>10</v>
      </c>
      <c r="G1215" t="str" cm="1">
        <f t="array" ref="G1215">FindCountryName(F1215)</f>
        <v>None</v>
      </c>
      <c r="H1215" s="3">
        <v>45299.262928240743</v>
      </c>
      <c r="I1215" s="3">
        <v>45299.262928240743</v>
      </c>
      <c r="J1215" s="3">
        <v>45299.26290509259</v>
      </c>
      <c r="K1215" cm="1">
        <f t="array" ref="K1215">sentimentCalc(C1215)</f>
        <v>0</v>
      </c>
      <c r="L1215" t="str" cm="1">
        <f t="array" ref="L1215">sentimentCategory(K1215)</f>
        <v>Neutral</v>
      </c>
    </row>
    <row r="1216" spans="1:12" x14ac:dyDescent="0.25">
      <c r="A1216" t="s">
        <v>457</v>
      </c>
      <c r="B1216" t="s">
        <v>458</v>
      </c>
      <c r="C1216" t="str" cm="1">
        <f t="array" ref="C1216">CleanText(B1216)</f>
        <v>harika bir mzikal gsteri bayldm</v>
      </c>
      <c r="D1216">
        <v>0</v>
      </c>
      <c r="E1216">
        <v>0</v>
      </c>
      <c r="F1216" t="s">
        <v>10</v>
      </c>
      <c r="G1216" t="str" cm="1">
        <f t="array" ref="G1216">FindCountryName(F1216)</f>
        <v>None</v>
      </c>
      <c r="H1216" s="3">
        <v>45322.271261574075</v>
      </c>
      <c r="I1216" s="3">
        <v>45322.271261574075</v>
      </c>
      <c r="J1216" s="3">
        <v>41012.637731481482</v>
      </c>
      <c r="K1216" cm="1">
        <f t="array" ref="K1216">sentimentCalc(C1216)</f>
        <v>0</v>
      </c>
      <c r="L1216" t="str" cm="1">
        <f t="array" ref="L1216">sentimentCategory(K1216)</f>
        <v>Neutral</v>
      </c>
    </row>
    <row r="1217" spans="1:12" x14ac:dyDescent="0.25">
      <c r="A1217" t="s">
        <v>254</v>
      </c>
      <c r="B1217" t="s">
        <v>255</v>
      </c>
      <c r="C1217" t="str" cm="1">
        <f t="array" ref="C1217">CleanText(B1217)</f>
        <v>harika</v>
      </c>
      <c r="D1217">
        <v>1</v>
      </c>
      <c r="E1217">
        <v>0</v>
      </c>
      <c r="F1217" t="s">
        <v>10</v>
      </c>
      <c r="G1217" t="str" cm="1">
        <f t="array" ref="G1217">FindCountryName(F1217)</f>
        <v>None</v>
      </c>
      <c r="H1217" s="3">
        <v>45325.085555555554</v>
      </c>
      <c r="I1217" s="3">
        <v>45325.085555555554</v>
      </c>
      <c r="J1217" s="3">
        <v>42526.352453703701</v>
      </c>
      <c r="K1217" cm="1">
        <f t="array" ref="K1217">sentimentCalc(C1217)</f>
        <v>0</v>
      </c>
      <c r="L1217" t="str" cm="1">
        <f t="array" ref="L1217">sentimentCategory(K1217)</f>
        <v>Neutral</v>
      </c>
    </row>
    <row r="1218" spans="1:12" x14ac:dyDescent="0.25">
      <c r="A1218" t="s">
        <v>173</v>
      </c>
      <c r="B1218" t="s">
        <v>681</v>
      </c>
      <c r="C1218" t="str" cm="1">
        <f t="array" ref="C1218">CleanText(B1218)</f>
        <v>harika film</v>
      </c>
      <c r="D1218">
        <v>0</v>
      </c>
      <c r="E1218">
        <v>0</v>
      </c>
      <c r="F1218" t="s">
        <v>10</v>
      </c>
      <c r="G1218" t="str" cm="1">
        <f t="array" ref="G1218">FindCountryName(F1218)</f>
        <v>None</v>
      </c>
      <c r="H1218" s="3">
        <v>45314.27202546296</v>
      </c>
      <c r="I1218" s="3">
        <v>45314.27202546296</v>
      </c>
      <c r="J1218" s="3">
        <v>42759.940011574072</v>
      </c>
      <c r="K1218" cm="1">
        <f t="array" ref="K1218">sentimentCalc(C1218)</f>
        <v>0</v>
      </c>
      <c r="L1218" t="str" cm="1">
        <f t="array" ref="L1218">sentimentCategory(K1218)</f>
        <v>Neutral</v>
      </c>
    </row>
    <row r="1219" spans="1:12" x14ac:dyDescent="0.25">
      <c r="A1219" t="s">
        <v>555</v>
      </c>
      <c r="B1219" t="s">
        <v>953</v>
      </c>
      <c r="C1219" t="str" cm="1">
        <f t="array" ref="C1219">CleanText(B1219)</f>
        <v>harika film bayldk ok guzeldi</v>
      </c>
      <c r="D1219">
        <v>0</v>
      </c>
      <c r="E1219">
        <v>0</v>
      </c>
      <c r="F1219" t="s">
        <v>10</v>
      </c>
      <c r="G1219" t="str" cm="1">
        <f t="array" ref="G1219">FindCountryName(F1219)</f>
        <v>None</v>
      </c>
      <c r="H1219" s="3">
        <v>45299.257141203707</v>
      </c>
      <c r="I1219" s="3">
        <v>45299.257141203707</v>
      </c>
      <c r="J1219" s="3">
        <v>41489.073807870373</v>
      </c>
      <c r="K1219" cm="1">
        <f t="array" ref="K1219">sentimentCalc(C1219)</f>
        <v>0</v>
      </c>
      <c r="L1219" t="str" cm="1">
        <f t="array" ref="L1219">sentimentCategory(K1219)</f>
        <v>Neutral</v>
      </c>
    </row>
    <row r="1220" spans="1:12" x14ac:dyDescent="0.25">
      <c r="A1220" t="s">
        <v>727</v>
      </c>
      <c r="B1220" t="s">
        <v>728</v>
      </c>
      <c r="C1220" t="str" cm="1">
        <f t="array" ref="C1220">CleanText(B1220)</f>
        <v>harika gzkyor</v>
      </c>
      <c r="D1220">
        <v>0</v>
      </c>
      <c r="E1220">
        <v>0</v>
      </c>
      <c r="F1220" t="s">
        <v>10</v>
      </c>
      <c r="G1220" t="str" cm="1">
        <f t="array" ref="G1220">FindCountryName(F1220)</f>
        <v>None</v>
      </c>
      <c r="H1220" s="3">
        <v>45310.283506944441</v>
      </c>
      <c r="I1220" s="3">
        <v>45310.283506944441</v>
      </c>
      <c r="J1220" s="3">
        <v>44850.323541666665</v>
      </c>
      <c r="K1220" cm="1">
        <f t="array" ref="K1220">sentimentCalc(C1220)</f>
        <v>0</v>
      </c>
      <c r="L1220" t="str" cm="1">
        <f t="array" ref="L1220">sentimentCategory(K1220)</f>
        <v>Neutral</v>
      </c>
    </row>
    <row r="1221" spans="1:12" x14ac:dyDescent="0.25">
      <c r="A1221" t="s">
        <v>830</v>
      </c>
      <c r="B1221" t="s">
        <v>919</v>
      </c>
      <c r="C1221" t="str" cm="1">
        <f t="array" ref="C1221">CleanText(B1221)</f>
        <v>harika gzel olmu</v>
      </c>
      <c r="D1221">
        <v>0</v>
      </c>
      <c r="E1221">
        <v>0</v>
      </c>
      <c r="F1221" t="s">
        <v>10</v>
      </c>
      <c r="G1221" t="str" cm="1">
        <f t="array" ref="G1221">FindCountryName(F1221)</f>
        <v>None</v>
      </c>
      <c r="H1221" s="3">
        <v>45299.271226851852</v>
      </c>
      <c r="I1221" s="3">
        <v>45299.271226851852</v>
      </c>
      <c r="J1221" s="3">
        <v>43958.865324074075</v>
      </c>
      <c r="K1221" cm="1">
        <f t="array" ref="K1221">sentimentCalc(C1221)</f>
        <v>0</v>
      </c>
      <c r="L1221" t="str" cm="1">
        <f t="array" ref="L1221">sentimentCategory(K1221)</f>
        <v>Neutral</v>
      </c>
    </row>
    <row r="1222" spans="1:12" x14ac:dyDescent="0.25">
      <c r="A1222" t="s">
        <v>130</v>
      </c>
      <c r="B1222" t="s">
        <v>327</v>
      </c>
      <c r="C1222" t="str" cm="1">
        <f t="array" ref="C1222">CleanText(B1222)</f>
        <v>harika kyafetlerle ekim yaplm</v>
      </c>
      <c r="D1222">
        <v>0</v>
      </c>
      <c r="E1222">
        <v>0</v>
      </c>
      <c r="F1222" t="s">
        <v>10</v>
      </c>
      <c r="G1222" t="str" cm="1">
        <f t="array" ref="G1222">FindCountryName(F1222)</f>
        <v>None</v>
      </c>
      <c r="H1222" s="3">
        <v>45322.293090277781</v>
      </c>
      <c r="I1222" s="3">
        <v>45322.293090277781</v>
      </c>
      <c r="J1222" s="3">
        <v>45322.290949074071</v>
      </c>
      <c r="K1222" cm="1">
        <f t="array" ref="K1222">sentimentCalc(C1222)</f>
        <v>0</v>
      </c>
      <c r="L1222" t="str" cm="1">
        <f t="array" ref="L1222">sentimentCategory(K1222)</f>
        <v>Neutral</v>
      </c>
    </row>
    <row r="1223" spans="1:12" x14ac:dyDescent="0.25">
      <c r="A1223" t="s">
        <v>90</v>
      </c>
      <c r="B1223" t="s">
        <v>949</v>
      </c>
      <c r="C1223" t="str" cm="1">
        <f t="array" ref="C1223">CleanText(B1223)</f>
        <v>harika klip</v>
      </c>
      <c r="D1223">
        <v>0</v>
      </c>
      <c r="E1223">
        <v>0</v>
      </c>
      <c r="F1223" t="s">
        <v>10</v>
      </c>
      <c r="G1223" t="str" cm="1">
        <f t="array" ref="G1223">FindCountryName(F1223)</f>
        <v>None</v>
      </c>
      <c r="H1223" s="3">
        <v>45299.258506944447</v>
      </c>
      <c r="I1223" s="3">
        <v>45299.258506944447</v>
      </c>
      <c r="J1223" s="3">
        <v>44005.647638888891</v>
      </c>
      <c r="K1223" cm="1">
        <f t="array" ref="K1223">sentimentCalc(C1223)</f>
        <v>0</v>
      </c>
      <c r="L1223" t="str" cm="1">
        <f t="array" ref="L1223">sentimentCategory(K1223)</f>
        <v>Neutral</v>
      </c>
    </row>
    <row r="1224" spans="1:12" x14ac:dyDescent="0.25">
      <c r="A1224" t="s">
        <v>979</v>
      </c>
      <c r="B1224" t="s">
        <v>980</v>
      </c>
      <c r="C1224" t="str" cm="1">
        <f t="array" ref="C1224">CleanText(B1224)</f>
        <v>harika mutlaka izleyin</v>
      </c>
      <c r="D1224">
        <v>0</v>
      </c>
      <c r="E1224">
        <v>0</v>
      </c>
      <c r="F1224" t="s">
        <v>10</v>
      </c>
      <c r="G1224" t="str" cm="1">
        <f t="array" ref="G1224">FindCountryName(F1224)</f>
        <v>None</v>
      </c>
      <c r="H1224" s="3">
        <v>45299.253518518519</v>
      </c>
      <c r="I1224" s="3">
        <v>45299.253518518519</v>
      </c>
      <c r="J1224" s="3">
        <v>41176.416018518517</v>
      </c>
      <c r="K1224" cm="1">
        <f t="array" ref="K1224">sentimentCalc(C1224)</f>
        <v>0</v>
      </c>
      <c r="L1224" t="str" cm="1">
        <f t="array" ref="L1224">sentimentCategory(K1224)</f>
        <v>Neutral</v>
      </c>
    </row>
    <row r="1225" spans="1:12" x14ac:dyDescent="0.25">
      <c r="A1225" t="s">
        <v>173</v>
      </c>
      <c r="B1225" t="s">
        <v>795</v>
      </c>
      <c r="C1225" t="str" cm="1">
        <f t="array" ref="C1225">CleanText(B1225)</f>
        <v>harika olmu</v>
      </c>
      <c r="D1225">
        <v>0</v>
      </c>
      <c r="E1225">
        <v>0</v>
      </c>
      <c r="F1225" t="s">
        <v>10</v>
      </c>
      <c r="G1225" t="str" cm="1">
        <f t="array" ref="G1225">FindCountryName(F1225)</f>
        <v>None</v>
      </c>
      <c r="H1225" s="3">
        <v>45308.25209490741</v>
      </c>
      <c r="I1225" s="3">
        <v>45308.25209490741</v>
      </c>
      <c r="J1225" s="3">
        <v>41193.673275462963</v>
      </c>
      <c r="K1225" cm="1">
        <f t="array" ref="K1225">sentimentCalc(C1225)</f>
        <v>0</v>
      </c>
      <c r="L1225" t="str" cm="1">
        <f t="array" ref="L1225">sentimentCategory(K1225)</f>
        <v>Neutral</v>
      </c>
    </row>
    <row r="1226" spans="1:12" x14ac:dyDescent="0.25">
      <c r="A1226" t="s">
        <v>682</v>
      </c>
      <c r="B1226" t="s">
        <v>928</v>
      </c>
      <c r="C1226" t="str" cm="1">
        <f t="array" ref="C1226">CleanText(B1226)</f>
        <v>harika oyuncu kadrosu ve mkemmel senaryo</v>
      </c>
      <c r="D1226">
        <v>0</v>
      </c>
      <c r="E1226">
        <v>0</v>
      </c>
      <c r="F1226" t="s">
        <v>10</v>
      </c>
      <c r="G1226" t="str" cm="1">
        <f t="array" ref="G1226">FindCountryName(F1226)</f>
        <v>None</v>
      </c>
      <c r="H1226" s="3">
        <v>45299.265057870369</v>
      </c>
      <c r="I1226" s="3">
        <v>45299.265057870369</v>
      </c>
      <c r="J1226" s="3">
        <v>41419.78533564815</v>
      </c>
      <c r="K1226" cm="1">
        <f t="array" ref="K1226">sentimentCalc(C1226)</f>
        <v>0</v>
      </c>
      <c r="L1226" t="str" cm="1">
        <f t="array" ref="L1226">sentimentCategory(K1226)</f>
        <v>Neutral</v>
      </c>
    </row>
    <row r="1227" spans="1:12" x14ac:dyDescent="0.25">
      <c r="A1227" t="s">
        <v>417</v>
      </c>
      <c r="B1227" t="s">
        <v>418</v>
      </c>
      <c r="C1227" t="str" cm="1">
        <f t="array" ref="C1227">CleanText(B1227)</f>
        <v>harika sevdim bunu</v>
      </c>
      <c r="D1227">
        <v>0</v>
      </c>
      <c r="E1227">
        <v>0</v>
      </c>
      <c r="F1227" t="s">
        <v>10</v>
      </c>
      <c r="G1227" t="str" cm="1">
        <f t="array" ref="G1227">FindCountryName(F1227)</f>
        <v>None</v>
      </c>
      <c r="H1227" s="3">
        <v>45322.272222222222</v>
      </c>
      <c r="I1227" s="3">
        <v>45322.272222222222</v>
      </c>
      <c r="J1227" s="3">
        <v>44284.35428240741</v>
      </c>
      <c r="K1227" cm="1">
        <f t="array" ref="K1227">sentimentCalc(C1227)</f>
        <v>0</v>
      </c>
      <c r="L1227" t="str" cm="1">
        <f t="array" ref="L1227">sentimentCategory(K1227)</f>
        <v>Neutral</v>
      </c>
    </row>
    <row r="1228" spans="1:12" x14ac:dyDescent="0.25">
      <c r="A1228" t="s">
        <v>369</v>
      </c>
      <c r="B1228" t="s">
        <v>370</v>
      </c>
      <c r="C1228" t="str" cm="1">
        <f t="array" ref="C1228">CleanText(B1228)</f>
        <v>harika tavsiye ederim</v>
      </c>
      <c r="D1228">
        <v>0</v>
      </c>
      <c r="E1228">
        <v>0</v>
      </c>
      <c r="F1228" t="s">
        <v>10</v>
      </c>
      <c r="G1228" t="str" cm="1">
        <f t="array" ref="G1228">FindCountryName(F1228)</f>
        <v>None</v>
      </c>
      <c r="H1228" s="3">
        <v>45322.274386574078</v>
      </c>
      <c r="I1228" s="3">
        <v>45322.274386574078</v>
      </c>
      <c r="J1228" s="3">
        <v>45208.371446759258</v>
      </c>
      <c r="K1228" cm="1">
        <f t="array" ref="K1228">sentimentCalc(C1228)</f>
        <v>0</v>
      </c>
      <c r="L1228" t="str" cm="1">
        <f t="array" ref="L1228">sentimentCategory(K1228)</f>
        <v>Neutral</v>
      </c>
    </row>
    <row r="1229" spans="1:12" x14ac:dyDescent="0.25">
      <c r="A1229" t="s">
        <v>921</v>
      </c>
      <c r="B1229" t="s">
        <v>922</v>
      </c>
      <c r="C1229" t="str" cm="1">
        <f t="array" ref="C1229">CleanText(B1229)</f>
        <v>harika tebrikler</v>
      </c>
      <c r="D1229">
        <v>0</v>
      </c>
      <c r="E1229">
        <v>0</v>
      </c>
      <c r="F1229" t="s">
        <v>139</v>
      </c>
      <c r="G1229" t="str" cm="1">
        <f t="array" ref="G1229">FindCountryName(F1229)</f>
        <v>Turkey</v>
      </c>
      <c r="H1229" s="3">
        <v>45299.26898148148</v>
      </c>
      <c r="I1229" s="3">
        <v>45299.26898148148</v>
      </c>
      <c r="J1229" s="3">
        <v>40848.264733796299</v>
      </c>
      <c r="K1229" cm="1">
        <f t="array" ref="K1229">sentimentCalc(C1229)</f>
        <v>0</v>
      </c>
      <c r="L1229" t="str" cm="1">
        <f t="array" ref="L1229">sentimentCategory(K1229)</f>
        <v>Neutral</v>
      </c>
    </row>
    <row r="1230" spans="1:12" x14ac:dyDescent="0.25">
      <c r="A1230" t="s">
        <v>60</v>
      </c>
      <c r="B1230" t="s">
        <v>164</v>
      </c>
      <c r="C1230" t="str" cm="1">
        <f t="array" ref="C1230">CleanText(B1230)</f>
        <v>harika tek kelime ile</v>
      </c>
      <c r="D1230">
        <v>0</v>
      </c>
      <c r="E1230">
        <v>0</v>
      </c>
      <c r="F1230" t="s">
        <v>10</v>
      </c>
      <c r="G1230" t="str" cm="1">
        <f t="array" ref="G1230">FindCountryName(F1230)</f>
        <v>None</v>
      </c>
      <c r="H1230" s="3">
        <v>45337.458935185183</v>
      </c>
      <c r="I1230" s="3">
        <v>45337.458935185183</v>
      </c>
      <c r="J1230" s="3">
        <v>43137.836122685185</v>
      </c>
      <c r="K1230" cm="1">
        <f t="array" ref="K1230">sentimentCalc(C1230)</f>
        <v>0</v>
      </c>
      <c r="L1230" t="str" cm="1">
        <f t="array" ref="L1230">sentimentCategory(K1230)</f>
        <v>Neutral</v>
      </c>
    </row>
    <row r="1231" spans="1:12" x14ac:dyDescent="0.25">
      <c r="A1231" t="s">
        <v>349</v>
      </c>
      <c r="B1231" t="s">
        <v>350</v>
      </c>
      <c r="C1231" t="str" cm="1">
        <f t="array" ref="C1231">CleanText(B1231)</f>
        <v>harika ve gzel</v>
      </c>
      <c r="D1231">
        <v>0</v>
      </c>
      <c r="E1231">
        <v>0</v>
      </c>
      <c r="F1231" t="s">
        <v>10</v>
      </c>
      <c r="G1231" t="str" cm="1">
        <f t="array" ref="G1231">FindCountryName(F1231)</f>
        <v>None</v>
      </c>
      <c r="H1231" s="3">
        <v>45322.276921296296</v>
      </c>
      <c r="I1231" s="3">
        <v>45322.276921296296</v>
      </c>
      <c r="J1231" s="3">
        <v>44220.885034722225</v>
      </c>
      <c r="K1231" cm="1">
        <f t="array" ref="K1231">sentimentCalc(C1231)</f>
        <v>0</v>
      </c>
      <c r="L1231" t="str" cm="1">
        <f t="array" ref="L1231">sentimentCategory(K1231)</f>
        <v>Neutral</v>
      </c>
    </row>
    <row r="1232" spans="1:12" x14ac:dyDescent="0.25">
      <c r="A1232" t="s">
        <v>382</v>
      </c>
      <c r="B1232" t="s">
        <v>908</v>
      </c>
      <c r="C1232" t="str" cm="1">
        <f t="array" ref="C1232">CleanText(B1232)</f>
        <v>harika komedi</v>
      </c>
      <c r="D1232">
        <v>1</v>
      </c>
      <c r="E1232">
        <v>0</v>
      </c>
      <c r="F1232" t="s">
        <v>10</v>
      </c>
      <c r="G1232" t="str" cm="1">
        <f t="array" ref="G1232">FindCountryName(F1232)</f>
        <v>None</v>
      </c>
      <c r="H1232" s="3">
        <v>45299.285567129627</v>
      </c>
      <c r="I1232" s="3">
        <v>45299.285567129627</v>
      </c>
      <c r="J1232" s="3">
        <v>45299.285555555558</v>
      </c>
      <c r="K1232" cm="1">
        <f t="array" ref="K1232">sentimentCalc(C1232)</f>
        <v>0</v>
      </c>
      <c r="L1232" t="str" cm="1">
        <f t="array" ref="L1232">sentimentCategory(K1232)</f>
        <v>Neutral</v>
      </c>
    </row>
    <row r="1233" spans="1:12" x14ac:dyDescent="0.25">
      <c r="A1233" t="s">
        <v>532</v>
      </c>
      <c r="B1233" t="s">
        <v>533</v>
      </c>
      <c r="C1233" t="str" cm="1">
        <f t="array" ref="C1233">CleanText(B1233)</f>
        <v>harika</v>
      </c>
      <c r="D1233">
        <v>0</v>
      </c>
      <c r="E1233">
        <v>0</v>
      </c>
      <c r="F1233" t="s">
        <v>10</v>
      </c>
      <c r="G1233" t="str" cm="1">
        <f t="array" ref="G1233">FindCountryName(F1233)</f>
        <v>None</v>
      </c>
      <c r="H1233" s="3">
        <v>45317.283263888887</v>
      </c>
      <c r="I1233" s="3">
        <v>45317.283263888887</v>
      </c>
      <c r="J1233" s="3">
        <v>42741.572511574072</v>
      </c>
      <c r="K1233" cm="1">
        <f t="array" ref="K1233">sentimentCalc(C1233)</f>
        <v>0</v>
      </c>
      <c r="L1233" t="str" cm="1">
        <f t="array" ref="L1233">sentimentCategory(K1233)</f>
        <v>Neutral</v>
      </c>
    </row>
    <row r="1234" spans="1:12" x14ac:dyDescent="0.25">
      <c r="A1234" t="s">
        <v>103</v>
      </c>
      <c r="B1234" t="s">
        <v>399</v>
      </c>
      <c r="C1234" t="str" cm="1">
        <f t="array" ref="C1234">CleanText(B1234)</f>
        <v>harikaaaaa</v>
      </c>
      <c r="D1234">
        <v>0</v>
      </c>
      <c r="E1234">
        <v>0</v>
      </c>
      <c r="F1234" t="s">
        <v>10</v>
      </c>
      <c r="G1234" t="str" cm="1">
        <f t="array" ref="G1234">FindCountryName(F1234)</f>
        <v>None</v>
      </c>
      <c r="H1234" s="3">
        <v>45322.272569444445</v>
      </c>
      <c r="I1234" s="3">
        <v>45322.272569444445</v>
      </c>
      <c r="J1234" s="3">
        <v>42482.223865740743</v>
      </c>
      <c r="K1234" cm="1">
        <f t="array" ref="K1234">sentimentCalc(C1234)</f>
        <v>0</v>
      </c>
      <c r="L1234" t="str" cm="1">
        <f t="array" ref="L1234">sentimentCategory(K1234)</f>
        <v>Neutral</v>
      </c>
    </row>
    <row r="1235" spans="1:12" x14ac:dyDescent="0.25">
      <c r="A1235" t="s">
        <v>591</v>
      </c>
      <c r="B1235" t="s">
        <v>592</v>
      </c>
      <c r="C1235" t="str" cm="1">
        <f t="array" ref="C1235">CleanText(B1235)</f>
        <v>harikayd ok keyif aldm</v>
      </c>
      <c r="D1235">
        <v>0</v>
      </c>
      <c r="E1235">
        <v>0</v>
      </c>
      <c r="F1235" t="s">
        <v>10</v>
      </c>
      <c r="G1235" t="str" cm="1">
        <f t="array" ref="G1235">FindCountryName(F1235)</f>
        <v>None</v>
      </c>
      <c r="H1235" s="3">
        <v>45317.271203703705</v>
      </c>
      <c r="I1235" s="3">
        <v>45317.271203703705</v>
      </c>
      <c r="J1235" s="3">
        <v>45078.475266203706</v>
      </c>
      <c r="K1235" cm="1">
        <f t="array" ref="K1235">sentimentCalc(C1235)</f>
        <v>0</v>
      </c>
      <c r="L1235" t="str" cm="1">
        <f t="array" ref="L1235">sentimentCategory(K1235)</f>
        <v>Neutral</v>
      </c>
    </row>
    <row r="1236" spans="1:12" x14ac:dyDescent="0.25">
      <c r="A1236" t="s">
        <v>735</v>
      </c>
      <c r="B1236" t="s">
        <v>2923</v>
      </c>
      <c r="C1236" t="str" cm="1">
        <f t="array" ref="C1236">CleanText(B1236)</f>
        <v>harley queen</v>
      </c>
      <c r="D1236">
        <v>0</v>
      </c>
      <c r="E1236">
        <v>0</v>
      </c>
      <c r="F1236" t="s">
        <v>10</v>
      </c>
      <c r="G1236" t="str" cm="1">
        <f t="array" ref="G1236">FindCountryName(F1236)</f>
        <v>None</v>
      </c>
      <c r="H1236" s="3">
        <v>45155.837361111109</v>
      </c>
      <c r="I1236" s="3">
        <v>45155.837361111109</v>
      </c>
      <c r="J1236" s="3">
        <v>41824.222013888888</v>
      </c>
      <c r="K1236" cm="1">
        <f t="array" ref="K1236">sentimentCalc(C1236)</f>
        <v>0</v>
      </c>
      <c r="L1236" t="str" cm="1">
        <f t="array" ref="L1236">sentimentCategory(K1236)</f>
        <v>Neutral</v>
      </c>
    </row>
    <row r="1237" spans="1:12" x14ac:dyDescent="0.25">
      <c r="A1237" t="s">
        <v>1107</v>
      </c>
      <c r="B1237" t="s">
        <v>2983</v>
      </c>
      <c r="C1237" t="str" cm="1">
        <f t="array" ref="C1237">CleanText(B1237)</f>
        <v>harley queenbarbie</v>
      </c>
      <c r="D1237">
        <v>0</v>
      </c>
      <c r="E1237">
        <v>0</v>
      </c>
      <c r="F1237" t="s">
        <v>10</v>
      </c>
      <c r="G1237" t="str" cm="1">
        <f t="array" ref="G1237">FindCountryName(F1237)</f>
        <v>None</v>
      </c>
      <c r="H1237" s="3">
        <v>45154.776712962965</v>
      </c>
      <c r="I1237" s="3">
        <v>45154.776712962965</v>
      </c>
      <c r="J1237" s="3">
        <v>42113.348067129627</v>
      </c>
      <c r="K1237" cm="1">
        <f t="array" ref="K1237">sentimentCalc(C1237)</f>
        <v>0</v>
      </c>
      <c r="L1237" t="str" cm="1">
        <f t="array" ref="L1237">sentimentCategory(K1237)</f>
        <v>Neutral</v>
      </c>
    </row>
    <row r="1238" spans="1:12" x14ac:dyDescent="0.25">
      <c r="A1238" t="s">
        <v>188</v>
      </c>
      <c r="B1238" t="s">
        <v>1180</v>
      </c>
      <c r="C1238" t="str" cm="1">
        <f t="array" ref="C1238">CleanText(B1238)</f>
        <v>harley quinn is barbie look at that face</v>
      </c>
      <c r="D1238">
        <v>1</v>
      </c>
      <c r="E1238">
        <v>0</v>
      </c>
      <c r="F1238" t="s">
        <v>10</v>
      </c>
      <c r="G1238" t="str" cm="1">
        <f t="array" ref="G1238">FindCountryName(F1238)</f>
        <v>None</v>
      </c>
      <c r="H1238" s="3">
        <v>45279.535636574074</v>
      </c>
      <c r="I1238" s="3">
        <v>45279.535636574074</v>
      </c>
      <c r="J1238" s="3">
        <v>43859.49355324074</v>
      </c>
      <c r="K1238" cm="1">
        <f t="array" ref="K1238">sentimentCalc(C1238)</f>
        <v>0</v>
      </c>
      <c r="L1238" t="str" cm="1">
        <f t="array" ref="L1238">sentimentCategory(K1238)</f>
        <v>Neutral</v>
      </c>
    </row>
    <row r="1239" spans="1:12" x14ac:dyDescent="0.25">
      <c r="A1239" t="s">
        <v>2164</v>
      </c>
      <c r="B1239" t="s">
        <v>2165</v>
      </c>
      <c r="C1239" t="str" cm="1">
        <f t="array" ref="C1239">CleanText(B1239)</f>
        <v>harley what are ya doing</v>
      </c>
      <c r="D1239">
        <v>0</v>
      </c>
      <c r="E1239">
        <v>0</v>
      </c>
      <c r="F1239" t="s">
        <v>10</v>
      </c>
      <c r="G1239" t="str" cm="1">
        <f t="array" ref="G1239">FindCountryName(F1239)</f>
        <v>None</v>
      </c>
      <c r="H1239" s="3">
        <v>45177.497118055559</v>
      </c>
      <c r="I1239" s="3">
        <v>45177.497106481482</v>
      </c>
      <c r="J1239" s="3">
        <v>44893.974270833336</v>
      </c>
      <c r="K1239" cm="1">
        <f t="array" ref="K1239">sentimentCalc(C1239)</f>
        <v>0</v>
      </c>
      <c r="L1239" t="str" cm="1">
        <f t="array" ref="L1239">sentimentCategory(K1239)</f>
        <v>Neutral</v>
      </c>
    </row>
    <row r="1240" spans="1:12" x14ac:dyDescent="0.25">
      <c r="A1240" t="s">
        <v>1659</v>
      </c>
      <c r="B1240" t="s">
        <v>2432</v>
      </c>
      <c r="C1240" t="str" cm="1">
        <f t="array" ref="C1240">CleanText(B1240)</f>
        <v>harry potter n</v>
      </c>
      <c r="D1240">
        <v>0</v>
      </c>
      <c r="E1240">
        <v>0</v>
      </c>
      <c r="F1240" t="s">
        <v>10</v>
      </c>
      <c r="G1240" t="str" cm="1">
        <f t="array" ref="G1240">FindCountryName(F1240)</f>
        <v>None</v>
      </c>
      <c r="H1240" s="3">
        <v>45167.343912037039</v>
      </c>
      <c r="I1240" s="3">
        <v>45167.343912037039</v>
      </c>
      <c r="J1240" s="3">
        <v>44307.48296296296</v>
      </c>
      <c r="K1240" cm="1">
        <f t="array" ref="K1240">sentimentCalc(C1240)</f>
        <v>0</v>
      </c>
      <c r="L1240" t="str" cm="1">
        <f t="array" ref="L1240">sentimentCategory(K1240)</f>
        <v>Neutral</v>
      </c>
    </row>
    <row r="1241" spans="1:12" x14ac:dyDescent="0.25">
      <c r="A1241" t="s">
        <v>1065</v>
      </c>
      <c r="B1241" t="s">
        <v>4418</v>
      </c>
      <c r="C1241" t="str" cm="1">
        <f t="array" ref="C1241">CleanText(B1241)</f>
        <v>hate or like this movie is for you</v>
      </c>
      <c r="D1241">
        <v>0</v>
      </c>
      <c r="E1241">
        <v>0</v>
      </c>
      <c r="F1241" t="s">
        <v>10</v>
      </c>
      <c r="G1241" t="str" cm="1">
        <f t="array" ref="G1241">FindCountryName(F1241)</f>
        <v>None</v>
      </c>
      <c r="H1241" s="3">
        <v>45140.387789351851</v>
      </c>
      <c r="I1241" s="3">
        <v>45140.387789351851</v>
      </c>
      <c r="J1241" s="3">
        <v>44348.683055555557</v>
      </c>
      <c r="K1241" cm="1">
        <f t="array" ref="K1241">sentimentCalc(C1241)</f>
        <v>-1</v>
      </c>
      <c r="L1241" t="str" cm="1">
        <f t="array" ref="L1241">sentimentCategory(K1241)</f>
        <v>Negative</v>
      </c>
    </row>
    <row r="1242" spans="1:12" x14ac:dyDescent="0.25">
      <c r="A1242" t="s">
        <v>103</v>
      </c>
      <c r="B1242" t="s">
        <v>3372</v>
      </c>
      <c r="C1242" t="str" cm="1">
        <f t="array" ref="C1242">CleanText(B1242)</f>
        <v>he is doing like this atvir</v>
      </c>
      <c r="D1242">
        <v>0</v>
      </c>
      <c r="E1242">
        <v>0</v>
      </c>
      <c r="F1242" t="s">
        <v>10</v>
      </c>
      <c r="G1242" t="str" cm="1">
        <f t="array" ref="G1242">FindCountryName(F1242)</f>
        <v>None</v>
      </c>
      <c r="H1242" s="3">
        <v>45149.492349537039</v>
      </c>
      <c r="I1242" s="3">
        <v>45149.492337962962</v>
      </c>
      <c r="J1242" s="3">
        <v>45116.133263888885</v>
      </c>
      <c r="K1242" cm="1">
        <f t="array" ref="K1242">sentimentCalc(C1242)</f>
        <v>2</v>
      </c>
      <c r="L1242" t="str" cm="1">
        <f t="array" ref="L1242">sentimentCategory(K1242)</f>
        <v>Positive</v>
      </c>
    </row>
    <row r="1243" spans="1:12" x14ac:dyDescent="0.25">
      <c r="A1243" t="s">
        <v>207</v>
      </c>
      <c r="B1243" t="s">
        <v>208</v>
      </c>
      <c r="C1243" t="str" cm="1">
        <f t="array" ref="C1243">CleanText(B1243)</f>
        <v>hearing about the movie i thought it would be primarily suitable for children i am glad it was made in a way that people of all ages were able to enjoy itthe movie was executed in an educational manner that not only awakened the nostalgic feeling of playing with the barbie doll myself but also made me realize how many generations of girls including me were raised with vast amounts of unrealistic standards about what a woman should be the movie focuses a lot on this point and glorias speech was eyeopening not only for the other barbies but also for the many women who watched iti liked the way the movie showed in an extreme way the contrast between real and barbie worlds and that in the end they successfully made the point that a world solely dominated either by women or by men is not healthy and functional</v>
      </c>
      <c r="D1243">
        <v>0</v>
      </c>
      <c r="E1243">
        <v>0</v>
      </c>
      <c r="F1243" t="s">
        <v>10</v>
      </c>
      <c r="G1243" t="str" cm="1">
        <f t="array" ref="G1243">FindCountryName(F1243)</f>
        <v>None</v>
      </c>
      <c r="H1243" s="3">
        <v>45333.283194444448</v>
      </c>
      <c r="I1243" s="3">
        <v>45333.283194444448</v>
      </c>
      <c r="J1243" s="3">
        <v>43892.610717592594</v>
      </c>
      <c r="K1243" cm="1">
        <f t="array" ref="K1243">sentimentCalc(C1243)</f>
        <v>10</v>
      </c>
      <c r="L1243" t="str" cm="1">
        <f t="array" ref="L1243">sentimentCategory(K1243)</f>
        <v>Positive</v>
      </c>
    </row>
    <row r="1244" spans="1:12" x14ac:dyDescent="0.25">
      <c r="A1244" t="s">
        <v>830</v>
      </c>
      <c r="B1244" t="s">
        <v>3121</v>
      </c>
      <c r="C1244" t="str" cm="1">
        <f t="array" ref="C1244">CleanText(B1244)</f>
        <v>hehahahhaahhahhahaahhh</v>
      </c>
      <c r="D1244">
        <v>0</v>
      </c>
      <c r="E1244">
        <v>0</v>
      </c>
      <c r="F1244" t="s">
        <v>10</v>
      </c>
      <c r="G1244" t="str" cm="1">
        <f t="array" ref="G1244">FindCountryName(F1244)</f>
        <v>None</v>
      </c>
      <c r="H1244" s="3">
        <v>45153.050879629627</v>
      </c>
      <c r="I1244" s="3">
        <v>45153.050879629627</v>
      </c>
      <c r="J1244" s="3">
        <v>44852.270497685182</v>
      </c>
      <c r="K1244" cm="1">
        <f t="array" ref="K1244">sentimentCalc(C1244)</f>
        <v>0</v>
      </c>
      <c r="L1244" t="str" cm="1">
        <f t="array" ref="L1244">sentimentCategory(K1244)</f>
        <v>Neutral</v>
      </c>
    </row>
    <row r="1245" spans="1:12" x14ac:dyDescent="0.25">
      <c r="A1245" t="s">
        <v>1246</v>
      </c>
      <c r="B1245" t="s">
        <v>3346</v>
      </c>
      <c r="C1245" t="str" cm="1">
        <f t="array" ref="C1245">CleanText(B1245)</f>
        <v>hehhehhee</v>
      </c>
      <c r="D1245">
        <v>0</v>
      </c>
      <c r="E1245">
        <v>0</v>
      </c>
      <c r="F1245" t="s">
        <v>845</v>
      </c>
      <c r="G1245" t="str" cm="1">
        <f t="array" ref="G1245">FindCountryName(F1245)</f>
        <v>Australia</v>
      </c>
      <c r="H1245" s="3">
        <v>45149.817766203705</v>
      </c>
      <c r="I1245" s="3">
        <v>45149.817766203705</v>
      </c>
      <c r="J1245" s="3">
        <v>44184.954814814817</v>
      </c>
      <c r="K1245" cm="1">
        <f t="array" ref="K1245">sentimentCalc(C1245)</f>
        <v>0</v>
      </c>
      <c r="L1245" t="str" cm="1">
        <f t="array" ref="L1245">sentimentCategory(K1245)</f>
        <v>Neutral</v>
      </c>
    </row>
    <row r="1246" spans="1:12" x14ac:dyDescent="0.25">
      <c r="A1246" t="s">
        <v>213</v>
      </c>
      <c r="B1246" t="s">
        <v>801</v>
      </c>
      <c r="C1246" t="str" cm="1">
        <f t="array" ref="C1246">CleanText(B1246)</f>
        <v>hello</v>
      </c>
      <c r="D1246">
        <v>0</v>
      </c>
      <c r="E1246">
        <v>0</v>
      </c>
      <c r="F1246" t="s">
        <v>10</v>
      </c>
      <c r="G1246" t="str" cm="1">
        <f t="array" ref="G1246">FindCountryName(F1246)</f>
        <v>None</v>
      </c>
      <c r="H1246" s="3">
        <v>45307.136944444443</v>
      </c>
      <c r="I1246" s="3">
        <v>45307.136944444443</v>
      </c>
      <c r="J1246" s="3">
        <v>42506.560960648145</v>
      </c>
      <c r="K1246" cm="1">
        <f t="array" ref="K1246">sentimentCalc(C1246)</f>
        <v>0</v>
      </c>
      <c r="L1246" t="str" cm="1">
        <f t="array" ref="L1246">sentimentCategory(K1246)</f>
        <v>Neutral</v>
      </c>
    </row>
    <row r="1247" spans="1:12" x14ac:dyDescent="0.25">
      <c r="A1247" t="s">
        <v>921</v>
      </c>
      <c r="B1247" t="s">
        <v>4147</v>
      </c>
      <c r="C1247" t="str" cm="1">
        <f t="array" ref="C1247">CleanText(B1247)</f>
        <v>hello from jpthanks for your heartful tweet with oppenheimerseems barbies head is empty</v>
      </c>
      <c r="D1247">
        <v>2</v>
      </c>
      <c r="E1247">
        <v>0</v>
      </c>
      <c r="F1247" t="s">
        <v>10</v>
      </c>
      <c r="G1247" t="str" cm="1">
        <f t="array" ref="G1247">FindCountryName(F1247)</f>
        <v>None</v>
      </c>
      <c r="H1247" s="3">
        <v>45142.560891203706</v>
      </c>
      <c r="I1247" s="3">
        <v>45142.560891203706</v>
      </c>
      <c r="J1247" s="3">
        <v>43022.51898148148</v>
      </c>
      <c r="K1247" cm="1">
        <f t="array" ref="K1247">sentimentCalc(C1247)</f>
        <v>-1</v>
      </c>
      <c r="L1247" t="str" cm="1">
        <f t="array" ref="L1247">sentimentCategory(K1247)</f>
        <v>Negative</v>
      </c>
    </row>
    <row r="1248" spans="1:12" x14ac:dyDescent="0.25">
      <c r="A1248" t="s">
        <v>1287</v>
      </c>
      <c r="B1248" t="s">
        <v>2082</v>
      </c>
      <c r="C1248" t="str" cm="1">
        <f t="array" ref="C1248">CleanText(B1248)</f>
        <v>help is needed for alot of people fr</v>
      </c>
      <c r="D1248">
        <v>3</v>
      </c>
      <c r="E1248">
        <v>0</v>
      </c>
      <c r="F1248" t="s">
        <v>10</v>
      </c>
      <c r="G1248" t="str" cm="1">
        <f t="array" ref="G1248">FindCountryName(F1248)</f>
        <v>None</v>
      </c>
      <c r="H1248" s="3">
        <v>45181.354027777779</v>
      </c>
      <c r="I1248" s="3">
        <v>45181.354027777779</v>
      </c>
      <c r="J1248" s="3">
        <v>43259.02553240741</v>
      </c>
      <c r="K1248" cm="1">
        <f t="array" ref="K1248">sentimentCalc(C1248)</f>
        <v>2</v>
      </c>
      <c r="L1248" t="str" cm="1">
        <f t="array" ref="L1248">sentimentCategory(K1248)</f>
        <v>Positive</v>
      </c>
    </row>
    <row r="1249" spans="1:12" x14ac:dyDescent="0.25">
      <c r="A1249" t="s">
        <v>1468</v>
      </c>
      <c r="B1249" t="s">
        <v>1469</v>
      </c>
      <c r="C1249" t="str" cm="1">
        <f t="array" ref="C1249">CleanText(B1249)</f>
        <v>help pls my teacher will see this movie with my class wish me luck pls</v>
      </c>
      <c r="D1249">
        <v>0</v>
      </c>
      <c r="E1249">
        <v>0</v>
      </c>
      <c r="F1249" t="s">
        <v>1050</v>
      </c>
      <c r="G1249" t="str" cm="1">
        <f t="array" ref="G1249">FindCountryName(F1249)</f>
        <v>Germany</v>
      </c>
      <c r="H1249" s="3">
        <v>45226.159988425927</v>
      </c>
      <c r="I1249" s="3">
        <v>45226.159988425927</v>
      </c>
      <c r="J1249" s="3">
        <v>43750.504178240742</v>
      </c>
      <c r="K1249" cm="1">
        <f t="array" ref="K1249">sentimentCalc(C1249)</f>
        <v>6</v>
      </c>
      <c r="L1249" t="str" cm="1">
        <f t="array" ref="L1249">sentimentCategory(K1249)</f>
        <v>Positive</v>
      </c>
    </row>
    <row r="1250" spans="1:12" x14ac:dyDescent="0.25">
      <c r="A1250" t="s">
        <v>203</v>
      </c>
      <c r="B1250" t="s">
        <v>2119</v>
      </c>
      <c r="C1250" t="str" cm="1">
        <f t="array" ref="C1250">CleanText(B1250)</f>
        <v>heman saves the universe while barbie drives from her house in her car to her desk job now do you see why there is a patriarchy we rule</v>
      </c>
      <c r="D1250">
        <v>2</v>
      </c>
      <c r="E1250">
        <v>6</v>
      </c>
      <c r="F1250" t="s">
        <v>10</v>
      </c>
      <c r="G1250" t="str" cm="1">
        <f t="array" ref="G1250">FindCountryName(F1250)</f>
        <v>None</v>
      </c>
      <c r="H1250" s="3">
        <v>45179.863287037035</v>
      </c>
      <c r="I1250" s="3">
        <v>45179.863287037035</v>
      </c>
      <c r="J1250" s="3">
        <v>43126.050995370373</v>
      </c>
      <c r="K1250" cm="1">
        <f t="array" ref="K1250">sentimentCalc(C1250)</f>
        <v>0</v>
      </c>
      <c r="L1250" t="str" cm="1">
        <f t="array" ref="L1250">sentimentCategory(K1250)</f>
        <v>Neutral</v>
      </c>
    </row>
    <row r="1251" spans="1:12" x14ac:dyDescent="0.25">
      <c r="A1251" t="s">
        <v>247</v>
      </c>
      <c r="B1251" t="s">
        <v>320</v>
      </c>
      <c r="C1251" t="str" cm="1">
        <f t="array" ref="C1251">CleanText(B1251)</f>
        <v>hep merakla izlemek istiyordum ve sonunda izledim gzel izlenir</v>
      </c>
      <c r="D1251">
        <v>0</v>
      </c>
      <c r="E1251">
        <v>0</v>
      </c>
      <c r="F1251" t="s">
        <v>10</v>
      </c>
      <c r="G1251" t="str" cm="1">
        <f t="array" ref="G1251">FindCountryName(F1251)</f>
        <v>None</v>
      </c>
      <c r="H1251" s="3">
        <v>45322.312280092592</v>
      </c>
      <c r="I1251" s="3">
        <v>45322.312280092592</v>
      </c>
      <c r="J1251" s="3">
        <v>44074.356724537036</v>
      </c>
      <c r="K1251" cm="1">
        <f t="array" ref="K1251">sentimentCalc(C1251)</f>
        <v>0</v>
      </c>
      <c r="L1251" t="str" cm="1">
        <f t="array" ref="L1251">sentimentCategory(K1251)</f>
        <v>Neutral</v>
      </c>
    </row>
    <row r="1252" spans="1:12" x14ac:dyDescent="0.25">
      <c r="A1252" t="s">
        <v>1582</v>
      </c>
      <c r="B1252" t="s">
        <v>1583</v>
      </c>
      <c r="C1252" t="str" cm="1">
        <f t="array" ref="C1252">CleanText(B1252)</f>
        <v>here come a slew of toy and boardgame ip films</v>
      </c>
      <c r="D1252">
        <v>0</v>
      </c>
      <c r="E1252">
        <v>0</v>
      </c>
      <c r="F1252" t="s">
        <v>10</v>
      </c>
      <c r="G1252" t="str" cm="1">
        <f t="array" ref="G1252">FindCountryName(F1252)</f>
        <v>None</v>
      </c>
      <c r="H1252" s="3">
        <v>45212.672222222223</v>
      </c>
      <c r="I1252" s="3">
        <v>45212.672222222223</v>
      </c>
      <c r="J1252" s="3">
        <v>44937.704328703701</v>
      </c>
      <c r="K1252" cm="1">
        <f t="array" ref="K1252">sentimentCalc(C1252)</f>
        <v>0</v>
      </c>
      <c r="L1252" t="str" cm="1">
        <f t="array" ref="L1252">sentimentCategory(K1252)</f>
        <v>Neutral</v>
      </c>
    </row>
    <row r="1253" spans="1:12" x14ac:dyDescent="0.25">
      <c r="A1253" t="s">
        <v>4078</v>
      </c>
      <c r="B1253" t="s">
        <v>4079</v>
      </c>
      <c r="C1253" t="str" cm="1">
        <f t="array" ref="C1253">CleanText(B1253)</f>
        <v>heres the futuremovie won  oscar awardinclude best movie of academy award nicki minaj will get one oscar awardthis is not joke</v>
      </c>
      <c r="D1253">
        <v>0</v>
      </c>
      <c r="E1253">
        <v>1</v>
      </c>
      <c r="F1253" t="s">
        <v>10</v>
      </c>
      <c r="G1253" t="str" cm="1">
        <f t="array" ref="G1253">FindCountryName(F1253)</f>
        <v>None</v>
      </c>
      <c r="H1253" s="3">
        <v>45143.087407407409</v>
      </c>
      <c r="I1253" s="3">
        <v>45143.087696759256</v>
      </c>
      <c r="J1253" s="3">
        <v>41320.155138888891</v>
      </c>
      <c r="K1253" cm="1">
        <f t="array" ref="K1253">sentimentCalc(C1253)</f>
        <v>11</v>
      </c>
      <c r="L1253" t="str" cm="1">
        <f t="array" ref="L1253">sentimentCategory(K1253)</f>
        <v>Positive</v>
      </c>
    </row>
    <row r="1254" spans="1:12" x14ac:dyDescent="0.25">
      <c r="A1254" t="s">
        <v>156</v>
      </c>
      <c r="B1254" t="s">
        <v>157</v>
      </c>
      <c r="C1254" t="str" cm="1">
        <f t="array" ref="C1254">CleanText(B1254)</f>
        <v>herkesin izlemesi gereken bir yapt</v>
      </c>
      <c r="D1254">
        <v>0</v>
      </c>
      <c r="E1254">
        <v>0</v>
      </c>
      <c r="F1254" t="s">
        <v>10</v>
      </c>
      <c r="G1254" t="str" cm="1">
        <f t="array" ref="G1254">FindCountryName(F1254)</f>
        <v>None</v>
      </c>
      <c r="H1254" s="3">
        <v>45337.459490740737</v>
      </c>
      <c r="I1254" s="3">
        <v>45337.459490740737</v>
      </c>
      <c r="J1254" s="3">
        <v>43927.17119212963</v>
      </c>
      <c r="K1254" cm="1">
        <f t="array" ref="K1254">sentimentCalc(C1254)</f>
        <v>0</v>
      </c>
      <c r="L1254" t="str" cm="1">
        <f t="array" ref="L1254">sentimentCategory(K1254)</f>
        <v>Neutral</v>
      </c>
    </row>
    <row r="1255" spans="1:12" x14ac:dyDescent="0.25">
      <c r="A1255" t="s">
        <v>1390</v>
      </c>
      <c r="B1255" t="s">
        <v>2707</v>
      </c>
      <c r="C1255" t="str" cm="1">
        <f t="array" ref="C1255">CleanText(B1255)</f>
        <v>hey barbie</v>
      </c>
      <c r="D1255">
        <v>0</v>
      </c>
      <c r="E1255">
        <v>0</v>
      </c>
      <c r="F1255" t="s">
        <v>10</v>
      </c>
      <c r="G1255" t="str" cm="1">
        <f t="array" ref="G1255">FindCountryName(F1255)</f>
        <v>None</v>
      </c>
      <c r="H1255" s="3">
        <v>45159.492824074077</v>
      </c>
      <c r="I1255" s="3">
        <v>45159.492824074077</v>
      </c>
      <c r="J1255" s="3">
        <v>41930.967916666668</v>
      </c>
      <c r="K1255" cm="1">
        <f t="array" ref="K1255">sentimentCalc(C1255)</f>
        <v>0</v>
      </c>
      <c r="L1255" t="str" cm="1">
        <f t="array" ref="L1255">sentimentCategory(K1255)</f>
        <v>Neutral</v>
      </c>
    </row>
    <row r="1256" spans="1:12" x14ac:dyDescent="0.25">
      <c r="A1256" t="s">
        <v>217</v>
      </c>
      <c r="B1256" t="s">
        <v>218</v>
      </c>
      <c r="C1256" t="str" cm="1">
        <f t="array" ref="C1256">CleanText(B1256)</f>
        <v>hey barbie can you come to india</v>
      </c>
      <c r="D1256">
        <v>0</v>
      </c>
      <c r="E1256">
        <v>0</v>
      </c>
      <c r="F1256" t="s">
        <v>10</v>
      </c>
      <c r="G1256" t="str" cm="1">
        <f t="array" ref="G1256">FindCountryName(F1256)</f>
        <v>None</v>
      </c>
      <c r="H1256" s="3">
        <v>45332.363506944443</v>
      </c>
      <c r="I1256" s="3">
        <v>45332.363506944443</v>
      </c>
      <c r="J1256" s="3">
        <v>40601.479953703703</v>
      </c>
      <c r="K1256" cm="1">
        <f t="array" ref="K1256">sentimentCalc(C1256)</f>
        <v>0</v>
      </c>
      <c r="L1256" t="str" cm="1">
        <f t="array" ref="L1256">sentimentCategory(K1256)</f>
        <v>Neutral</v>
      </c>
    </row>
    <row r="1257" spans="1:12" x14ac:dyDescent="0.25">
      <c r="A1257" t="s">
        <v>397</v>
      </c>
      <c r="B1257" t="s">
        <v>667</v>
      </c>
      <c r="C1257" t="str" cm="1">
        <f t="array" ref="C1257">CleanText(B1257)</f>
        <v>hey barbie</v>
      </c>
      <c r="D1257">
        <v>0</v>
      </c>
      <c r="E1257">
        <v>0</v>
      </c>
      <c r="F1257" t="s">
        <v>10</v>
      </c>
      <c r="G1257" t="str" cm="1">
        <f t="array" ref="G1257">FindCountryName(F1257)</f>
        <v>None</v>
      </c>
      <c r="H1257" s="3">
        <v>45314.273634259262</v>
      </c>
      <c r="I1257" s="3">
        <v>45314.273634259262</v>
      </c>
      <c r="J1257" s="3">
        <v>43961.250763888886</v>
      </c>
      <c r="K1257" cm="1">
        <f t="array" ref="K1257">sentimentCalc(C1257)</f>
        <v>0</v>
      </c>
      <c r="L1257" t="str" cm="1">
        <f t="array" ref="L1257">sentimentCategory(K1257)</f>
        <v>Neutral</v>
      </c>
    </row>
    <row r="1258" spans="1:12" x14ac:dyDescent="0.25">
      <c r="A1258" t="s">
        <v>1424</v>
      </c>
      <c r="B1258" t="s">
        <v>1425</v>
      </c>
      <c r="C1258" t="str" cm="1">
        <f t="array" ref="C1258">CleanText(B1258)</f>
        <v>hey barbie i was dressed up like you for halloween i wear the way in the cartoon and all the stuff i was just like you off the movie</v>
      </c>
      <c r="D1258">
        <v>0</v>
      </c>
      <c r="E1258">
        <v>0</v>
      </c>
      <c r="F1258" t="s">
        <v>10</v>
      </c>
      <c r="G1258" t="str" cm="1">
        <f t="array" ref="G1258">FindCountryName(F1258)</f>
        <v>None</v>
      </c>
      <c r="H1258" s="3">
        <v>45230.836030092592</v>
      </c>
      <c r="I1258" s="3">
        <v>45230.836030092592</v>
      </c>
      <c r="J1258" s="3">
        <v>44980.86314814815</v>
      </c>
      <c r="K1258" cm="1">
        <f t="array" ref="K1258">sentimentCalc(C1258)</f>
        <v>4</v>
      </c>
      <c r="L1258" t="str" cm="1">
        <f t="array" ref="L1258">sentimentCategory(K1258)</f>
        <v>Positive</v>
      </c>
    </row>
    <row r="1259" spans="1:12" x14ac:dyDescent="0.25">
      <c r="A1259" t="s">
        <v>525</v>
      </c>
      <c r="B1259" t="s">
        <v>526</v>
      </c>
      <c r="C1259" t="str" cm="1">
        <f t="array" ref="C1259">CleanText(B1259)</f>
        <v>hey barbie</v>
      </c>
      <c r="D1259">
        <v>0</v>
      </c>
      <c r="E1259">
        <v>0</v>
      </c>
      <c r="F1259" t="s">
        <v>10</v>
      </c>
      <c r="G1259" t="str" cm="1">
        <f t="array" ref="G1259">FindCountryName(F1259)</f>
        <v>None</v>
      </c>
      <c r="H1259" s="3">
        <v>45317.302881944444</v>
      </c>
      <c r="I1259" s="3">
        <v>45317.302881944444</v>
      </c>
      <c r="J1259" s="3">
        <v>42576.415775462963</v>
      </c>
      <c r="K1259" cm="1">
        <f t="array" ref="K1259">sentimentCalc(C1259)</f>
        <v>0</v>
      </c>
      <c r="L1259" t="str" cm="1">
        <f t="array" ref="L1259">sentimentCategory(K1259)</f>
        <v>Neutral</v>
      </c>
    </row>
    <row r="1260" spans="1:12" x14ac:dyDescent="0.25">
      <c r="A1260" t="s">
        <v>331</v>
      </c>
      <c r="B1260" t="s">
        <v>2931</v>
      </c>
      <c r="C1260" t="str" cm="1">
        <f t="array" ref="C1260">CleanText(B1260)</f>
        <v>hey u guys u know that barbie is drug movie think how is</v>
      </c>
      <c r="D1260">
        <v>0</v>
      </c>
      <c r="E1260">
        <v>0</v>
      </c>
      <c r="F1260" t="s">
        <v>10</v>
      </c>
      <c r="G1260" t="str" cm="1">
        <f t="array" ref="G1260">FindCountryName(F1260)</f>
        <v>None</v>
      </c>
      <c r="H1260" s="3">
        <v>45155.738321759258</v>
      </c>
      <c r="I1260" s="3">
        <v>45155.738321759258</v>
      </c>
      <c r="J1260" s="3">
        <v>44790.469988425924</v>
      </c>
      <c r="K1260" cm="1">
        <f t="array" ref="K1260">sentimentCalc(C1260)</f>
        <v>0</v>
      </c>
      <c r="L1260" t="str" cm="1">
        <f t="array" ref="L1260">sentimentCategory(K1260)</f>
        <v>Neutral</v>
      </c>
    </row>
    <row r="1261" spans="1:12" x14ac:dyDescent="0.25">
      <c r="A1261" t="s">
        <v>2080</v>
      </c>
      <c r="B1261" t="s">
        <v>2081</v>
      </c>
      <c r="C1261" t="str" cm="1">
        <f t="array" ref="C1261">CleanText(B1261)</f>
        <v>hey you guys are successfully destroying our childhood and ruin your reputation</v>
      </c>
      <c r="D1261">
        <v>3</v>
      </c>
      <c r="E1261">
        <v>4</v>
      </c>
      <c r="F1261" t="s">
        <v>10</v>
      </c>
      <c r="G1261" t="str" cm="1">
        <f t="array" ref="G1261">FindCountryName(F1261)</f>
        <v>None</v>
      </c>
      <c r="H1261" s="3">
        <v>45181.445555555554</v>
      </c>
      <c r="I1261" s="3">
        <v>45181.445555555554</v>
      </c>
      <c r="J1261" s="3">
        <v>45069.112210648149</v>
      </c>
      <c r="K1261" cm="1">
        <f t="array" ref="K1261">sentimentCalc(C1261)</f>
        <v>-5</v>
      </c>
      <c r="L1261" t="str" cm="1">
        <f t="array" ref="L1261">sentimentCategory(K1261)</f>
        <v>Negative</v>
      </c>
    </row>
    <row r="1262" spans="1:12" x14ac:dyDescent="0.25">
      <c r="A1262" t="s">
        <v>133</v>
      </c>
      <c r="B1262" t="s">
        <v>1184</v>
      </c>
      <c r="C1262" t="str" cm="1">
        <f t="array" ref="C1262">CleanText(B1262)</f>
        <v>hgdhgfzznofdaalx</v>
      </c>
      <c r="D1262">
        <v>0</v>
      </c>
      <c r="E1262">
        <v>0</v>
      </c>
      <c r="F1262" t="s">
        <v>10</v>
      </c>
      <c r="G1262" t="str" cm="1">
        <f t="array" ref="G1262">FindCountryName(F1262)</f>
        <v>None</v>
      </c>
      <c r="H1262" s="3">
        <v>45279.47384259259</v>
      </c>
      <c r="I1262" s="3">
        <v>45279.47384259259</v>
      </c>
      <c r="J1262" s="3">
        <v>45034.985717592594</v>
      </c>
      <c r="K1262" cm="1">
        <f t="array" ref="K1262">sentimentCalc(C1262)</f>
        <v>0</v>
      </c>
      <c r="L1262" t="str" cm="1">
        <f t="array" ref="L1262">sentimentCategory(K1262)</f>
        <v>Neutral</v>
      </c>
    </row>
    <row r="1263" spans="1:12" x14ac:dyDescent="0.25">
      <c r="A1263" t="s">
        <v>564</v>
      </c>
      <c r="B1263" t="s">
        <v>1358</v>
      </c>
      <c r="C1263" t="str" cm="1">
        <f t="array" ref="C1263">CleanText(B1263)</f>
        <v>hi</v>
      </c>
      <c r="D1263">
        <v>1</v>
      </c>
      <c r="E1263">
        <v>0</v>
      </c>
      <c r="F1263" t="s">
        <v>10</v>
      </c>
      <c r="G1263" t="str" cm="1">
        <f t="array" ref="G1263">FindCountryName(F1263)</f>
        <v>None</v>
      </c>
      <c r="H1263" s="3">
        <v>45241.69667824074</v>
      </c>
      <c r="I1263" s="3">
        <v>45241.69667824074</v>
      </c>
      <c r="J1263" s="3">
        <v>44921.605891203704</v>
      </c>
      <c r="K1263" cm="1">
        <f t="array" ref="K1263">sentimentCalc(C1263)</f>
        <v>0</v>
      </c>
      <c r="L1263" t="str" cm="1">
        <f t="array" ref="L1263">sentimentCategory(K1263)</f>
        <v>Neutral</v>
      </c>
    </row>
    <row r="1264" spans="1:12" x14ac:dyDescent="0.25">
      <c r="A1264" t="s">
        <v>8</v>
      </c>
      <c r="B1264" t="s">
        <v>9</v>
      </c>
      <c r="C1264" t="str" cm="1">
        <f t="array" ref="C1264">CleanText(B1264)</f>
        <v>hi barbie</v>
      </c>
      <c r="D1264">
        <v>0</v>
      </c>
      <c r="E1264">
        <v>0</v>
      </c>
      <c r="F1264" t="s">
        <v>10</v>
      </c>
      <c r="G1264" t="str" cm="1">
        <f t="array" ref="G1264">FindCountryName(F1264)</f>
        <v>None</v>
      </c>
      <c r="H1264" s="3">
        <v>45350.869768518518</v>
      </c>
      <c r="I1264" s="3">
        <v>45350.869768518518</v>
      </c>
      <c r="J1264" s="3">
        <v>45236.813379629632</v>
      </c>
      <c r="K1264" cm="1">
        <f t="array" ref="K1264">sentimentCalc(C1264)</f>
        <v>0</v>
      </c>
      <c r="L1264" t="str" cm="1">
        <f t="array" ref="L1264">sentimentCategory(K1264)</f>
        <v>Neutral</v>
      </c>
    </row>
    <row r="1265" spans="1:12" x14ac:dyDescent="0.25">
      <c r="A1265" t="s">
        <v>15</v>
      </c>
      <c r="B1265" t="s">
        <v>4033</v>
      </c>
      <c r="C1265" t="str" cm="1">
        <f t="array" ref="C1265">CleanText(B1265)</f>
        <v>hi barbie all japanese remember  and</v>
      </c>
      <c r="D1265">
        <v>1</v>
      </c>
      <c r="E1265">
        <v>0</v>
      </c>
      <c r="F1265" t="s">
        <v>10</v>
      </c>
      <c r="G1265" t="str" cm="1">
        <f t="array" ref="G1265">FindCountryName(F1265)</f>
        <v>None</v>
      </c>
      <c r="H1265" s="3">
        <v>45143.536273148151</v>
      </c>
      <c r="I1265" s="3">
        <v>45143.536273148151</v>
      </c>
      <c r="J1265" s="3">
        <v>43994.980925925927</v>
      </c>
      <c r="K1265" cm="1">
        <f t="array" ref="K1265">sentimentCalc(C1265)</f>
        <v>0</v>
      </c>
      <c r="L1265" t="str" cm="1">
        <f t="array" ref="L1265">sentimentCategory(K1265)</f>
        <v>Neutral</v>
      </c>
    </row>
    <row r="1266" spans="1:12" x14ac:dyDescent="0.25">
      <c r="A1266" t="s">
        <v>130</v>
      </c>
      <c r="B1266" t="s">
        <v>1370</v>
      </c>
      <c r="C1266" t="str" cm="1">
        <f t="array" ref="C1266">CleanText(B1266)</f>
        <v>hi barbie</v>
      </c>
      <c r="D1266">
        <v>2</v>
      </c>
      <c r="E1266">
        <v>0</v>
      </c>
      <c r="F1266" t="s">
        <v>10</v>
      </c>
      <c r="G1266" t="str" cm="1">
        <f t="array" ref="G1266">FindCountryName(F1266)</f>
        <v>None</v>
      </c>
      <c r="H1266" s="3">
        <v>45237.553240740737</v>
      </c>
      <c r="I1266" s="3">
        <v>45237.553240740737</v>
      </c>
      <c r="J1266" s="3">
        <v>45161.260150462964</v>
      </c>
      <c r="K1266" cm="1">
        <f t="array" ref="K1266">sentimentCalc(C1266)</f>
        <v>0</v>
      </c>
      <c r="L1266" t="str" cm="1">
        <f t="array" ref="L1266">sentimentCategory(K1266)</f>
        <v>Neutral</v>
      </c>
    </row>
    <row r="1267" spans="1:12" x14ac:dyDescent="0.25">
      <c r="A1267" t="s">
        <v>1692</v>
      </c>
      <c r="B1267" t="s">
        <v>1696</v>
      </c>
      <c r="C1267" t="str" cm="1">
        <f t="array" ref="C1267">CleanText(B1267)</f>
        <v>hi barbie your film is so so so nice i wish i be barbie i have  barbies and  ken and theyre stafs and bads  my all home is barbies and kens bads i have a tables and chairs i want to come to your country wat is your country have a nice day all body and barbie ken</v>
      </c>
      <c r="D1267">
        <v>0</v>
      </c>
      <c r="E1267">
        <v>1</v>
      </c>
      <c r="F1267" t="s">
        <v>10</v>
      </c>
      <c r="G1267" t="str" cm="1">
        <f t="array" ref="G1267">FindCountryName(F1267)</f>
        <v>None</v>
      </c>
      <c r="H1267" s="3">
        <v>45201.342013888891</v>
      </c>
      <c r="I1267" s="3">
        <v>45201.342013888891</v>
      </c>
      <c r="J1267" s="3">
        <v>45197.171481481484</v>
      </c>
      <c r="K1267" cm="1">
        <f t="array" ref="K1267">sentimentCalc(C1267)</f>
        <v>8</v>
      </c>
      <c r="L1267" t="str" cm="1">
        <f t="array" ref="L1267">sentimentCategory(K1267)</f>
        <v>Positive</v>
      </c>
    </row>
    <row r="1268" spans="1:12" x14ac:dyDescent="0.25">
      <c r="A1268" t="s">
        <v>211</v>
      </c>
      <c r="B1268" t="s">
        <v>4135</v>
      </c>
      <c r="C1268" t="str" cm="1">
        <f t="array" ref="C1268">CleanText(B1268)</f>
        <v>hi barbie</v>
      </c>
      <c r="D1268">
        <v>0</v>
      </c>
      <c r="E1268">
        <v>0</v>
      </c>
      <c r="F1268" t="s">
        <v>1073</v>
      </c>
      <c r="G1268" t="str" cm="1">
        <f t="array" ref="G1268">FindCountryName(F1268)</f>
        <v>India</v>
      </c>
      <c r="H1268" s="3">
        <v>45142.612534722219</v>
      </c>
      <c r="I1268" s="3">
        <v>45142.612534722219</v>
      </c>
      <c r="J1268" s="3">
        <v>42393.503796296296</v>
      </c>
      <c r="K1268" cm="1">
        <f t="array" ref="K1268">sentimentCalc(C1268)</f>
        <v>0</v>
      </c>
      <c r="L1268" t="str" cm="1">
        <f t="array" ref="L1268">sentimentCategory(K1268)</f>
        <v>Neutral</v>
      </c>
    </row>
    <row r="1269" spans="1:12" x14ac:dyDescent="0.25">
      <c r="A1269" t="s">
        <v>90</v>
      </c>
      <c r="B1269" t="s">
        <v>3226</v>
      </c>
      <c r="C1269" t="str" cm="1">
        <f t="array" ref="C1269">CleanText(B1269)</f>
        <v>hi barbie hi ken</v>
      </c>
      <c r="D1269">
        <v>0</v>
      </c>
      <c r="E1269">
        <v>0</v>
      </c>
      <c r="F1269" t="s">
        <v>10</v>
      </c>
      <c r="G1269" t="str" cm="1">
        <f t="array" ref="G1269">FindCountryName(F1269)</f>
        <v>None</v>
      </c>
      <c r="H1269" s="3">
        <v>45151.576284722221</v>
      </c>
      <c r="I1269" s="3">
        <v>45151.576284722221</v>
      </c>
      <c r="J1269" s="3">
        <v>41682.41951388889</v>
      </c>
      <c r="K1269" cm="1">
        <f t="array" ref="K1269">sentimentCalc(C1269)</f>
        <v>0</v>
      </c>
      <c r="L1269" t="str" cm="1">
        <f t="array" ref="L1269">sentimentCategory(K1269)</f>
        <v>Neutral</v>
      </c>
    </row>
    <row r="1270" spans="1:12" x14ac:dyDescent="0.25">
      <c r="A1270" t="s">
        <v>559</v>
      </c>
      <c r="B1270" t="s">
        <v>4096</v>
      </c>
      <c r="C1270" t="str" cm="1">
        <f t="array" ref="C1270">CleanText(B1270)</f>
        <v>hi</v>
      </c>
      <c r="D1270">
        <v>0</v>
      </c>
      <c r="E1270">
        <v>0</v>
      </c>
      <c r="F1270" t="s">
        <v>10</v>
      </c>
      <c r="G1270" t="str" cm="1">
        <f t="array" ref="G1270">FindCountryName(F1270)</f>
        <v>None</v>
      </c>
      <c r="H1270" s="3">
        <v>45142.935520833336</v>
      </c>
      <c r="I1270" s="3">
        <v>45142.935520833336</v>
      </c>
      <c r="J1270" s="3">
        <v>44953.998692129629</v>
      </c>
      <c r="K1270" cm="1">
        <f t="array" ref="K1270">sentimentCalc(C1270)</f>
        <v>0</v>
      </c>
      <c r="L1270" t="str" cm="1">
        <f t="array" ref="L1270">sentimentCategory(K1270)</f>
        <v>Neutral</v>
      </c>
    </row>
    <row r="1271" spans="1:12" x14ac:dyDescent="0.25">
      <c r="A1271" t="s">
        <v>17</v>
      </c>
      <c r="B1271" t="s">
        <v>2640</v>
      </c>
      <c r="C1271" t="str" cm="1">
        <f t="array" ref="C1271">CleanText(B1271)</f>
        <v>hi im barbie</v>
      </c>
      <c r="D1271">
        <v>0</v>
      </c>
      <c r="E1271">
        <v>0</v>
      </c>
      <c r="F1271" t="s">
        <v>10</v>
      </c>
      <c r="G1271" t="str" cm="1">
        <f t="array" ref="G1271">FindCountryName(F1271)</f>
        <v>None</v>
      </c>
      <c r="H1271" s="3">
        <v>45160.862719907411</v>
      </c>
      <c r="I1271" s="3">
        <v>45160.862719907411</v>
      </c>
      <c r="J1271" s="3">
        <v>44180.466793981483</v>
      </c>
      <c r="K1271" cm="1">
        <f t="array" ref="K1271">sentimentCalc(C1271)</f>
        <v>0</v>
      </c>
      <c r="L1271" t="str" cm="1">
        <f t="array" ref="L1271">sentimentCategory(K1271)</f>
        <v>Neutral</v>
      </c>
    </row>
    <row r="1272" spans="1:12" x14ac:dyDescent="0.25">
      <c r="A1272" t="s">
        <v>1157</v>
      </c>
      <c r="B1272" t="s">
        <v>1158</v>
      </c>
      <c r="C1272" t="str" cm="1">
        <f t="array" ref="C1272">CleanText(B1272)</f>
        <v>hi ken</v>
      </c>
      <c r="D1272">
        <v>0</v>
      </c>
      <c r="E1272">
        <v>0</v>
      </c>
      <c r="F1272" t="s">
        <v>10</v>
      </c>
      <c r="G1272" t="str" cm="1">
        <f t="array" ref="G1272">FindCountryName(F1272)</f>
        <v>None</v>
      </c>
      <c r="H1272" s="3">
        <v>45281.888298611113</v>
      </c>
      <c r="I1272" s="3">
        <v>45281.888298611113</v>
      </c>
      <c r="J1272" s="3">
        <v>43002.720011574071</v>
      </c>
      <c r="K1272" cm="1">
        <f t="array" ref="K1272">sentimentCalc(C1272)</f>
        <v>0</v>
      </c>
      <c r="L1272" t="str" cm="1">
        <f t="array" ref="L1272">sentimentCategory(K1272)</f>
        <v>Neutral</v>
      </c>
    </row>
    <row r="1273" spans="1:12" x14ac:dyDescent="0.25">
      <c r="A1273" t="s">
        <v>1263</v>
      </c>
      <c r="B1273" t="s">
        <v>1264</v>
      </c>
      <c r="C1273" t="str" cm="1">
        <f t="array" ref="C1273">CleanText(B1273)</f>
        <v>high heels were originally worn by men in the beginning</v>
      </c>
      <c r="D1273">
        <v>0</v>
      </c>
      <c r="E1273">
        <v>0</v>
      </c>
      <c r="F1273" t="s">
        <v>10</v>
      </c>
      <c r="G1273" t="str" cm="1">
        <f t="array" ref="G1273">FindCountryName(F1273)</f>
        <v>None</v>
      </c>
      <c r="H1273" s="3">
        <v>45263.475624999999</v>
      </c>
      <c r="I1273" s="3">
        <v>45263.475624999999</v>
      </c>
      <c r="J1273" s="3">
        <v>39616.189259259256</v>
      </c>
      <c r="K1273" cm="1">
        <f t="array" ref="K1273">sentimentCalc(C1273)</f>
        <v>-1</v>
      </c>
      <c r="L1273" t="str" cm="1">
        <f t="array" ref="L1273">sentimentCategory(K1273)</f>
        <v>Negative</v>
      </c>
    </row>
    <row r="1274" spans="1:12" x14ac:dyDescent="0.25">
      <c r="A1274" t="s">
        <v>2246</v>
      </c>
      <c r="B1274" t="s">
        <v>2247</v>
      </c>
      <c r="C1274" t="str" cm="1">
        <f t="array" ref="C1274">CleanText(B1274)</f>
        <v>hikkk</v>
      </c>
      <c r="D1274">
        <v>0</v>
      </c>
      <c r="E1274">
        <v>0</v>
      </c>
      <c r="F1274" t="s">
        <v>10</v>
      </c>
      <c r="G1274" t="str" cm="1">
        <f t="array" ref="G1274">FindCountryName(F1274)</f>
        <v>None</v>
      </c>
      <c r="H1274" s="3">
        <v>45174.227905092594</v>
      </c>
      <c r="I1274" s="3">
        <v>45174.227905092594</v>
      </c>
      <c r="J1274" s="3">
        <v>44286.637523148151</v>
      </c>
      <c r="K1274" cm="1">
        <f t="array" ref="K1274">sentimentCalc(C1274)</f>
        <v>0</v>
      </c>
      <c r="L1274" t="str" cm="1">
        <f t="array" ref="L1274">sentimentCategory(K1274)</f>
        <v>Neutral</v>
      </c>
    </row>
    <row r="1275" spans="1:12" x14ac:dyDescent="0.25">
      <c r="A1275" t="s">
        <v>38</v>
      </c>
      <c r="B1275" t="s">
        <v>39</v>
      </c>
      <c r="C1275" t="str" cm="1">
        <f t="array" ref="C1275">CleanText(B1275)</f>
        <v>hilarious how ken won an award for im just ken and barbie didnt in her own movie ahahahaaha  another win for men u can cry now feminazis</v>
      </c>
      <c r="D1275">
        <v>1</v>
      </c>
      <c r="E1275">
        <v>1</v>
      </c>
      <c r="F1275" t="s">
        <v>10</v>
      </c>
      <c r="G1275" t="str" cm="1">
        <f t="array" ref="G1275">FindCountryName(F1275)</f>
        <v>None</v>
      </c>
      <c r="H1275" s="3">
        <v>45346.599270833336</v>
      </c>
      <c r="I1275" s="3">
        <v>45346.599270833336</v>
      </c>
      <c r="J1275" s="3">
        <v>43515.90896990741</v>
      </c>
      <c r="K1275" cm="1">
        <f t="array" ref="K1275">sentimentCalc(C1275)</f>
        <v>11</v>
      </c>
      <c r="L1275" t="str" cm="1">
        <f t="array" ref="L1275">sentimentCategory(K1275)</f>
        <v>Positive</v>
      </c>
    </row>
    <row r="1276" spans="1:12" x14ac:dyDescent="0.25">
      <c r="A1276" t="s">
        <v>1760</v>
      </c>
      <c r="B1276" t="s">
        <v>1761</v>
      </c>
      <c r="C1276" t="str" cm="1">
        <f t="array" ref="C1276">CleanText(B1276)</f>
        <v>hiliary clinton subliminal messaging</v>
      </c>
      <c r="D1276">
        <v>0</v>
      </c>
      <c r="E1276">
        <v>0</v>
      </c>
      <c r="F1276" t="s">
        <v>10</v>
      </c>
      <c r="G1276" t="str" cm="1">
        <f t="array" ref="G1276">FindCountryName(F1276)</f>
        <v>None</v>
      </c>
      <c r="H1276" s="3">
        <v>45196.747233796297</v>
      </c>
      <c r="I1276" s="3">
        <v>45196.747233796297</v>
      </c>
      <c r="J1276" s="3">
        <v>40816.616631944446</v>
      </c>
      <c r="K1276" cm="1">
        <f t="array" ref="K1276">sentimentCalc(C1276)</f>
        <v>0</v>
      </c>
      <c r="L1276" t="str" cm="1">
        <f t="array" ref="L1276">sentimentCategory(K1276)</f>
        <v>Neutral</v>
      </c>
    </row>
    <row r="1277" spans="1:12" x14ac:dyDescent="0.25">
      <c r="A1277" t="s">
        <v>3723</v>
      </c>
      <c r="B1277" t="s">
        <v>3724</v>
      </c>
      <c r="C1277" t="str" cm="1">
        <f t="array" ref="C1277">CleanText(B1277)</f>
        <v>him cream chaiye</v>
      </c>
      <c r="D1277">
        <v>0</v>
      </c>
      <c r="E1277">
        <v>0</v>
      </c>
      <c r="F1277" t="s">
        <v>1073</v>
      </c>
      <c r="G1277" t="str" cm="1">
        <f t="array" ref="G1277">FindCountryName(F1277)</f>
        <v>India</v>
      </c>
      <c r="H1277" s="3">
        <v>45146.007280092592</v>
      </c>
      <c r="I1277" s="3">
        <v>45146.007280092592</v>
      </c>
      <c r="J1277" s="3">
        <v>40544.153703703705</v>
      </c>
      <c r="K1277" cm="1">
        <f t="array" ref="K1277">sentimentCalc(C1277)</f>
        <v>0</v>
      </c>
      <c r="L1277" t="str" cm="1">
        <f t="array" ref="L1277">sentimentCategory(K1277)</f>
        <v>Neutral</v>
      </c>
    </row>
    <row r="1278" spans="1:12" x14ac:dyDescent="0.25">
      <c r="A1278" t="s">
        <v>126</v>
      </c>
      <c r="B1278" t="s">
        <v>4210</v>
      </c>
      <c r="C1278" t="str" cm="1">
        <f t="array" ref="C1278">CleanText(B1278)</f>
        <v>hindi dubbed please</v>
      </c>
      <c r="D1278">
        <v>0</v>
      </c>
      <c r="E1278">
        <v>0</v>
      </c>
      <c r="F1278" t="s">
        <v>1073</v>
      </c>
      <c r="G1278" t="str" cm="1">
        <f t="array" ref="G1278">FindCountryName(F1278)</f>
        <v>India</v>
      </c>
      <c r="H1278" s="3">
        <v>45141.927476851852</v>
      </c>
      <c r="I1278" s="3">
        <v>45141.927476851852</v>
      </c>
      <c r="J1278" s="3">
        <v>42658.253993055558</v>
      </c>
      <c r="K1278" cm="1">
        <f t="array" ref="K1278">sentimentCalc(C1278)</f>
        <v>1</v>
      </c>
      <c r="L1278" t="str" cm="1">
        <f t="array" ref="L1278">sentimentCategory(K1278)</f>
        <v>Positive</v>
      </c>
    </row>
    <row r="1279" spans="1:12" x14ac:dyDescent="0.25">
      <c r="A1279" t="s">
        <v>190</v>
      </c>
      <c r="B1279" t="s">
        <v>191</v>
      </c>
      <c r="C1279" t="str" cm="1">
        <f t="array" ref="C1279">CleanText(B1279)</f>
        <v>hindi dubbed plzz</v>
      </c>
      <c r="D1279">
        <v>0</v>
      </c>
      <c r="E1279">
        <v>0</v>
      </c>
      <c r="F1279" t="s">
        <v>10</v>
      </c>
      <c r="G1279" t="str" cm="1">
        <f t="array" ref="G1279">FindCountryName(F1279)</f>
        <v>None</v>
      </c>
      <c r="H1279" s="3">
        <v>45335.093969907408</v>
      </c>
      <c r="I1279" s="3">
        <v>45335.093969907408</v>
      </c>
      <c r="J1279" s="3">
        <v>45296.191296296296</v>
      </c>
      <c r="K1279" cm="1">
        <f t="array" ref="K1279">sentimentCalc(C1279)</f>
        <v>0</v>
      </c>
      <c r="L1279" t="str" cm="1">
        <f t="array" ref="L1279">sentimentCategory(K1279)</f>
        <v>Neutral</v>
      </c>
    </row>
    <row r="1280" spans="1:12" x14ac:dyDescent="0.25">
      <c r="A1280" t="s">
        <v>514</v>
      </c>
      <c r="B1280" t="s">
        <v>3408</v>
      </c>
      <c r="C1280" t="str" cm="1">
        <f t="array" ref="C1280">CleanText(B1280)</f>
        <v>hlwohd</v>
      </c>
      <c r="D1280">
        <v>0</v>
      </c>
      <c r="E1280">
        <v>0</v>
      </c>
      <c r="F1280" t="s">
        <v>10</v>
      </c>
      <c r="G1280" t="str" cm="1">
        <f t="array" ref="G1280">FindCountryName(F1280)</f>
        <v>None</v>
      </c>
      <c r="H1280" s="3">
        <v>45149.229027777779</v>
      </c>
      <c r="I1280" s="3">
        <v>45149.229027777779</v>
      </c>
      <c r="J1280" s="3">
        <v>44737.57744212963</v>
      </c>
      <c r="K1280" cm="1">
        <f t="array" ref="K1280">sentimentCalc(C1280)</f>
        <v>0</v>
      </c>
      <c r="L1280" t="str" cm="1">
        <f t="array" ref="L1280">sentimentCategory(K1280)</f>
        <v>Neutral</v>
      </c>
    </row>
    <row r="1281" spans="1:12" x14ac:dyDescent="0.25">
      <c r="A1281" t="s">
        <v>1157</v>
      </c>
      <c r="B1281" t="s">
        <v>1159</v>
      </c>
      <c r="C1281" t="str" cm="1">
        <f t="array" ref="C1281">CleanText(B1281)</f>
        <v>ho hi barbie</v>
      </c>
      <c r="D1281">
        <v>0</v>
      </c>
      <c r="E1281">
        <v>0</v>
      </c>
      <c r="F1281" t="s">
        <v>10</v>
      </c>
      <c r="G1281" t="str" cm="1">
        <f t="array" ref="G1281">FindCountryName(F1281)</f>
        <v>None</v>
      </c>
      <c r="H1281" s="3">
        <v>45281.888078703705</v>
      </c>
      <c r="I1281" s="3">
        <v>45281.888078703705</v>
      </c>
      <c r="J1281" s="3">
        <v>43002.720011574071</v>
      </c>
      <c r="K1281" cm="1">
        <f t="array" ref="K1281">sentimentCalc(C1281)</f>
        <v>0</v>
      </c>
      <c r="L1281" t="str" cm="1">
        <f t="array" ref="L1281">sentimentCategory(K1281)</f>
        <v>Neutral</v>
      </c>
    </row>
    <row r="1282" spans="1:12" x14ac:dyDescent="0.25">
      <c r="A1282" t="s">
        <v>41</v>
      </c>
      <c r="B1282" t="s">
        <v>3709</v>
      </c>
      <c r="C1282" t="str" cm="1">
        <f t="array" ref="C1282">CleanText(B1282)</f>
        <v>hoang sa and trng sa belong to vietnam</v>
      </c>
      <c r="D1282">
        <v>0</v>
      </c>
      <c r="E1282">
        <v>0</v>
      </c>
      <c r="F1282" t="s">
        <v>10</v>
      </c>
      <c r="G1282" t="str" cm="1">
        <f t="array" ref="G1282">FindCountryName(F1282)</f>
        <v>None</v>
      </c>
      <c r="H1282" s="3">
        <v>45146.200208333335</v>
      </c>
      <c r="I1282" s="3">
        <v>45146.200208333335</v>
      </c>
      <c r="J1282" s="3">
        <v>42964.862881944442</v>
      </c>
      <c r="K1282" cm="1">
        <f t="array" ref="K1282">sentimentCalc(C1282)</f>
        <v>0</v>
      </c>
      <c r="L1282" t="str" cm="1">
        <f t="array" ref="L1282">sentimentCategory(K1282)</f>
        <v>Neutral</v>
      </c>
    </row>
    <row r="1283" spans="1:12" x14ac:dyDescent="0.25">
      <c r="A1283" t="s">
        <v>611</v>
      </c>
      <c r="B1283" t="s">
        <v>612</v>
      </c>
      <c r="C1283" t="str" cm="1">
        <f t="array" ref="C1283">CleanText(B1283)</f>
        <v>holly wood why and wtf</v>
      </c>
      <c r="D1283">
        <v>0</v>
      </c>
      <c r="E1283">
        <v>0</v>
      </c>
      <c r="F1283" t="s">
        <v>10</v>
      </c>
      <c r="G1283" t="str" cm="1">
        <f t="array" ref="G1283">FindCountryName(F1283)</f>
        <v>None</v>
      </c>
      <c r="H1283" s="3">
        <v>45315.504699074074</v>
      </c>
      <c r="I1283" s="3">
        <v>45315.504699074074</v>
      </c>
      <c r="J1283" s="3">
        <v>41965.12976851852</v>
      </c>
      <c r="K1283" cm="1">
        <f t="array" ref="K1283">sentimentCalc(C1283)</f>
        <v>0</v>
      </c>
      <c r="L1283" t="str" cm="1">
        <f t="array" ref="L1283">sentimentCategory(K1283)</f>
        <v>Neutral</v>
      </c>
    </row>
    <row r="1284" spans="1:12" x14ac:dyDescent="0.25">
      <c r="A1284" t="s">
        <v>4237</v>
      </c>
      <c r="B1284" t="s">
        <v>4238</v>
      </c>
      <c r="C1284" t="str" cm="1">
        <f t="array" ref="C1284">CleanText(B1284)</f>
        <v>hollyweird at it again pure brain rot</v>
      </c>
      <c r="D1284">
        <v>2</v>
      </c>
      <c r="E1284">
        <v>0</v>
      </c>
      <c r="F1284" t="s">
        <v>227</v>
      </c>
      <c r="G1284" t="str" cm="1">
        <f t="array" ref="G1284">FindCountryName(F1284)</f>
        <v>United States of America (the)</v>
      </c>
      <c r="H1284" s="3">
        <v>45141.537858796299</v>
      </c>
      <c r="I1284" s="3">
        <v>45141.537858796299</v>
      </c>
      <c r="J1284" s="3">
        <v>39471.829259259262</v>
      </c>
      <c r="K1284" cm="1">
        <f t="array" ref="K1284">sentimentCalc(C1284)</f>
        <v>0</v>
      </c>
      <c r="L1284" t="str" cm="1">
        <f t="array" ref="L1284">sentimentCategory(K1284)</f>
        <v>Neutral</v>
      </c>
    </row>
    <row r="1285" spans="1:12" x14ac:dyDescent="0.25">
      <c r="A1285" t="s">
        <v>2579</v>
      </c>
      <c r="B1285" t="s">
        <v>2580</v>
      </c>
      <c r="C1285" t="str" cm="1">
        <f t="array" ref="C1285">CleanText(B1285)</f>
        <v>hollywood is a joke</v>
      </c>
      <c r="D1285">
        <v>2</v>
      </c>
      <c r="E1285">
        <v>0</v>
      </c>
      <c r="F1285" t="s">
        <v>10</v>
      </c>
      <c r="G1285" t="str" cm="1">
        <f t="array" ref="G1285">FindCountryName(F1285)</f>
        <v>None</v>
      </c>
      <c r="H1285" s="3">
        <v>45162.773078703707</v>
      </c>
      <c r="I1285" s="3">
        <v>45162.773078703707</v>
      </c>
      <c r="J1285" s="3">
        <v>45158.60429398148</v>
      </c>
      <c r="K1285" cm="1">
        <f t="array" ref="K1285">sentimentCalc(C1285)</f>
        <v>2</v>
      </c>
      <c r="L1285" t="str" cm="1">
        <f t="array" ref="L1285">sentimentCategory(K1285)</f>
        <v>Positive</v>
      </c>
    </row>
    <row r="1286" spans="1:12" x14ac:dyDescent="0.25">
      <c r="A1286" t="s">
        <v>94</v>
      </c>
      <c r="B1286" t="s">
        <v>2376</v>
      </c>
      <c r="C1286" t="str" cm="1">
        <f t="array" ref="C1286">CleanText(B1286)</f>
        <v>hollywood reached a new low</v>
      </c>
      <c r="D1286">
        <v>3</v>
      </c>
      <c r="E1286">
        <v>2</v>
      </c>
      <c r="F1286" t="s">
        <v>10</v>
      </c>
      <c r="G1286" t="str" cm="1">
        <f t="array" ref="G1286">FindCountryName(F1286)</f>
        <v>None</v>
      </c>
      <c r="H1286" s="3">
        <v>45169.835231481484</v>
      </c>
      <c r="I1286" s="3">
        <v>45169.835231481484</v>
      </c>
      <c r="J1286" s="3">
        <v>41772.559236111112</v>
      </c>
      <c r="K1286" cm="1">
        <f t="array" ref="K1286">sentimentCalc(C1286)</f>
        <v>1</v>
      </c>
      <c r="L1286" t="str" cm="1">
        <f t="array" ref="L1286">sentimentCategory(K1286)</f>
        <v>Positive</v>
      </c>
    </row>
    <row r="1287" spans="1:12" x14ac:dyDescent="0.25">
      <c r="A1287" t="s">
        <v>188</v>
      </c>
      <c r="B1287" t="s">
        <v>3436</v>
      </c>
      <c r="C1287" t="str" cm="1">
        <f t="array" ref="C1287">CleanText(B1287)</f>
        <v>hope all the haters stay home i had a great time at the movie  twice</v>
      </c>
      <c r="D1287">
        <v>1</v>
      </c>
      <c r="E1287">
        <v>1</v>
      </c>
      <c r="F1287" t="s">
        <v>10</v>
      </c>
      <c r="G1287" t="str" cm="1">
        <f t="array" ref="G1287">FindCountryName(F1287)</f>
        <v>None</v>
      </c>
      <c r="H1287" s="3">
        <v>45148.946331018517</v>
      </c>
      <c r="I1287" s="3">
        <v>45148.946331018517</v>
      </c>
      <c r="J1287" s="3">
        <v>40833.336192129631</v>
      </c>
      <c r="K1287" cm="1">
        <f t="array" ref="K1287">sentimentCalc(C1287)</f>
        <v>2</v>
      </c>
      <c r="L1287" t="str" cm="1">
        <f t="array" ref="L1287">sentimentCategory(K1287)</f>
        <v>Positive</v>
      </c>
    </row>
    <row r="1288" spans="1:12" x14ac:dyDescent="0.25">
      <c r="A1288" t="s">
        <v>2400</v>
      </c>
      <c r="B1288" t="s">
        <v>2401</v>
      </c>
      <c r="C1288" t="str" cm="1">
        <f t="array" ref="C1288">CleanText(B1288)</f>
        <v>horrible and toxic movie putting women against men i pray for the next generations</v>
      </c>
      <c r="D1288">
        <v>2</v>
      </c>
      <c r="E1288">
        <v>3</v>
      </c>
      <c r="F1288" t="s">
        <v>1350</v>
      </c>
      <c r="G1288" t="str" cm="1">
        <f t="array" ref="G1288">FindCountryName(F1288)</f>
        <v>Brazil</v>
      </c>
      <c r="H1288" s="3">
        <v>45168.761388888888</v>
      </c>
      <c r="I1288" s="3">
        <v>45168.761388888888</v>
      </c>
      <c r="J1288" s="3">
        <v>44714.461412037039</v>
      </c>
      <c r="K1288" cm="1">
        <f t="array" ref="K1288">sentimentCalc(C1288)</f>
        <v>-2</v>
      </c>
      <c r="L1288" t="str" cm="1">
        <f t="array" ref="L1288">sentimentCategory(K1288)</f>
        <v>Negative</v>
      </c>
    </row>
    <row r="1289" spans="1:12" x14ac:dyDescent="0.25">
      <c r="A1289" t="s">
        <v>1553</v>
      </c>
      <c r="B1289" t="s">
        <v>2934</v>
      </c>
      <c r="C1289" t="str" cm="1">
        <f t="array" ref="C1289">CleanText(B1289)</f>
        <v>horrible movie too  woke</v>
      </c>
      <c r="D1289">
        <v>2</v>
      </c>
      <c r="E1289">
        <v>5</v>
      </c>
      <c r="F1289" t="s">
        <v>10</v>
      </c>
      <c r="G1289" t="str" cm="1">
        <f t="array" ref="G1289">FindCountryName(F1289)</f>
        <v>None</v>
      </c>
      <c r="H1289" s="3">
        <v>45155.706875000003</v>
      </c>
      <c r="I1289" s="3">
        <v>45155.706875000003</v>
      </c>
      <c r="J1289" s="3">
        <v>43849.938645833332</v>
      </c>
      <c r="K1289" cm="1">
        <f t="array" ref="K1289">sentimentCalc(C1289)</f>
        <v>-3</v>
      </c>
      <c r="L1289" t="str" cm="1">
        <f t="array" ref="L1289">sentimentCategory(K1289)</f>
        <v>Negative</v>
      </c>
    </row>
    <row r="1290" spans="1:12" x14ac:dyDescent="0.25">
      <c r="A1290" t="s">
        <v>447</v>
      </c>
      <c r="B1290" t="s">
        <v>3896</v>
      </c>
      <c r="C1290" t="str" cm="1">
        <f t="array" ref="C1290">CleanText(B1290)</f>
        <v>horrifically moronic  its of course a billion dollar smash</v>
      </c>
      <c r="D1290">
        <v>0</v>
      </c>
      <c r="E1290">
        <v>0</v>
      </c>
      <c r="F1290" t="s">
        <v>1151</v>
      </c>
      <c r="G1290" t="str" cm="1">
        <f t="array" ref="G1290">FindCountryName(F1290)</f>
        <v>United Kingdom of Great Britain and Northern Ireland (the)</v>
      </c>
      <c r="H1290" s="3">
        <v>45144.646296296298</v>
      </c>
      <c r="I1290" s="3">
        <v>45144.646296296298</v>
      </c>
      <c r="J1290" s="3">
        <v>43235.746192129627</v>
      </c>
      <c r="K1290" cm="1">
        <f t="array" ref="K1290">sentimentCalc(C1290)</f>
        <v>0</v>
      </c>
      <c r="L1290" t="str" cm="1">
        <f t="array" ref="L1290">sentimentCategory(K1290)</f>
        <v>Neutral</v>
      </c>
    </row>
    <row r="1291" spans="1:12" x14ac:dyDescent="0.25">
      <c r="A1291" t="s">
        <v>30</v>
      </c>
      <c r="B1291" t="s">
        <v>3487</v>
      </c>
      <c r="C1291" t="str" cm="1">
        <f t="array" ref="C1291">CleanText(B1291)</f>
        <v>hot</v>
      </c>
      <c r="D1291">
        <v>0</v>
      </c>
      <c r="E1291">
        <v>0</v>
      </c>
      <c r="F1291" t="s">
        <v>10</v>
      </c>
      <c r="G1291" t="str" cm="1">
        <f t="array" ref="G1291">FindCountryName(F1291)</f>
        <v>None</v>
      </c>
      <c r="H1291" s="3">
        <v>45148.383530092593</v>
      </c>
      <c r="I1291" s="3">
        <v>45148.383530092593</v>
      </c>
      <c r="J1291" s="3">
        <v>39994.788993055554</v>
      </c>
      <c r="K1291" cm="1">
        <f t="array" ref="K1291">sentimentCalc(C1291)</f>
        <v>0</v>
      </c>
      <c r="L1291" t="str" cm="1">
        <f t="array" ref="L1291">sentimentCategory(K1291)</f>
        <v>Neutral</v>
      </c>
    </row>
    <row r="1292" spans="1:12" x14ac:dyDescent="0.25">
      <c r="A1292" t="s">
        <v>282</v>
      </c>
      <c r="B1292" t="s">
        <v>2094</v>
      </c>
      <c r="C1292" t="str" cm="1">
        <f t="array" ref="C1292">CleanText(B1292)</f>
        <v>hot garbage</v>
      </c>
      <c r="D1292">
        <v>4</v>
      </c>
      <c r="E1292">
        <v>8</v>
      </c>
      <c r="F1292" t="s">
        <v>227</v>
      </c>
      <c r="G1292" t="str" cm="1">
        <f t="array" ref="G1292">FindCountryName(F1292)</f>
        <v>United States of America (the)</v>
      </c>
      <c r="H1292" s="3">
        <v>45180.993587962963</v>
      </c>
      <c r="I1292" s="3">
        <v>45180.993587962963</v>
      </c>
      <c r="J1292" s="3">
        <v>41218.894872685189</v>
      </c>
      <c r="K1292" cm="1">
        <f t="array" ref="K1292">sentimentCalc(C1292)</f>
        <v>0</v>
      </c>
      <c r="L1292" t="str" cm="1">
        <f t="array" ref="L1292">sentimentCategory(K1292)</f>
        <v>Neutral</v>
      </c>
    </row>
    <row r="1293" spans="1:12" x14ac:dyDescent="0.25">
      <c r="A1293" t="s">
        <v>83</v>
      </c>
      <c r="B1293" t="s">
        <v>1751</v>
      </c>
      <c r="C1293" t="str" cm="1">
        <f t="array" ref="C1293">CleanText(B1293)</f>
        <v>house md modern family style</v>
      </c>
      <c r="D1293">
        <v>0</v>
      </c>
      <c r="E1293">
        <v>0</v>
      </c>
      <c r="F1293" t="s">
        <v>10</v>
      </c>
      <c r="G1293" t="str" cm="1">
        <f t="array" ref="G1293">FindCountryName(F1293)</f>
        <v>None</v>
      </c>
      <c r="H1293" s="3">
        <v>45197.22550925926</v>
      </c>
      <c r="I1293" s="3">
        <v>45197.22550925926</v>
      </c>
      <c r="J1293" s="3">
        <v>42730.889837962961</v>
      </c>
      <c r="K1293" cm="1">
        <f t="array" ref="K1293">sentimentCalc(C1293)</f>
        <v>0</v>
      </c>
      <c r="L1293" t="str" cm="1">
        <f t="array" ref="L1293">sentimentCategory(K1293)</f>
        <v>Neutral</v>
      </c>
    </row>
    <row r="1294" spans="1:12" x14ac:dyDescent="0.25">
      <c r="A1294" t="s">
        <v>1886</v>
      </c>
      <c r="B1294" t="s">
        <v>1887</v>
      </c>
      <c r="C1294" t="str" cm="1">
        <f t="array" ref="C1294">CleanText(B1294)</f>
        <v>how about if u detest barbie</v>
      </c>
      <c r="D1294">
        <v>0</v>
      </c>
      <c r="E1294">
        <v>0</v>
      </c>
      <c r="F1294" t="s">
        <v>10</v>
      </c>
      <c r="G1294" t="str" cm="1">
        <f t="array" ref="G1294">FindCountryName(F1294)</f>
        <v>None</v>
      </c>
      <c r="H1294" s="3">
        <v>45188.724027777775</v>
      </c>
      <c r="I1294" s="3">
        <v>45188.724259259259</v>
      </c>
      <c r="J1294" s="3">
        <v>45052.661770833336</v>
      </c>
      <c r="K1294" cm="1">
        <f t="array" ref="K1294">sentimentCalc(C1294)</f>
        <v>0</v>
      </c>
      <c r="L1294" t="str" cm="1">
        <f t="array" ref="L1294">sentimentCategory(K1294)</f>
        <v>Neutral</v>
      </c>
    </row>
    <row r="1295" spans="1:12" x14ac:dyDescent="0.25">
      <c r="A1295" t="s">
        <v>79</v>
      </c>
      <c r="B1295" t="s">
        <v>80</v>
      </c>
      <c r="C1295" t="str" cm="1">
        <f t="array" ref="C1295">CleanText(B1295)</f>
        <v>how can anybody be stupid enough to watch or enjoy this movie god this world is going down</v>
      </c>
      <c r="D1295">
        <v>1</v>
      </c>
      <c r="E1295">
        <v>5</v>
      </c>
      <c r="F1295" t="s">
        <v>10</v>
      </c>
      <c r="G1295" t="str" cm="1">
        <f t="array" ref="G1295">FindCountryName(F1295)</f>
        <v>None</v>
      </c>
      <c r="H1295" s="3">
        <v>45339.793194444443</v>
      </c>
      <c r="I1295" s="3">
        <v>45339.793194444443</v>
      </c>
      <c r="J1295" s="3">
        <v>42107.758229166669</v>
      </c>
      <c r="K1295" cm="1">
        <f t="array" ref="K1295">sentimentCalc(C1295)</f>
        <v>1</v>
      </c>
      <c r="L1295" t="str" cm="1">
        <f t="array" ref="L1295">sentimentCategory(K1295)</f>
        <v>Positive</v>
      </c>
    </row>
    <row r="1296" spans="1:12" x14ac:dyDescent="0.25">
      <c r="A1296" t="s">
        <v>1135</v>
      </c>
      <c r="B1296" t="s">
        <v>1314</v>
      </c>
      <c r="C1296" t="str" cm="1">
        <f t="array" ref="C1296">CleanText(B1296)</f>
        <v>how can this even be a movie the worst thing i have ever seen in my life</v>
      </c>
      <c r="D1296">
        <v>4</v>
      </c>
      <c r="E1296">
        <v>6</v>
      </c>
      <c r="F1296" t="s">
        <v>10</v>
      </c>
      <c r="G1296" t="str" cm="1">
        <f t="array" ref="G1296">FindCountryName(F1296)</f>
        <v>None</v>
      </c>
      <c r="H1296" s="3">
        <v>45247.441099537034</v>
      </c>
      <c r="I1296" s="3">
        <v>45247.441099537034</v>
      </c>
      <c r="J1296" s="3">
        <v>41388.023043981484</v>
      </c>
      <c r="K1296" cm="1">
        <f t="array" ref="K1296">sentimentCalc(C1296)</f>
        <v>-3</v>
      </c>
      <c r="L1296" t="str" cm="1">
        <f t="array" ref="L1296">sentimentCategory(K1296)</f>
        <v>Negative</v>
      </c>
    </row>
    <row r="1297" spans="1:12" x14ac:dyDescent="0.25">
      <c r="A1297" t="s">
        <v>2418</v>
      </c>
      <c r="B1297" t="s">
        <v>3956</v>
      </c>
      <c r="C1297" t="str" cm="1">
        <f t="array" ref="C1297">CleanText(B1297)</f>
        <v>how did they chose the casts</v>
      </c>
      <c r="D1297">
        <v>0</v>
      </c>
      <c r="E1297">
        <v>0</v>
      </c>
      <c r="F1297" t="s">
        <v>10</v>
      </c>
      <c r="G1297" t="str" cm="1">
        <f t="array" ref="G1297">FindCountryName(F1297)</f>
        <v>None</v>
      </c>
      <c r="H1297" s="3">
        <v>45144.186018518521</v>
      </c>
      <c r="I1297" s="3">
        <v>45144.186018518521</v>
      </c>
      <c r="J1297" s="3">
        <v>39766.998043981483</v>
      </c>
      <c r="K1297" cm="1">
        <f t="array" ref="K1297">sentimentCalc(C1297)</f>
        <v>0</v>
      </c>
      <c r="L1297" t="str" cm="1">
        <f t="array" ref="L1297">sentimentCategory(K1297)</f>
        <v>Neutral</v>
      </c>
    </row>
    <row r="1298" spans="1:12" x14ac:dyDescent="0.25">
      <c r="A1298" t="s">
        <v>30</v>
      </c>
      <c r="B1298" t="s">
        <v>1049</v>
      </c>
      <c r="C1298" t="str" cm="1">
        <f t="array" ref="C1298">CleanText(B1298)</f>
        <v>how feminists dont even realize how this movie is making fun of feminists</v>
      </c>
      <c r="D1298">
        <v>2</v>
      </c>
      <c r="E1298">
        <v>1</v>
      </c>
      <c r="F1298" t="s">
        <v>1050</v>
      </c>
      <c r="G1298" t="str" cm="1">
        <f t="array" ref="G1298">FindCountryName(F1298)</f>
        <v>Germany</v>
      </c>
      <c r="H1298" s="3">
        <v>45297.416400462964</v>
      </c>
      <c r="I1298" s="3">
        <v>45297.416400462964</v>
      </c>
      <c r="J1298" s="3">
        <v>39162.492372685185</v>
      </c>
      <c r="K1298" cm="1">
        <f t="array" ref="K1298">sentimentCalc(C1298)</f>
        <v>4</v>
      </c>
      <c r="L1298" t="str" cm="1">
        <f t="array" ref="L1298">sentimentCategory(K1298)</f>
        <v>Positive</v>
      </c>
    </row>
    <row r="1299" spans="1:12" x14ac:dyDescent="0.25">
      <c r="A1299" t="s">
        <v>4136</v>
      </c>
      <c r="B1299" t="s">
        <v>4447</v>
      </c>
      <c r="C1299" t="str" cm="1">
        <f t="array" ref="C1299">CleanText(B1299)</f>
        <v>how gorgeous is margot robbie</v>
      </c>
      <c r="D1299">
        <v>1</v>
      </c>
      <c r="E1299">
        <v>1</v>
      </c>
      <c r="F1299" t="s">
        <v>227</v>
      </c>
      <c r="G1299" t="str" cm="1">
        <f t="array" ref="G1299">FindCountryName(F1299)</f>
        <v>United States of America (the)</v>
      </c>
      <c r="H1299" s="3">
        <v>45140.225104166668</v>
      </c>
      <c r="I1299" s="3">
        <v>45140.225104166668</v>
      </c>
      <c r="J1299" s="3">
        <v>42180.728055555555</v>
      </c>
      <c r="K1299" cm="1">
        <f t="array" ref="K1299">sentimentCalc(C1299)</f>
        <v>0</v>
      </c>
      <c r="L1299" t="str" cm="1">
        <f t="array" ref="L1299">sentimentCategory(K1299)</f>
        <v>Neutral</v>
      </c>
    </row>
    <row r="1300" spans="1:12" x14ac:dyDescent="0.25">
      <c r="A1300" t="s">
        <v>83</v>
      </c>
      <c r="B1300" t="s">
        <v>1746</v>
      </c>
      <c r="C1300" t="str" cm="1">
        <f t="array" ref="C1300">CleanText(B1300)</f>
        <v>how i met your mother fox promo celebrate nation theres street family guy promo</v>
      </c>
      <c r="D1300">
        <v>0</v>
      </c>
      <c r="E1300">
        <v>0</v>
      </c>
      <c r="F1300" t="s">
        <v>10</v>
      </c>
      <c r="G1300" t="str" cm="1">
        <f t="array" ref="G1300">FindCountryName(F1300)</f>
        <v>None</v>
      </c>
      <c r="H1300" s="3">
        <v>45197.427731481483</v>
      </c>
      <c r="I1300" s="3">
        <v>45197.427731481483</v>
      </c>
      <c r="J1300" s="3">
        <v>42730.889837962961</v>
      </c>
      <c r="K1300" cm="1">
        <f t="array" ref="K1300">sentimentCalc(C1300)</f>
        <v>3</v>
      </c>
      <c r="L1300" t="str" cm="1">
        <f t="array" ref="L1300">sentimentCategory(K1300)</f>
        <v>Positive</v>
      </c>
    </row>
    <row r="1301" spans="1:12" x14ac:dyDescent="0.25">
      <c r="A1301" t="s">
        <v>788</v>
      </c>
      <c r="B1301" t="s">
        <v>3317</v>
      </c>
      <c r="C1301" t="str" cm="1">
        <f t="array" ref="C1301">CleanText(B1301)</f>
        <v>how in the world this has got to b box office no offence to the actressactor</v>
      </c>
      <c r="D1301">
        <v>3</v>
      </c>
      <c r="E1301">
        <v>0</v>
      </c>
      <c r="F1301" t="s">
        <v>10</v>
      </c>
      <c r="G1301" t="str" cm="1">
        <f t="array" ref="G1301">FindCountryName(F1301)</f>
        <v>None</v>
      </c>
      <c r="H1301" s="3">
        <v>45150.413449074076</v>
      </c>
      <c r="I1301" s="3">
        <v>45150.413449074076</v>
      </c>
      <c r="J1301" s="3">
        <v>44618.598645833335</v>
      </c>
      <c r="K1301" cm="1">
        <f t="array" ref="K1301">sentimentCalc(C1301)</f>
        <v>-1</v>
      </c>
      <c r="L1301" t="str" cm="1">
        <f t="array" ref="L1301">sentimentCategory(K1301)</f>
        <v>Negative</v>
      </c>
    </row>
    <row r="1302" spans="1:12" x14ac:dyDescent="0.25">
      <c r="A1302" t="s">
        <v>555</v>
      </c>
      <c r="B1302" t="s">
        <v>3461</v>
      </c>
      <c r="C1302" t="str" cm="1">
        <f t="array" ref="C1302">CleanText(B1302)</f>
        <v>how is this antimen</v>
      </c>
      <c r="D1302">
        <v>1</v>
      </c>
      <c r="E1302">
        <v>5</v>
      </c>
      <c r="F1302" t="s">
        <v>10</v>
      </c>
      <c r="G1302" t="str" cm="1">
        <f t="array" ref="G1302">FindCountryName(F1302)</f>
        <v>None</v>
      </c>
      <c r="H1302" s="3">
        <v>45148.622465277775</v>
      </c>
      <c r="I1302" s="3">
        <v>45148.622465277775</v>
      </c>
      <c r="J1302" s="3">
        <v>44667.598298611112</v>
      </c>
      <c r="K1302" cm="1">
        <f t="array" ref="K1302">sentimentCalc(C1302)</f>
        <v>0</v>
      </c>
      <c r="L1302" t="str" cm="1">
        <f t="array" ref="L1302">sentimentCategory(K1302)</f>
        <v>Neutral</v>
      </c>
    </row>
    <row r="1303" spans="1:12" x14ac:dyDescent="0.25">
      <c r="A1303" t="s">
        <v>527</v>
      </c>
      <c r="B1303" t="s">
        <v>2077</v>
      </c>
      <c r="C1303" t="str" cm="1">
        <f t="array" ref="C1303">CleanText(B1303)</f>
        <v>how many of u r waiting for sep th amazon prime to stream</v>
      </c>
      <c r="D1303">
        <v>1</v>
      </c>
      <c r="E1303">
        <v>0</v>
      </c>
      <c r="F1303" t="s">
        <v>10</v>
      </c>
      <c r="G1303" t="str" cm="1">
        <f t="array" ref="G1303">FindCountryName(F1303)</f>
        <v>None</v>
      </c>
      <c r="H1303" s="3">
        <v>45181.49832175926</v>
      </c>
      <c r="I1303" s="3">
        <v>45181.49832175926</v>
      </c>
      <c r="J1303" s="3">
        <v>41091.083043981482</v>
      </c>
      <c r="K1303" cm="1">
        <f t="array" ref="K1303">sentimentCalc(C1303)</f>
        <v>0</v>
      </c>
      <c r="L1303" t="str" cm="1">
        <f t="array" ref="L1303">sentimentCategory(K1303)</f>
        <v>Neutral</v>
      </c>
    </row>
    <row r="1304" spans="1:12" x14ac:dyDescent="0.25">
      <c r="A1304" t="s">
        <v>329</v>
      </c>
      <c r="B1304" t="s">
        <v>1254</v>
      </c>
      <c r="C1304" t="str" cm="1">
        <f t="array" ref="C1304">CleanText(B1304)</f>
        <v>how pink is this tho</v>
      </c>
      <c r="D1304">
        <v>0</v>
      </c>
      <c r="E1304">
        <v>0</v>
      </c>
      <c r="F1304" t="s">
        <v>10</v>
      </c>
      <c r="G1304" t="str" cm="1">
        <f t="array" ref="G1304">FindCountryName(F1304)</f>
        <v>None</v>
      </c>
      <c r="H1304" s="3">
        <v>45267.734293981484</v>
      </c>
      <c r="I1304" s="3">
        <v>45267.734293981484</v>
      </c>
      <c r="J1304" s="3">
        <v>44300.737291666665</v>
      </c>
      <c r="K1304" cm="1">
        <f t="array" ref="K1304">sentimentCalc(C1304)</f>
        <v>0</v>
      </c>
      <c r="L1304" t="str" cm="1">
        <f t="array" ref="L1304">sentimentCategory(K1304)</f>
        <v>Neutral</v>
      </c>
    </row>
    <row r="1305" spans="1:12" x14ac:dyDescent="0.25">
      <c r="A1305" t="s">
        <v>2521</v>
      </c>
      <c r="B1305" t="s">
        <v>3643</v>
      </c>
      <c r="C1305" t="str" cm="1">
        <f t="array" ref="C1305">CleanText(B1305)</f>
        <v>how stupid can stupid get</v>
      </c>
      <c r="D1305">
        <v>1</v>
      </c>
      <c r="E1305">
        <v>0</v>
      </c>
      <c r="F1305" t="s">
        <v>10</v>
      </c>
      <c r="G1305" t="str" cm="1">
        <f t="array" ref="G1305">FindCountryName(F1305)</f>
        <v>None</v>
      </c>
      <c r="H1305" s="3">
        <v>45146.87296296296</v>
      </c>
      <c r="I1305" s="3">
        <v>45146.87296296296</v>
      </c>
      <c r="J1305" s="3">
        <v>40410.643935185188</v>
      </c>
      <c r="K1305" cm="1">
        <f t="array" ref="K1305">sentimentCalc(C1305)</f>
        <v>-4</v>
      </c>
      <c r="L1305" t="str" cm="1">
        <f t="array" ref="L1305">sentimentCategory(K1305)</f>
        <v>Negative</v>
      </c>
    </row>
    <row r="1306" spans="1:12" x14ac:dyDescent="0.25">
      <c r="A1306" t="s">
        <v>205</v>
      </c>
      <c r="B1306" t="s">
        <v>2581</v>
      </c>
      <c r="C1306" t="str" cm="1">
        <f t="array" ref="C1306">CleanText(B1306)</f>
        <v>how tf is her american accent so good</v>
      </c>
      <c r="D1306">
        <v>1</v>
      </c>
      <c r="E1306">
        <v>3</v>
      </c>
      <c r="F1306" t="s">
        <v>10</v>
      </c>
      <c r="G1306" t="str" cm="1">
        <f t="array" ref="G1306">FindCountryName(F1306)</f>
        <v>None</v>
      </c>
      <c r="H1306" s="3">
        <v>45162.757835648146</v>
      </c>
      <c r="I1306" s="3">
        <v>45162.757835648146</v>
      </c>
      <c r="J1306" s="3">
        <v>44324.498136574075</v>
      </c>
      <c r="K1306" cm="1">
        <f t="array" ref="K1306">sentimentCalc(C1306)</f>
        <v>3</v>
      </c>
      <c r="L1306" t="str" cm="1">
        <f t="array" ref="L1306">sentimentCategory(K1306)</f>
        <v>Positive</v>
      </c>
    </row>
    <row r="1307" spans="1:12" x14ac:dyDescent="0.25">
      <c r="A1307" t="s">
        <v>213</v>
      </c>
      <c r="B1307" t="s">
        <v>1219</v>
      </c>
      <c r="C1307" t="str" cm="1">
        <f t="array" ref="C1307">CleanText(B1307)</f>
        <v>how this got to a billion is beyond me</v>
      </c>
      <c r="D1307">
        <v>3</v>
      </c>
      <c r="E1307">
        <v>7</v>
      </c>
      <c r="F1307" t="s">
        <v>10</v>
      </c>
      <c r="G1307" t="str" cm="1">
        <f t="array" ref="G1307">FindCountryName(F1307)</f>
        <v>None</v>
      </c>
      <c r="H1307" s="3">
        <v>45275.375057870369</v>
      </c>
      <c r="I1307" s="3">
        <v>45275.375057870369</v>
      </c>
      <c r="J1307" s="3">
        <v>42337.427812499998</v>
      </c>
      <c r="K1307" cm="1">
        <f t="array" ref="K1307">sentimentCalc(C1307)</f>
        <v>0</v>
      </c>
      <c r="L1307" t="str" cm="1">
        <f t="array" ref="L1307">sentimentCategory(K1307)</f>
        <v>Neutral</v>
      </c>
    </row>
    <row r="1308" spans="1:12" x14ac:dyDescent="0.25">
      <c r="A1308" t="s">
        <v>624</v>
      </c>
      <c r="B1308" t="s">
        <v>2759</v>
      </c>
      <c r="C1308" t="str" cm="1">
        <f t="array" ref="C1308">CleanText(B1308)</f>
        <v>how to ruin your kids  rip to the kids who watched this movie an shame on the failure of the single mothers and simp fathers</v>
      </c>
      <c r="D1308">
        <v>1</v>
      </c>
      <c r="E1308">
        <v>0</v>
      </c>
      <c r="F1308" t="s">
        <v>10</v>
      </c>
      <c r="G1308" t="str" cm="1">
        <f t="array" ref="G1308">FindCountryName(F1308)</f>
        <v>None</v>
      </c>
      <c r="H1308" s="3">
        <v>45158.407939814817</v>
      </c>
      <c r="I1308" s="3">
        <v>45158.407939814817</v>
      </c>
      <c r="J1308" s="3">
        <v>43520.115335648145</v>
      </c>
      <c r="K1308" cm="1">
        <f t="array" ref="K1308">sentimentCalc(C1308)</f>
        <v>-6</v>
      </c>
      <c r="L1308" t="str" cm="1">
        <f t="array" ref="L1308">sentimentCategory(K1308)</f>
        <v>Negative</v>
      </c>
    </row>
    <row r="1309" spans="1:12" x14ac:dyDescent="0.25">
      <c r="A1309" t="s">
        <v>85</v>
      </c>
      <c r="B1309" t="s">
        <v>3367</v>
      </c>
      <c r="C1309" t="str" cm="1">
        <f t="array" ref="C1309">CleanText(B1309)</f>
        <v>how to watch it for free</v>
      </c>
      <c r="D1309">
        <v>0</v>
      </c>
      <c r="E1309">
        <v>0</v>
      </c>
      <c r="F1309" t="s">
        <v>10</v>
      </c>
      <c r="G1309" t="str" cm="1">
        <f t="array" ref="G1309">FindCountryName(F1309)</f>
        <v>None</v>
      </c>
      <c r="H1309" s="3">
        <v>45149.560879629629</v>
      </c>
      <c r="I1309" s="3">
        <v>45149.560868055552</v>
      </c>
      <c r="J1309" s="3">
        <v>44895.259247685186</v>
      </c>
      <c r="K1309" cm="1">
        <f t="array" ref="K1309">sentimentCalc(C1309)</f>
        <v>1</v>
      </c>
      <c r="L1309" t="str" cm="1">
        <f t="array" ref="L1309">sentimentCategory(K1309)</f>
        <v>Positive</v>
      </c>
    </row>
    <row r="1310" spans="1:12" x14ac:dyDescent="0.25">
      <c r="A1310" t="s">
        <v>66</v>
      </c>
      <c r="B1310" t="s">
        <v>3891</v>
      </c>
      <c r="C1310" t="str" cm="1">
        <f t="array" ref="C1310">CleanText(B1310)</f>
        <v>humanity you are lost if you watched this utter junk</v>
      </c>
      <c r="D1310">
        <v>0</v>
      </c>
      <c r="E1310">
        <v>2</v>
      </c>
      <c r="F1310" t="s">
        <v>10</v>
      </c>
      <c r="G1310" t="str" cm="1">
        <f t="array" ref="G1310">FindCountryName(F1310)</f>
        <v>None</v>
      </c>
      <c r="H1310" s="3">
        <v>45144.690578703703</v>
      </c>
      <c r="I1310" s="3">
        <v>45144.690578703703</v>
      </c>
      <c r="J1310" s="3">
        <v>44142.891168981485</v>
      </c>
      <c r="K1310" cm="1">
        <f t="array" ref="K1310">sentimentCalc(C1310)</f>
        <v>-3</v>
      </c>
      <c r="L1310" t="str" cm="1">
        <f t="array" ref="L1310">sentimentCategory(K1310)</f>
        <v>Negative</v>
      </c>
    </row>
    <row r="1311" spans="1:12" x14ac:dyDescent="0.25">
      <c r="A1311" t="s">
        <v>22</v>
      </c>
      <c r="B1311" t="s">
        <v>3055</v>
      </c>
      <c r="C1311" t="str" cm="1">
        <f t="array" ref="C1311">CleanText(B1311)</f>
        <v>humans have only one ending ideas live forever though ideas come from humans</v>
      </c>
      <c r="D1311">
        <v>0</v>
      </c>
      <c r="E1311">
        <v>0</v>
      </c>
      <c r="F1311" t="s">
        <v>10</v>
      </c>
      <c r="G1311" t="str" cm="1">
        <f t="array" ref="G1311">FindCountryName(F1311)</f>
        <v>None</v>
      </c>
      <c r="H1311" s="3">
        <v>45153.993993055556</v>
      </c>
      <c r="I1311" s="3">
        <v>45153.993993055556</v>
      </c>
      <c r="J1311" s="3">
        <v>41217.684340277781</v>
      </c>
      <c r="K1311" cm="1">
        <f t="array" ref="K1311">sentimentCalc(C1311)</f>
        <v>0</v>
      </c>
      <c r="L1311" t="str" cm="1">
        <f t="array" ref="L1311">sentimentCategory(K1311)</f>
        <v>Neutral</v>
      </c>
    </row>
    <row r="1312" spans="1:12" x14ac:dyDescent="0.25">
      <c r="A1312" t="s">
        <v>126</v>
      </c>
      <c r="B1312" t="s">
        <v>4158</v>
      </c>
      <c r="C1312" t="str" cm="1">
        <f t="array" ref="C1312">CleanText(B1312)</f>
        <v>hypocrites go make fun of japans tragedy just because oppenheimers director ditched wb studios snowflakes and cognitive challenged i aint watching your rancid feminist pamphlet even for free better watch oppenheimer a few more timesgood luck</v>
      </c>
      <c r="D1312">
        <v>6</v>
      </c>
      <c r="E1312">
        <v>0</v>
      </c>
      <c r="F1312" t="s">
        <v>10</v>
      </c>
      <c r="G1312" t="str" cm="1">
        <f t="array" ref="G1312">FindCountryName(F1312)</f>
        <v>None</v>
      </c>
      <c r="H1312" s="3">
        <v>45142.414247685185</v>
      </c>
      <c r="I1312" s="3">
        <v>45142.414247685185</v>
      </c>
      <c r="J1312" s="3">
        <v>41148.685601851852</v>
      </c>
      <c r="K1312" cm="1">
        <f t="array" ref="K1312">sentimentCalc(C1312)</f>
        <v>8</v>
      </c>
      <c r="L1312" t="str" cm="1">
        <f t="array" ref="L1312">sentimentCategory(K1312)</f>
        <v>Positive</v>
      </c>
    </row>
    <row r="1313" spans="1:12" x14ac:dyDescent="0.25">
      <c r="A1313" t="s">
        <v>1078</v>
      </c>
      <c r="B1313" t="s">
        <v>1974</v>
      </c>
      <c r="C1313" t="str" cm="1">
        <f t="array" ref="C1313">CleanText(B1313)</f>
        <v>i  this</v>
      </c>
      <c r="D1313">
        <v>0</v>
      </c>
      <c r="E1313">
        <v>0</v>
      </c>
      <c r="F1313" t="s">
        <v>10</v>
      </c>
      <c r="G1313" t="str" cm="1">
        <f t="array" ref="G1313">FindCountryName(F1313)</f>
        <v>None</v>
      </c>
      <c r="H1313" s="3">
        <v>45185.643379629626</v>
      </c>
      <c r="I1313" s="3">
        <v>45185.643379629626</v>
      </c>
      <c r="J1313" s="3">
        <v>43934.165625000001</v>
      </c>
      <c r="K1313" cm="1">
        <f t="array" ref="K1313">sentimentCalc(C1313)</f>
        <v>0</v>
      </c>
      <c r="L1313" t="str" cm="1">
        <f t="array" ref="L1313">sentimentCategory(K1313)</f>
        <v>Neutral</v>
      </c>
    </row>
    <row r="1314" spans="1:12" x14ac:dyDescent="0.25">
      <c r="A1314" t="s">
        <v>1100</v>
      </c>
      <c r="B1314" t="s">
        <v>2116</v>
      </c>
      <c r="C1314" t="str" cm="1">
        <f t="array" ref="C1314">CleanText(B1314)</f>
        <v>i  this movie</v>
      </c>
      <c r="D1314">
        <v>0</v>
      </c>
      <c r="E1314">
        <v>0</v>
      </c>
      <c r="F1314" t="s">
        <v>10</v>
      </c>
      <c r="G1314" t="str" cm="1">
        <f t="array" ref="G1314">FindCountryName(F1314)</f>
        <v>None</v>
      </c>
      <c r="H1314" s="3">
        <v>45180.079236111109</v>
      </c>
      <c r="I1314" s="3">
        <v>45180.079236111109</v>
      </c>
      <c r="J1314" s="3">
        <v>42975.235868055555</v>
      </c>
      <c r="K1314" cm="1">
        <f t="array" ref="K1314">sentimentCalc(C1314)</f>
        <v>0</v>
      </c>
      <c r="L1314" t="str" cm="1">
        <f t="array" ref="L1314">sentimentCategory(K1314)</f>
        <v>Neutral</v>
      </c>
    </row>
    <row r="1315" spans="1:12" x14ac:dyDescent="0.25">
      <c r="A1315" t="s">
        <v>32</v>
      </c>
      <c r="B1315" t="s">
        <v>2929</v>
      </c>
      <c r="C1315" t="str" cm="1">
        <f t="array" ref="C1315">CleanText(B1315)</f>
        <v>i it</v>
      </c>
      <c r="D1315">
        <v>0</v>
      </c>
      <c r="E1315">
        <v>0</v>
      </c>
      <c r="F1315" t="s">
        <v>10</v>
      </c>
      <c r="G1315" t="str" cm="1">
        <f t="array" ref="G1315">FindCountryName(F1315)</f>
        <v>None</v>
      </c>
      <c r="H1315" s="3">
        <v>45155.775949074072</v>
      </c>
      <c r="I1315" s="3">
        <v>45155.775949074072</v>
      </c>
      <c r="J1315" s="3">
        <v>41555.525231481479</v>
      </c>
      <c r="K1315" cm="1">
        <f t="array" ref="K1315">sentimentCalc(C1315)</f>
        <v>0</v>
      </c>
      <c r="L1315" t="str" cm="1">
        <f t="array" ref="L1315">sentimentCategory(K1315)</f>
        <v>Neutral</v>
      </c>
    </row>
    <row r="1316" spans="1:12" x14ac:dyDescent="0.25">
      <c r="A1316" t="s">
        <v>609</v>
      </c>
      <c r="B1316" t="s">
        <v>2805</v>
      </c>
      <c r="C1316" t="str" cm="1">
        <f t="array" ref="C1316">CleanText(B1316)</f>
        <v>i actuallt thought this was a joke never realised it was an actual movie</v>
      </c>
      <c r="D1316">
        <v>0</v>
      </c>
      <c r="E1316">
        <v>0</v>
      </c>
      <c r="F1316" t="s">
        <v>10</v>
      </c>
      <c r="G1316" t="str" cm="1">
        <f t="array" ref="G1316">FindCountryName(F1316)</f>
        <v>None</v>
      </c>
      <c r="H1316" s="3">
        <v>45157.614363425928</v>
      </c>
      <c r="I1316" s="3">
        <v>45157.614363425928</v>
      </c>
      <c r="J1316" s="3">
        <v>43433.193043981482</v>
      </c>
      <c r="K1316" cm="1">
        <f t="array" ref="K1316">sentimentCalc(C1316)</f>
        <v>2</v>
      </c>
      <c r="L1316" t="str" cm="1">
        <f t="array" ref="L1316">sentimentCategory(K1316)</f>
        <v>Positive</v>
      </c>
    </row>
    <row r="1317" spans="1:12" x14ac:dyDescent="0.25">
      <c r="A1317" t="s">
        <v>1195</v>
      </c>
      <c r="B1317" t="s">
        <v>1196</v>
      </c>
      <c r="C1317" t="str" cm="1">
        <f t="array" ref="C1317">CleanText(B1317)</f>
        <v>i adore this film instant classic</v>
      </c>
      <c r="D1317">
        <v>1</v>
      </c>
      <c r="E1317">
        <v>0</v>
      </c>
      <c r="F1317" t="s">
        <v>10</v>
      </c>
      <c r="G1317" t="str" cm="1">
        <f t="array" ref="G1317">FindCountryName(F1317)</f>
        <v>None</v>
      </c>
      <c r="H1317" s="3">
        <v>45277.829050925924</v>
      </c>
      <c r="I1317" s="3">
        <v>45277.829050925924</v>
      </c>
      <c r="J1317" s="3">
        <v>40689.043425925927</v>
      </c>
      <c r="K1317" cm="1">
        <f t="array" ref="K1317">sentimentCalc(C1317)</f>
        <v>3</v>
      </c>
      <c r="L1317" t="str" cm="1">
        <f t="array" ref="L1317">sentimentCategory(K1317)</f>
        <v>Positive</v>
      </c>
    </row>
    <row r="1318" spans="1:12" x14ac:dyDescent="0.25">
      <c r="A1318" t="s">
        <v>2174</v>
      </c>
      <c r="B1318" t="s">
        <v>2175</v>
      </c>
      <c r="C1318" t="str" cm="1">
        <f t="array" ref="C1318">CleanText(B1318)</f>
        <v>i already have watched barbie in june  and it was awesome</v>
      </c>
      <c r="D1318">
        <v>0</v>
      </c>
      <c r="E1318">
        <v>0</v>
      </c>
      <c r="F1318" t="s">
        <v>10</v>
      </c>
      <c r="G1318" t="str" cm="1">
        <f t="array" ref="G1318">FindCountryName(F1318)</f>
        <v>None</v>
      </c>
      <c r="H1318" s="3">
        <v>45177.039641203701</v>
      </c>
      <c r="I1318" s="3">
        <v>45177.040046296293</v>
      </c>
      <c r="J1318" s="3">
        <v>44462.43341435185</v>
      </c>
      <c r="K1318" cm="1">
        <f t="array" ref="K1318">sentimentCalc(C1318)</f>
        <v>4</v>
      </c>
      <c r="L1318" t="str" cm="1">
        <f t="array" ref="L1318">sentimentCategory(K1318)</f>
        <v>Positive</v>
      </c>
    </row>
    <row r="1319" spans="1:12" x14ac:dyDescent="0.25">
      <c r="A1319" t="s">
        <v>152</v>
      </c>
      <c r="B1319" t="s">
        <v>2552</v>
      </c>
      <c r="C1319" t="str" cm="1">
        <f t="array" ref="C1319">CleanText(B1319)</f>
        <v>i also wanted the movie</v>
      </c>
      <c r="D1319">
        <v>0</v>
      </c>
      <c r="E1319">
        <v>0</v>
      </c>
      <c r="F1319" t="s">
        <v>10</v>
      </c>
      <c r="G1319" t="str" cm="1">
        <f t="array" ref="G1319">FindCountryName(F1319)</f>
        <v>None</v>
      </c>
      <c r="H1319" s="3">
        <v>45163.55978009259</v>
      </c>
      <c r="I1319" s="3">
        <v>45163.55976851852</v>
      </c>
      <c r="J1319" s="3">
        <v>42772.712083333332</v>
      </c>
      <c r="K1319" cm="1">
        <f t="array" ref="K1319">sentimentCalc(C1319)</f>
        <v>0</v>
      </c>
      <c r="L1319" t="str" cm="1">
        <f t="array" ref="L1319">sentimentCategory(K1319)</f>
        <v>Neutral</v>
      </c>
    </row>
    <row r="1320" spans="1:12" x14ac:dyDescent="0.25">
      <c r="A1320" t="s">
        <v>282</v>
      </c>
      <c r="B1320" t="s">
        <v>283</v>
      </c>
      <c r="C1320" t="str" cm="1">
        <f t="array" ref="C1320">CleanText(B1320)</f>
        <v>i am  years old and this move for all ages i like this movie</v>
      </c>
      <c r="D1320">
        <v>0</v>
      </c>
      <c r="E1320">
        <v>7</v>
      </c>
      <c r="F1320" t="s">
        <v>10</v>
      </c>
      <c r="G1320" t="str" cm="1">
        <f t="array" ref="G1320">FindCountryName(F1320)</f>
        <v>None</v>
      </c>
      <c r="H1320" s="3">
        <v>45322.463726851849</v>
      </c>
      <c r="I1320" s="3">
        <v>45322.463726851849</v>
      </c>
      <c r="J1320" s="3">
        <v>43367.181423611109</v>
      </c>
      <c r="K1320" cm="1">
        <f t="array" ref="K1320">sentimentCalc(C1320)</f>
        <v>2</v>
      </c>
      <c r="L1320" t="str" cm="1">
        <f t="array" ref="L1320">sentimentCategory(K1320)</f>
        <v>Positive</v>
      </c>
    </row>
    <row r="1321" spans="1:12" x14ac:dyDescent="0.25">
      <c r="A1321" t="s">
        <v>120</v>
      </c>
      <c r="B1321" t="s">
        <v>4022</v>
      </c>
      <c r="C1321" t="str" cm="1">
        <f t="array" ref="C1321">CleanText(B1321)</f>
        <v>i am about to watch the barbie movie</v>
      </c>
      <c r="D1321">
        <v>1</v>
      </c>
      <c r="E1321">
        <v>0</v>
      </c>
      <c r="F1321" t="s">
        <v>10</v>
      </c>
      <c r="G1321" t="str" cm="1">
        <f t="array" ref="G1321">FindCountryName(F1321)</f>
        <v>None</v>
      </c>
      <c r="H1321" s="3">
        <v>45143.611550925925</v>
      </c>
      <c r="I1321" s="3">
        <v>45143.611550925925</v>
      </c>
      <c r="J1321" s="3">
        <v>45080.859236111108</v>
      </c>
      <c r="K1321" cm="1">
        <f t="array" ref="K1321">sentimentCalc(C1321)</f>
        <v>0</v>
      </c>
      <c r="L1321" t="str" cm="1">
        <f t="array" ref="L1321">sentimentCategory(K1321)</f>
        <v>Neutral</v>
      </c>
    </row>
    <row r="1322" spans="1:12" x14ac:dyDescent="0.25">
      <c r="A1322" t="s">
        <v>1155</v>
      </c>
      <c r="B1322" t="s">
        <v>1156</v>
      </c>
      <c r="C1322" t="str" cm="1">
        <f t="array" ref="C1322">CleanText(B1322)</f>
        <v>i am ashamed of how many times ive already seen this movie oh my gosh greta gerwig took such an incredible concept and then she didnt just run with it  she usain bolted allll the way to the finish and let me tell you the winners circle is looking fabulous i also really enjoyed ladybird  this woman is going to have a lot to say in her career and if its this enjoyable i will listen every time it wouldve been so easy for this movie to flop  especially because i know i had incredibly high expectations for it and im just a random person people dont usually care about my opinion too much haha but when i tell you this movie went above and beyond anything i hoped it could be</v>
      </c>
      <c r="D1322">
        <v>1</v>
      </c>
      <c r="E1322">
        <v>2</v>
      </c>
      <c r="F1322" t="s">
        <v>10</v>
      </c>
      <c r="G1322" t="str" cm="1">
        <f t="array" ref="G1322">FindCountryName(F1322)</f>
        <v>None</v>
      </c>
      <c r="H1322" s="3">
        <v>45282.44835648148</v>
      </c>
      <c r="I1322" s="3">
        <v>45282.44835648148</v>
      </c>
      <c r="J1322" s="3">
        <v>39875.627604166664</v>
      </c>
      <c r="K1322" cm="1">
        <f t="array" ref="K1322">sentimentCalc(C1322)</f>
        <v>3</v>
      </c>
      <c r="L1322" t="str" cm="1">
        <f t="array" ref="L1322">sentimentCategory(K1322)</f>
        <v>Positive</v>
      </c>
    </row>
    <row r="1323" spans="1:12" x14ac:dyDescent="0.25">
      <c r="A1323" t="s">
        <v>3650</v>
      </c>
      <c r="B1323" t="s">
        <v>3651</v>
      </c>
      <c r="C1323" t="str" cm="1">
        <f t="array" ref="C1323">CleanText(B1323)</f>
        <v>i am broke up with her because she likes this annoying movie wtf</v>
      </c>
      <c r="D1323">
        <v>0</v>
      </c>
      <c r="E1323">
        <v>0</v>
      </c>
      <c r="F1323" t="s">
        <v>10</v>
      </c>
      <c r="G1323" t="str" cm="1">
        <f t="array" ref="G1323">FindCountryName(F1323)</f>
        <v>None</v>
      </c>
      <c r="H1323" s="3">
        <v>45146.772233796299</v>
      </c>
      <c r="I1323" s="3">
        <v>45146.772233796299</v>
      </c>
      <c r="J1323" s="3">
        <v>44518.330729166664</v>
      </c>
      <c r="K1323" cm="1">
        <f t="array" ref="K1323">sentimentCalc(C1323)</f>
        <v>-1</v>
      </c>
      <c r="L1323" t="str" cm="1">
        <f t="array" ref="L1323">sentimentCategory(K1323)</f>
        <v>Negative</v>
      </c>
    </row>
    <row r="1324" spans="1:12" x14ac:dyDescent="0.25">
      <c r="A1324" t="s">
        <v>1076</v>
      </c>
      <c r="B1324" t="s">
        <v>2583</v>
      </c>
      <c r="C1324" t="str" cm="1">
        <f t="array" ref="C1324">CleanText(B1324)</f>
        <v>i am glad i did not throw the money on this</v>
      </c>
      <c r="D1324">
        <v>1</v>
      </c>
      <c r="E1324">
        <v>0</v>
      </c>
      <c r="F1324" t="s">
        <v>1151</v>
      </c>
      <c r="G1324" t="str" cm="1">
        <f t="array" ref="G1324">FindCountryName(F1324)</f>
        <v>United Kingdom of Great Britain and Northern Ireland (the)</v>
      </c>
      <c r="H1324" s="3">
        <v>45162.707650462966</v>
      </c>
      <c r="I1324" s="3">
        <v>45162.707650462966</v>
      </c>
      <c r="J1324" s="3">
        <v>44343.501087962963</v>
      </c>
      <c r="K1324" cm="1">
        <f t="array" ref="K1324">sentimentCalc(C1324)</f>
        <v>3</v>
      </c>
      <c r="L1324" t="str" cm="1">
        <f t="array" ref="L1324">sentimentCategory(K1324)</f>
        <v>Positive</v>
      </c>
    </row>
    <row r="1325" spans="1:12" x14ac:dyDescent="0.25">
      <c r="A1325" t="s">
        <v>382</v>
      </c>
      <c r="B1325" t="s">
        <v>3056</v>
      </c>
      <c r="C1325" t="str" cm="1">
        <f t="array" ref="C1325">CleanText(B1325)</f>
        <v>i am japanesei was interested in a barbie movie but i lost interest in seeing it because of the atomic bomb please dont make fun of the atomic bomb many people diedit is very disappointing</v>
      </c>
      <c r="D1325">
        <v>2</v>
      </c>
      <c r="E1325">
        <v>3</v>
      </c>
      <c r="F1325" t="s">
        <v>10</v>
      </c>
      <c r="G1325" t="str" cm="1">
        <f t="array" ref="G1325">FindCountryName(F1325)</f>
        <v>None</v>
      </c>
      <c r="H1325" s="3">
        <v>45153.963912037034</v>
      </c>
      <c r="I1325" s="3">
        <v>45153.963900462964</v>
      </c>
      <c r="J1325" s="3">
        <v>45069.100115740737</v>
      </c>
      <c r="K1325" cm="1">
        <f t="array" ref="K1325">sentimentCalc(C1325)</f>
        <v>1</v>
      </c>
      <c r="L1325" t="str" cm="1">
        <f t="array" ref="L1325">sentimentCategory(K1325)</f>
        <v>Positive</v>
      </c>
    </row>
    <row r="1326" spans="1:12" x14ac:dyDescent="0.25">
      <c r="A1326" t="s">
        <v>1235</v>
      </c>
      <c r="B1326" t="s">
        <v>1236</v>
      </c>
      <c r="C1326" t="str" cm="1">
        <f t="array" ref="C1326">CleanText(B1326)</f>
        <v>i am kenough</v>
      </c>
      <c r="D1326">
        <v>0</v>
      </c>
      <c r="E1326">
        <v>0</v>
      </c>
      <c r="F1326" t="s">
        <v>1151</v>
      </c>
      <c r="G1326" t="str" cm="1">
        <f t="array" ref="G1326">FindCountryName(F1326)</f>
        <v>United Kingdom of Great Britain and Northern Ireland (the)</v>
      </c>
      <c r="H1326" s="3">
        <v>45272.748402777775</v>
      </c>
      <c r="I1326" s="3">
        <v>45272.748402777775</v>
      </c>
      <c r="J1326" s="3">
        <v>40804.014166666668</v>
      </c>
      <c r="K1326" cm="1">
        <f t="array" ref="K1326">sentimentCalc(C1326)</f>
        <v>0</v>
      </c>
      <c r="L1326" t="str" cm="1">
        <f t="array" ref="L1326">sentimentCategory(K1326)</f>
        <v>Neutral</v>
      </c>
    </row>
    <row r="1327" spans="1:12" x14ac:dyDescent="0.25">
      <c r="A1327" t="s">
        <v>347</v>
      </c>
      <c r="B1327" t="s">
        <v>1619</v>
      </c>
      <c r="C1327" t="str" cm="1">
        <f t="array" ref="C1327">CleanText(B1327)</f>
        <v>i am not love barbie barbie lol</v>
      </c>
      <c r="D1327">
        <v>0</v>
      </c>
      <c r="E1327">
        <v>0</v>
      </c>
      <c r="F1327" t="s">
        <v>10</v>
      </c>
      <c r="G1327" t="str" cm="1">
        <f t="array" ref="G1327">FindCountryName(F1327)</f>
        <v>None</v>
      </c>
      <c r="H1327" s="3">
        <v>45208.15730324074</v>
      </c>
      <c r="I1327" s="3">
        <v>45208.15730324074</v>
      </c>
      <c r="J1327" s="3">
        <v>45159.138275462959</v>
      </c>
      <c r="K1327" cm="1">
        <f t="array" ref="K1327">sentimentCalc(C1327)</f>
        <v>3</v>
      </c>
      <c r="L1327" t="str" cm="1">
        <f t="array" ref="L1327">sentimentCategory(K1327)</f>
        <v>Positive</v>
      </c>
    </row>
    <row r="1328" spans="1:12" x14ac:dyDescent="0.25">
      <c r="A1328" t="s">
        <v>98</v>
      </c>
      <c r="B1328" t="s">
        <v>4383</v>
      </c>
      <c r="C1328" t="str" cm="1">
        <f t="array" ref="C1328">CleanText(B1328)</f>
        <v>i am probably the only one who didnt like the movie lol like i slept through half of it and i am a huge barbie fan</v>
      </c>
      <c r="D1328">
        <v>2</v>
      </c>
      <c r="E1328">
        <v>0</v>
      </c>
      <c r="F1328" t="s">
        <v>10</v>
      </c>
      <c r="G1328" t="str" cm="1">
        <f t="array" ref="G1328">FindCountryName(F1328)</f>
        <v>None</v>
      </c>
      <c r="H1328" s="3">
        <v>45140.528912037036</v>
      </c>
      <c r="I1328" s="3">
        <v>45140.528912037036</v>
      </c>
      <c r="J1328" s="3">
        <v>43319.551261574074</v>
      </c>
      <c r="K1328" cm="1">
        <f t="array" ref="K1328">sentimentCalc(C1328)</f>
        <v>8</v>
      </c>
      <c r="L1328" t="str" cm="1">
        <f t="array" ref="L1328">sentimentCategory(K1328)</f>
        <v>Positive</v>
      </c>
    </row>
    <row r="1329" spans="1:12" x14ac:dyDescent="0.25">
      <c r="A1329" t="s">
        <v>382</v>
      </c>
      <c r="B1329" t="s">
        <v>1838</v>
      </c>
      <c r="C1329" t="str" cm="1">
        <f t="array" ref="C1329">CleanText(B1329)</f>
        <v>i am really in love with barbie dolls and also fashion royalty dolls</v>
      </c>
      <c r="D1329">
        <v>0</v>
      </c>
      <c r="E1329">
        <v>0</v>
      </c>
      <c r="F1329" t="s">
        <v>10</v>
      </c>
      <c r="G1329" t="str" cm="1">
        <f t="array" ref="G1329">FindCountryName(F1329)</f>
        <v>None</v>
      </c>
      <c r="H1329" s="3">
        <v>45191.603368055556</v>
      </c>
      <c r="I1329" s="3">
        <v>45191.603368055556</v>
      </c>
      <c r="J1329" s="3">
        <v>43915.438206018516</v>
      </c>
      <c r="K1329" cm="1">
        <f t="array" ref="K1329">sentimentCalc(C1329)</f>
        <v>3</v>
      </c>
      <c r="L1329" t="str" cm="1">
        <f t="array" ref="L1329">sentimentCategory(K1329)</f>
        <v>Positive</v>
      </c>
    </row>
    <row r="1330" spans="1:12" x14ac:dyDescent="0.25">
      <c r="A1330" t="s">
        <v>266</v>
      </c>
      <c r="B1330" t="s">
        <v>267</v>
      </c>
      <c r="C1330" t="str" cm="1">
        <f t="array" ref="C1330">CleanText(B1330)</f>
        <v>i am ryan gosling</v>
      </c>
      <c r="D1330">
        <v>0</v>
      </c>
      <c r="E1330">
        <v>1</v>
      </c>
      <c r="F1330" t="s">
        <v>10</v>
      </c>
      <c r="G1330" t="str" cm="1">
        <f t="array" ref="G1330">FindCountryName(F1330)</f>
        <v>None</v>
      </c>
      <c r="H1330" s="3">
        <v>45323.100300925929</v>
      </c>
      <c r="I1330" s="3">
        <v>45323.100300925929</v>
      </c>
      <c r="J1330" s="3">
        <v>45172.886597222219</v>
      </c>
      <c r="K1330" cm="1">
        <f t="array" ref="K1330">sentimentCalc(C1330)</f>
        <v>0</v>
      </c>
      <c r="L1330" t="str" cm="1">
        <f t="array" ref="L1330">sentimentCategory(K1330)</f>
        <v>Neutral</v>
      </c>
    </row>
    <row r="1331" spans="1:12" x14ac:dyDescent="0.25">
      <c r="A1331" t="s">
        <v>2129</v>
      </c>
      <c r="B1331" t="s">
        <v>2130</v>
      </c>
      <c r="C1331" t="str" cm="1">
        <f t="array" ref="C1331">CleanText(B1331)</f>
        <v>i am so exited</v>
      </c>
      <c r="D1331">
        <v>0</v>
      </c>
      <c r="E1331">
        <v>0</v>
      </c>
      <c r="F1331" t="s">
        <v>10</v>
      </c>
      <c r="G1331" t="str" cm="1">
        <f t="array" ref="G1331">FindCountryName(F1331)</f>
        <v>None</v>
      </c>
      <c r="H1331" s="3">
        <v>45179.429386574076</v>
      </c>
      <c r="I1331" s="3">
        <v>45179.429386574076</v>
      </c>
      <c r="J1331" s="3">
        <v>44938.680324074077</v>
      </c>
      <c r="K1331" cm="1">
        <f t="array" ref="K1331">sentimentCalc(C1331)</f>
        <v>0</v>
      </c>
      <c r="L1331" t="str" cm="1">
        <f t="array" ref="L1331">sentimentCategory(K1331)</f>
        <v>Neutral</v>
      </c>
    </row>
    <row r="1332" spans="1:12" x14ac:dyDescent="0.25">
      <c r="A1332" t="s">
        <v>169</v>
      </c>
      <c r="B1332" t="s">
        <v>1935</v>
      </c>
      <c r="C1332" t="str" cm="1">
        <f t="array" ref="C1332">CleanText(B1332)</f>
        <v>i am sorry but i was deeply disappointed about the movie not at all what i had expected not funny at all</v>
      </c>
      <c r="D1332">
        <v>4</v>
      </c>
      <c r="E1332">
        <v>0</v>
      </c>
      <c r="F1332" t="s">
        <v>10</v>
      </c>
      <c r="G1332" t="str" cm="1">
        <f t="array" ref="G1332">FindCountryName(F1332)</f>
        <v>None</v>
      </c>
      <c r="H1332" s="3">
        <v>45187.328159722223</v>
      </c>
      <c r="I1332" s="3">
        <v>45187.328148148146</v>
      </c>
      <c r="J1332" s="3">
        <v>40794.533437500002</v>
      </c>
      <c r="K1332" cm="1">
        <f t="array" ref="K1332">sentimentCalc(C1332)</f>
        <v>1</v>
      </c>
      <c r="L1332" t="str" cm="1">
        <f t="array" ref="L1332">sentimentCategory(K1332)</f>
        <v>Positive</v>
      </c>
    </row>
    <row r="1333" spans="1:12" x14ac:dyDescent="0.25">
      <c r="A1333" t="s">
        <v>192</v>
      </c>
      <c r="B1333" t="s">
        <v>2837</v>
      </c>
      <c r="C1333" t="str" cm="1">
        <f t="array" ref="C1333">CleanText(B1333)</f>
        <v>i am the terminator and my primary objective it toterminate barbieill be back</v>
      </c>
      <c r="D1333">
        <v>1</v>
      </c>
      <c r="E1333">
        <v>0</v>
      </c>
      <c r="F1333" t="s">
        <v>10</v>
      </c>
      <c r="G1333" t="str" cm="1">
        <f t="array" ref="G1333">FindCountryName(F1333)</f>
        <v>None</v>
      </c>
      <c r="H1333" s="3">
        <v>45156.967199074075</v>
      </c>
      <c r="I1333" s="3">
        <v>45156.967199074075</v>
      </c>
      <c r="J1333" s="3">
        <v>45094.050659722219</v>
      </c>
      <c r="K1333" cm="1">
        <f t="array" ref="K1333">sentimentCalc(C1333)</f>
        <v>0</v>
      </c>
      <c r="L1333" t="str" cm="1">
        <f t="array" ref="L1333">sentimentCategory(K1333)</f>
        <v>Neutral</v>
      </c>
    </row>
    <row r="1334" spans="1:12" x14ac:dyDescent="0.25">
      <c r="A1334" t="s">
        <v>173</v>
      </c>
      <c r="B1334" t="s">
        <v>2471</v>
      </c>
      <c r="C1334" t="str" cm="1">
        <f t="array" ref="C1334">CleanText(B1334)</f>
        <v>i am the vine and ye are the branches</v>
      </c>
      <c r="D1334">
        <v>1</v>
      </c>
      <c r="E1334">
        <v>1</v>
      </c>
      <c r="F1334" t="s">
        <v>10</v>
      </c>
      <c r="G1334" t="str" cm="1">
        <f t="array" ref="G1334">FindCountryName(F1334)</f>
        <v>None</v>
      </c>
      <c r="H1334" s="3">
        <v>45165.9141087963</v>
      </c>
      <c r="I1334" s="3">
        <v>45165.9141087963</v>
      </c>
      <c r="J1334" s="3">
        <v>44349.496365740742</v>
      </c>
      <c r="K1334" cm="1">
        <f t="array" ref="K1334">sentimentCalc(C1334)</f>
        <v>0</v>
      </c>
      <c r="L1334" t="str" cm="1">
        <f t="array" ref="L1334">sentimentCategory(K1334)</f>
        <v>Neutral</v>
      </c>
    </row>
    <row r="1335" spans="1:12" x14ac:dyDescent="0.25">
      <c r="A1335" t="s">
        <v>861</v>
      </c>
      <c r="B1335" t="s">
        <v>3353</v>
      </c>
      <c r="C1335" t="str" cm="1">
        <f t="array" ref="C1335">CleanText(B1335)</f>
        <v>i amk e n o u g h</v>
      </c>
      <c r="D1335">
        <v>2</v>
      </c>
      <c r="E1335">
        <v>0</v>
      </c>
      <c r="F1335" t="s">
        <v>10</v>
      </c>
      <c r="G1335" t="str" cm="1">
        <f t="array" ref="G1335">FindCountryName(F1335)</f>
        <v>None</v>
      </c>
      <c r="H1335" s="3">
        <v>45149.713252314818</v>
      </c>
      <c r="I1335" s="3">
        <v>45149.713252314818</v>
      </c>
      <c r="J1335" s="3">
        <v>44423.402800925927</v>
      </c>
      <c r="K1335" cm="1">
        <f t="array" ref="K1335">sentimentCalc(C1335)</f>
        <v>0</v>
      </c>
      <c r="L1335" t="str" cm="1">
        <f t="array" ref="L1335">sentimentCategory(K1335)</f>
        <v>Neutral</v>
      </c>
    </row>
    <row r="1336" spans="1:12" x14ac:dyDescent="0.25">
      <c r="A1336" t="s">
        <v>304</v>
      </c>
      <c r="B1336" t="s">
        <v>2950</v>
      </c>
      <c r="C1336" t="str" cm="1">
        <f t="array" ref="C1336">CleanText(B1336)</f>
        <v>i asked my aunt if she can get me this movie for my birthday</v>
      </c>
      <c r="D1336">
        <v>0</v>
      </c>
      <c r="E1336">
        <v>1</v>
      </c>
      <c r="F1336" t="s">
        <v>10</v>
      </c>
      <c r="G1336" t="str" cm="1">
        <f t="array" ref="G1336">FindCountryName(F1336)</f>
        <v>None</v>
      </c>
      <c r="H1336" s="3">
        <v>45155.524143518516</v>
      </c>
      <c r="I1336" s="3">
        <v>45155.524143518516</v>
      </c>
      <c r="J1336" s="3">
        <v>44255.62122685185</v>
      </c>
      <c r="K1336" cm="1">
        <f t="array" ref="K1336">sentimentCalc(C1336)</f>
        <v>0</v>
      </c>
      <c r="L1336" t="str" cm="1">
        <f t="array" ref="L1336">sentimentCategory(K1336)</f>
        <v>Neutral</v>
      </c>
    </row>
    <row r="1337" spans="1:12" x14ac:dyDescent="0.25">
      <c r="A1337" t="s">
        <v>28</v>
      </c>
      <c r="B1337" t="s">
        <v>3595</v>
      </c>
      <c r="C1337" t="str" cm="1">
        <f t="array" ref="C1337">CleanText(B1337)</f>
        <v>i can see this as a totally requested blue ray dvd for the holiday season this movie looks like its one of those leave your brain at the door and love it kind of movies i did hear a lady my age say it was hilarious</v>
      </c>
      <c r="D1337">
        <v>1</v>
      </c>
      <c r="E1337">
        <v>0</v>
      </c>
      <c r="F1337" t="s">
        <v>10</v>
      </c>
      <c r="G1337" t="str" cm="1">
        <f t="array" ref="G1337">FindCountryName(F1337)</f>
        <v>None</v>
      </c>
      <c r="H1337" s="3">
        <v>45147.314189814817</v>
      </c>
      <c r="I1337" s="3">
        <v>45147.314189814817</v>
      </c>
      <c r="J1337" s="3">
        <v>39874.445636574077</v>
      </c>
      <c r="K1337" cm="1">
        <f t="array" ref="K1337">sentimentCalc(C1337)</f>
        <v>8</v>
      </c>
      <c r="L1337" t="str" cm="1">
        <f t="array" ref="L1337">sentimentCategory(K1337)</f>
        <v>Positive</v>
      </c>
    </row>
    <row r="1338" spans="1:12" x14ac:dyDescent="0.25">
      <c r="A1338" t="s">
        <v>315</v>
      </c>
      <c r="B1338" t="s">
        <v>2393</v>
      </c>
      <c r="C1338" t="str" cm="1">
        <f t="array" ref="C1338">CleanText(B1338)</f>
        <v>i cant believe they casted mike pence as ken</v>
      </c>
      <c r="D1338">
        <v>1</v>
      </c>
      <c r="E1338">
        <v>0</v>
      </c>
      <c r="F1338" t="s">
        <v>10</v>
      </c>
      <c r="G1338" t="str" cm="1">
        <f t="array" ref="G1338">FindCountryName(F1338)</f>
        <v>None</v>
      </c>
      <c r="H1338" s="3">
        <v>45168.914178240739</v>
      </c>
      <c r="I1338" s="3">
        <v>45168.914178240739</v>
      </c>
      <c r="J1338" s="3">
        <v>44334.829432870371</v>
      </c>
      <c r="K1338" cm="1">
        <f t="array" ref="K1338">sentimentCalc(C1338)</f>
        <v>0</v>
      </c>
      <c r="L1338" t="str" cm="1">
        <f t="array" ref="L1338">sentimentCategory(K1338)</f>
        <v>Neutral</v>
      </c>
    </row>
    <row r="1339" spans="1:12" x14ac:dyDescent="0.25">
      <c r="A1339" t="s">
        <v>3203</v>
      </c>
      <c r="B1339" t="s">
        <v>3204</v>
      </c>
      <c r="C1339" t="str" cm="1">
        <f t="array" ref="C1339">CleanText(B1339)</f>
        <v>i cant stand pinkcolor for this reason i am out</v>
      </c>
      <c r="D1339">
        <v>2</v>
      </c>
      <c r="E1339">
        <v>0</v>
      </c>
      <c r="F1339" t="s">
        <v>10</v>
      </c>
      <c r="G1339" t="str" cm="1">
        <f t="array" ref="G1339">FindCountryName(F1339)</f>
        <v>None</v>
      </c>
      <c r="H1339" s="3">
        <v>45151.957187499997</v>
      </c>
      <c r="I1339" s="3">
        <v>45151.957361111112</v>
      </c>
      <c r="J1339" s="3">
        <v>41455.909375000003</v>
      </c>
      <c r="K1339" cm="1">
        <f t="array" ref="K1339">sentimentCalc(C1339)</f>
        <v>0</v>
      </c>
      <c r="L1339" t="str" cm="1">
        <f t="array" ref="L1339">sentimentCategory(K1339)</f>
        <v>Neutral</v>
      </c>
    </row>
    <row r="1340" spans="1:12" x14ac:dyDescent="0.25">
      <c r="A1340" t="s">
        <v>1304</v>
      </c>
      <c r="B1340" t="s">
        <v>1305</v>
      </c>
      <c r="C1340" t="str" cm="1">
        <f t="array" ref="C1340">CleanText(B1340)</f>
        <v>i cant stop laughing when you flew of the roof</v>
      </c>
      <c r="D1340">
        <v>2</v>
      </c>
      <c r="E1340">
        <v>0</v>
      </c>
      <c r="F1340" t="s">
        <v>10</v>
      </c>
      <c r="G1340" t="str" cm="1">
        <f t="array" ref="G1340">FindCountryName(F1340)</f>
        <v>None</v>
      </c>
      <c r="H1340" s="3">
        <v>45250.40042824074</v>
      </c>
      <c r="I1340" s="3">
        <v>45250.40042824074</v>
      </c>
      <c r="J1340" s="3">
        <v>44662.47420138889</v>
      </c>
      <c r="K1340" cm="1">
        <f t="array" ref="K1340">sentimentCalc(C1340)</f>
        <v>0</v>
      </c>
      <c r="L1340" t="str" cm="1">
        <f t="array" ref="L1340">sentimentCategory(K1340)</f>
        <v>Neutral</v>
      </c>
    </row>
    <row r="1341" spans="1:12" x14ac:dyDescent="0.25">
      <c r="A1341" t="s">
        <v>83</v>
      </c>
      <c r="B1341" t="s">
        <v>4321</v>
      </c>
      <c r="C1341" t="str" cm="1">
        <f t="array" ref="C1341">CleanText(B1341)</f>
        <v>i cant wait</v>
      </c>
      <c r="D1341">
        <v>0</v>
      </c>
      <c r="E1341">
        <v>6</v>
      </c>
      <c r="F1341" t="s">
        <v>10</v>
      </c>
      <c r="G1341" t="str" cm="1">
        <f t="array" ref="G1341">FindCountryName(F1341)</f>
        <v>None</v>
      </c>
      <c r="H1341" s="3">
        <v>45140.970381944448</v>
      </c>
      <c r="I1341" s="3">
        <v>45140.970381944448</v>
      </c>
      <c r="J1341" s="3">
        <v>44677.30773148148</v>
      </c>
      <c r="K1341" cm="1">
        <f t="array" ref="K1341">sentimentCalc(C1341)</f>
        <v>0</v>
      </c>
      <c r="L1341" t="str" cm="1">
        <f t="array" ref="L1341">sentimentCategory(K1341)</f>
        <v>Neutral</v>
      </c>
    </row>
    <row r="1342" spans="1:12" x14ac:dyDescent="0.25">
      <c r="A1342" t="s">
        <v>2225</v>
      </c>
      <c r="B1342" t="s">
        <v>3617</v>
      </c>
      <c r="C1342" t="str" cm="1">
        <f t="array" ref="C1342">CleanText(B1342)</f>
        <v>i cant wait for it to come out in dubai in dubai it comes out august</v>
      </c>
      <c r="D1342">
        <v>0</v>
      </c>
      <c r="E1342">
        <v>0</v>
      </c>
      <c r="F1342" t="s">
        <v>10</v>
      </c>
      <c r="G1342" t="str" cm="1">
        <f t="array" ref="G1342">FindCountryName(F1342)</f>
        <v>None</v>
      </c>
      <c r="H1342" s="3">
        <v>45147.076631944445</v>
      </c>
      <c r="I1342" s="3">
        <v>45147.076620370368</v>
      </c>
      <c r="J1342" s="3">
        <v>44879.441064814811</v>
      </c>
      <c r="K1342" cm="1">
        <f t="array" ref="K1342">sentimentCalc(C1342)</f>
        <v>0</v>
      </c>
      <c r="L1342" t="str" cm="1">
        <f t="array" ref="L1342">sentimentCategory(K1342)</f>
        <v>Neutral</v>
      </c>
    </row>
    <row r="1343" spans="1:12" x14ac:dyDescent="0.25">
      <c r="A1343" t="s">
        <v>3114</v>
      </c>
      <c r="B1343" t="s">
        <v>3115</v>
      </c>
      <c r="C1343" t="str" cm="1">
        <f t="array" ref="C1343">CleanText(B1343)</f>
        <v>i cant wait to watch this movie</v>
      </c>
      <c r="D1343">
        <v>0</v>
      </c>
      <c r="E1343">
        <v>0</v>
      </c>
      <c r="F1343" t="s">
        <v>10</v>
      </c>
      <c r="G1343" t="str" cm="1">
        <f t="array" ref="G1343">FindCountryName(F1343)</f>
        <v>None</v>
      </c>
      <c r="H1343" s="3">
        <v>45153.232476851852</v>
      </c>
      <c r="I1343" s="3">
        <v>45153.232465277775</v>
      </c>
      <c r="J1343" s="3">
        <v>38780.730231481481</v>
      </c>
      <c r="K1343" cm="1">
        <f t="array" ref="K1343">sentimentCalc(C1343)</f>
        <v>0</v>
      </c>
      <c r="L1343" t="str" cm="1">
        <f t="array" ref="L1343">sentimentCategory(K1343)</f>
        <v>Neutral</v>
      </c>
    </row>
    <row r="1344" spans="1:12" x14ac:dyDescent="0.25">
      <c r="A1344" t="s">
        <v>73</v>
      </c>
      <c r="B1344" t="s">
        <v>4149</v>
      </c>
      <c r="C1344" t="str" cm="1">
        <f t="array" ref="C1344">CleanText(B1344)</f>
        <v>i cannot wait to see it</v>
      </c>
      <c r="D1344">
        <v>2</v>
      </c>
      <c r="E1344">
        <v>0</v>
      </c>
      <c r="F1344" t="s">
        <v>10</v>
      </c>
      <c r="G1344" t="str" cm="1">
        <f t="array" ref="G1344">FindCountryName(F1344)</f>
        <v>None</v>
      </c>
      <c r="H1344" s="3">
        <v>45142.537164351852</v>
      </c>
      <c r="I1344" s="3">
        <v>45142.537164351852</v>
      </c>
      <c r="J1344" s="3">
        <v>41610.116840277777</v>
      </c>
      <c r="K1344" cm="1">
        <f t="array" ref="K1344">sentimentCalc(C1344)</f>
        <v>0</v>
      </c>
      <c r="L1344" t="str" cm="1">
        <f t="array" ref="L1344">sentimentCategory(K1344)</f>
        <v>Neutral</v>
      </c>
    </row>
    <row r="1345" spans="1:12" x14ac:dyDescent="0.25">
      <c r="A1345" t="s">
        <v>3390</v>
      </c>
      <c r="B1345" t="s">
        <v>3391</v>
      </c>
      <c r="C1345" t="str" cm="1">
        <f t="array" ref="C1345">CleanText(B1345)</f>
        <v>i cant believe i still havent seen it</v>
      </c>
      <c r="D1345">
        <v>2</v>
      </c>
      <c r="E1345">
        <v>0</v>
      </c>
      <c r="F1345" t="s">
        <v>10</v>
      </c>
      <c r="G1345" t="str" cm="1">
        <f t="array" ref="G1345">FindCountryName(F1345)</f>
        <v>None</v>
      </c>
      <c r="H1345" s="3">
        <v>45149.346921296295</v>
      </c>
      <c r="I1345" s="3">
        <v>45149.346909722219</v>
      </c>
      <c r="J1345" s="3">
        <v>43878.539895833332</v>
      </c>
      <c r="K1345" cm="1">
        <f t="array" ref="K1345">sentimentCalc(C1345)</f>
        <v>0</v>
      </c>
      <c r="L1345" t="str" cm="1">
        <f t="array" ref="L1345">sentimentCategory(K1345)</f>
        <v>Neutral</v>
      </c>
    </row>
    <row r="1346" spans="1:12" x14ac:dyDescent="0.25">
      <c r="A1346" t="s">
        <v>1261</v>
      </c>
      <c r="B1346" t="s">
        <v>1262</v>
      </c>
      <c r="C1346" t="str" cm="1">
        <f t="array" ref="C1346">CleanText(B1346)</f>
        <v>i cant believe they made a movie based of codys stupid little doll</v>
      </c>
      <c r="D1346">
        <v>2</v>
      </c>
      <c r="E1346">
        <v>0</v>
      </c>
      <c r="F1346" t="s">
        <v>10</v>
      </c>
      <c r="G1346" t="str" cm="1">
        <f t="array" ref="G1346">FindCountryName(F1346)</f>
        <v>None</v>
      </c>
      <c r="H1346" s="3">
        <v>45263.689050925925</v>
      </c>
      <c r="I1346" s="3">
        <v>45263.689050925925</v>
      </c>
      <c r="J1346" s="3">
        <v>44649.77103009259</v>
      </c>
      <c r="K1346" cm="1">
        <f t="array" ref="K1346">sentimentCalc(C1346)</f>
        <v>-2</v>
      </c>
      <c r="L1346" t="str" cm="1">
        <f t="array" ref="L1346">sentimentCategory(K1346)</f>
        <v>Negative</v>
      </c>
    </row>
    <row r="1347" spans="1:12" x14ac:dyDescent="0.25">
      <c r="A1347" t="s">
        <v>600</v>
      </c>
      <c r="B1347" t="s">
        <v>3728</v>
      </c>
      <c r="C1347" t="str" cm="1">
        <f t="array" ref="C1347">CleanText(B1347)</f>
        <v>i cant believe this movie made over   billion wheres mgan when you need her</v>
      </c>
      <c r="D1347">
        <v>0</v>
      </c>
      <c r="E1347">
        <v>0</v>
      </c>
      <c r="F1347" t="s">
        <v>10</v>
      </c>
      <c r="G1347" t="str" cm="1">
        <f t="array" ref="G1347">FindCountryName(F1347)</f>
        <v>None</v>
      </c>
      <c r="H1347" s="3">
        <v>45145.995682870373</v>
      </c>
      <c r="I1347" s="3">
        <v>45145.995682870373</v>
      </c>
      <c r="J1347" s="3">
        <v>43850.431250000001</v>
      </c>
      <c r="K1347" cm="1">
        <f t="array" ref="K1347">sentimentCalc(C1347)</f>
        <v>0</v>
      </c>
      <c r="L1347" t="str" cm="1">
        <f t="array" ref="L1347">sentimentCategory(K1347)</f>
        <v>Neutral</v>
      </c>
    </row>
    <row r="1348" spans="1:12" x14ac:dyDescent="0.25">
      <c r="A1348" t="s">
        <v>1281</v>
      </c>
      <c r="B1348" t="s">
        <v>3387</v>
      </c>
      <c r="C1348" t="str" cm="1">
        <f t="array" ref="C1348">CleanText(B1348)</f>
        <v>i cant bring myself to relate what my daughters did to their barbies</v>
      </c>
      <c r="D1348">
        <v>0</v>
      </c>
      <c r="E1348">
        <v>0</v>
      </c>
      <c r="F1348" t="s">
        <v>227</v>
      </c>
      <c r="G1348" t="str" cm="1">
        <f t="array" ref="G1348">FindCountryName(F1348)</f>
        <v>United States of America (the)</v>
      </c>
      <c r="H1348" s="3">
        <v>45149.37259259259</v>
      </c>
      <c r="I1348" s="3">
        <v>45149.372581018521</v>
      </c>
      <c r="J1348" s="3">
        <v>43723.316342592596</v>
      </c>
      <c r="K1348" cm="1">
        <f t="array" ref="K1348">sentimentCalc(C1348)</f>
        <v>0</v>
      </c>
      <c r="L1348" t="str" cm="1">
        <f t="array" ref="L1348">sentimentCategory(K1348)</f>
        <v>Neutral</v>
      </c>
    </row>
    <row r="1349" spans="1:12" x14ac:dyDescent="0.25">
      <c r="A1349" t="s">
        <v>1035</v>
      </c>
      <c r="B1349" t="s">
        <v>1749</v>
      </c>
      <c r="C1349" t="str" cm="1">
        <f t="array" ref="C1349">CleanText(B1349)</f>
        <v>i cant wait to watch barbiewithout cartoons</v>
      </c>
      <c r="D1349">
        <v>1</v>
      </c>
      <c r="E1349">
        <v>0</v>
      </c>
      <c r="F1349" t="s">
        <v>10</v>
      </c>
      <c r="G1349" t="str" cm="1">
        <f t="array" ref="G1349">FindCountryName(F1349)</f>
        <v>None</v>
      </c>
      <c r="H1349" s="3">
        <v>45197.230486111112</v>
      </c>
      <c r="I1349" s="3">
        <v>45197.230486111112</v>
      </c>
      <c r="J1349" s="3">
        <v>42915.237673611111</v>
      </c>
      <c r="K1349" cm="1">
        <f t="array" ref="K1349">sentimentCalc(C1349)</f>
        <v>0</v>
      </c>
      <c r="L1349" t="str" cm="1">
        <f t="array" ref="L1349">sentimentCategory(K1349)</f>
        <v>Neutral</v>
      </c>
    </row>
    <row r="1350" spans="1:12" x14ac:dyDescent="0.25">
      <c r="A1350" t="s">
        <v>2713</v>
      </c>
      <c r="B1350" t="s">
        <v>3345</v>
      </c>
      <c r="C1350" t="str" cm="1">
        <f t="array" ref="C1350">CleanText(B1350)</f>
        <v>i could imagine harry styles in this</v>
      </c>
      <c r="D1350">
        <v>0</v>
      </c>
      <c r="E1350">
        <v>0</v>
      </c>
      <c r="F1350" t="s">
        <v>10</v>
      </c>
      <c r="G1350" t="str" cm="1">
        <f t="array" ref="G1350">FindCountryName(F1350)</f>
        <v>None</v>
      </c>
      <c r="H1350" s="3">
        <v>45149.908958333333</v>
      </c>
      <c r="I1350" s="3">
        <v>45149.908958333333</v>
      </c>
      <c r="J1350" s="3">
        <v>44651.686979166669</v>
      </c>
      <c r="K1350" cm="1">
        <f t="array" ref="K1350">sentimentCalc(C1350)</f>
        <v>0</v>
      </c>
      <c r="L1350" t="str" cm="1">
        <f t="array" ref="L1350">sentimentCategory(K1350)</f>
        <v>Neutral</v>
      </c>
    </row>
    <row r="1351" spans="1:12" x14ac:dyDescent="0.25">
      <c r="A1351" t="s">
        <v>2496</v>
      </c>
      <c r="B1351" t="s">
        <v>2497</v>
      </c>
      <c r="C1351" t="str" cm="1">
        <f t="array" ref="C1351">CleanText(B1351)</f>
        <v>i couldnt imagine having to sit through this movie</v>
      </c>
      <c r="D1351">
        <v>0</v>
      </c>
      <c r="E1351">
        <v>0</v>
      </c>
      <c r="F1351" t="s">
        <v>10</v>
      </c>
      <c r="G1351" t="str" cm="1">
        <f t="array" ref="G1351">FindCountryName(F1351)</f>
        <v>None</v>
      </c>
      <c r="H1351" s="3">
        <v>45164.980219907404</v>
      </c>
      <c r="I1351" s="3">
        <v>45164.980208333334</v>
      </c>
      <c r="J1351" s="3">
        <v>43819.033009259256</v>
      </c>
      <c r="K1351" cm="1">
        <f t="array" ref="K1351">sentimentCalc(C1351)</f>
        <v>0</v>
      </c>
      <c r="L1351" t="str" cm="1">
        <f t="array" ref="L1351">sentimentCategory(K1351)</f>
        <v>Neutral</v>
      </c>
    </row>
    <row r="1352" spans="1:12" x14ac:dyDescent="0.25">
      <c r="A1352" t="s">
        <v>555</v>
      </c>
      <c r="B1352" t="s">
        <v>1067</v>
      </c>
      <c r="C1352" t="str" cm="1">
        <f t="array" ref="C1352">CleanText(B1352)</f>
        <v>i cried my heart out when i watched this movie its truly amazing</v>
      </c>
      <c r="D1352">
        <v>4</v>
      </c>
      <c r="E1352">
        <v>0</v>
      </c>
      <c r="F1352" t="s">
        <v>1068</v>
      </c>
      <c r="G1352" t="str" cm="1">
        <f t="array" ref="G1352">FindCountryName(F1352)</f>
        <v>Switzerland</v>
      </c>
      <c r="H1352" s="3">
        <v>45294.771377314813</v>
      </c>
      <c r="I1352" s="3">
        <v>45294.771377314813</v>
      </c>
      <c r="J1352" s="3">
        <v>44343.636666666665</v>
      </c>
      <c r="K1352" cm="1">
        <f t="array" ref="K1352">sentimentCalc(C1352)</f>
        <v>2</v>
      </c>
      <c r="L1352" t="str" cm="1">
        <f t="array" ref="L1352">sentimentCategory(K1352)</f>
        <v>Positive</v>
      </c>
    </row>
    <row r="1353" spans="1:12" x14ac:dyDescent="0.25">
      <c r="A1353" t="s">
        <v>1076</v>
      </c>
      <c r="B1353" t="s">
        <v>4475</v>
      </c>
      <c r="C1353" t="str" cm="1">
        <f t="array" ref="C1353">CleanText(B1353)</f>
        <v>i decided to watch this and oppenheimer after  years because id like to forget what people have spoiling to me about them</v>
      </c>
      <c r="D1353">
        <v>0</v>
      </c>
      <c r="E1353">
        <v>1</v>
      </c>
      <c r="F1353" t="s">
        <v>10</v>
      </c>
      <c r="G1353" t="str" cm="1">
        <f t="array" ref="G1353">FindCountryName(F1353)</f>
        <v>None</v>
      </c>
      <c r="H1353" s="3">
        <v>45140.032337962963</v>
      </c>
      <c r="I1353" s="3">
        <v>45140.032337962963</v>
      </c>
      <c r="J1353" s="3">
        <v>45125.518946759257</v>
      </c>
      <c r="K1353" cm="1">
        <f t="array" ref="K1353">sentimentCalc(C1353)</f>
        <v>1</v>
      </c>
      <c r="L1353" t="str" cm="1">
        <f t="array" ref="L1353">sentimentCategory(K1353)</f>
        <v>Positive</v>
      </c>
    </row>
    <row r="1354" spans="1:12" x14ac:dyDescent="0.25">
      <c r="A1354" t="s">
        <v>534</v>
      </c>
      <c r="B1354" t="s">
        <v>2587</v>
      </c>
      <c r="C1354" t="str" cm="1">
        <f t="array" ref="C1354">CleanText(B1354)</f>
        <v>i did not like the movie</v>
      </c>
      <c r="D1354">
        <v>2</v>
      </c>
      <c r="E1354">
        <v>0</v>
      </c>
      <c r="F1354" t="s">
        <v>10</v>
      </c>
      <c r="G1354" t="str" cm="1">
        <f t="array" ref="G1354">FindCountryName(F1354)</f>
        <v>None</v>
      </c>
      <c r="H1354" s="3">
        <v>45162.479953703703</v>
      </c>
      <c r="I1354" s="3">
        <v>45162.479953703703</v>
      </c>
      <c r="J1354" s="3">
        <v>40927.161643518521</v>
      </c>
      <c r="K1354" cm="1">
        <f t="array" ref="K1354">sentimentCalc(C1354)</f>
        <v>2</v>
      </c>
      <c r="L1354" t="str" cm="1">
        <f t="array" ref="L1354">sentimentCategory(K1354)</f>
        <v>Positive</v>
      </c>
    </row>
    <row r="1355" spans="1:12" x14ac:dyDescent="0.25">
      <c r="A1355" t="s">
        <v>571</v>
      </c>
      <c r="B1355" t="s">
        <v>1037</v>
      </c>
      <c r="C1355" t="str" cm="1">
        <f t="array" ref="C1355">CleanText(B1355)</f>
        <v>i didnt expect this movie to turnout this good as it was a childhood memory however barbie not only delivered a life lesson but took a different angle to showcase that a simple concept could be scripted so brilliantly</v>
      </c>
      <c r="D1355">
        <v>44</v>
      </c>
      <c r="E1355">
        <v>0</v>
      </c>
      <c r="F1355" t="s">
        <v>10</v>
      </c>
      <c r="G1355" t="str" cm="1">
        <f t="array" ref="G1355">FindCountryName(F1355)</f>
        <v>None</v>
      </c>
      <c r="H1355" s="3">
        <v>45298.830497685187</v>
      </c>
      <c r="I1355" s="3">
        <v>45298.831041666665</v>
      </c>
      <c r="J1355" s="3">
        <v>44394.841041666667</v>
      </c>
      <c r="K1355" cm="1">
        <f t="array" ref="K1355">sentimentCalc(C1355)</f>
        <v>3</v>
      </c>
      <c r="L1355" t="str" cm="1">
        <f t="array" ref="L1355">sentimentCategory(K1355)</f>
        <v>Positive</v>
      </c>
    </row>
    <row r="1356" spans="1:12" x14ac:dyDescent="0.25">
      <c r="A1356" t="s">
        <v>692</v>
      </c>
      <c r="B1356" t="s">
        <v>1311</v>
      </c>
      <c r="C1356" t="str" cm="1">
        <f t="array" ref="C1356">CleanText(B1356)</f>
        <v>i didnt know warner bros made pg films or r films or even nc films</v>
      </c>
      <c r="D1356">
        <v>0</v>
      </c>
      <c r="E1356">
        <v>1</v>
      </c>
      <c r="F1356" t="s">
        <v>10</v>
      </c>
      <c r="G1356" t="str" cm="1">
        <f t="array" ref="G1356">FindCountryName(F1356)</f>
        <v>None</v>
      </c>
      <c r="H1356" s="3">
        <v>45248.900011574071</v>
      </c>
      <c r="I1356" s="3">
        <v>45248.900011574071</v>
      </c>
      <c r="J1356" s="3">
        <v>44770.607210648152</v>
      </c>
      <c r="K1356" cm="1">
        <f t="array" ref="K1356">sentimentCalc(C1356)</f>
        <v>0</v>
      </c>
      <c r="L1356" t="str" cm="1">
        <f t="array" ref="L1356">sentimentCategory(K1356)</f>
        <v>Neutral</v>
      </c>
    </row>
    <row r="1357" spans="1:12" x14ac:dyDescent="0.25">
      <c r="A1357" t="s">
        <v>1792</v>
      </c>
      <c r="B1357" t="s">
        <v>1793</v>
      </c>
      <c r="C1357" t="str" cm="1">
        <f t="array" ref="C1357">CleanText(B1357)</f>
        <v>i didnt know what to expect but this movie is hilarious smart  witty  thumbs up</v>
      </c>
      <c r="D1357">
        <v>15</v>
      </c>
      <c r="E1357">
        <v>0</v>
      </c>
      <c r="F1357" t="s">
        <v>10</v>
      </c>
      <c r="G1357" t="str" cm="1">
        <f t="array" ref="G1357">FindCountryName(F1357)</f>
        <v>None</v>
      </c>
      <c r="H1357" s="3">
        <v>45194.43644675926</v>
      </c>
      <c r="I1357" s="3">
        <v>45194.43644675926</v>
      </c>
      <c r="J1357" s="3">
        <v>41636.486342592594</v>
      </c>
      <c r="K1357" cm="1">
        <f t="array" ref="K1357">sentimentCalc(C1357)</f>
        <v>3</v>
      </c>
      <c r="L1357" t="str" cm="1">
        <f t="array" ref="L1357">sentimentCategory(K1357)</f>
        <v>Positive</v>
      </c>
    </row>
    <row r="1358" spans="1:12" x14ac:dyDescent="0.25">
      <c r="A1358" t="s">
        <v>921</v>
      </c>
      <c r="B1358" t="s">
        <v>4113</v>
      </c>
      <c r="C1358" t="str" cm="1">
        <f t="array" ref="C1358">CleanText(B1358)</f>
        <v>i didnt like the movie at all</v>
      </c>
      <c r="D1358">
        <v>2</v>
      </c>
      <c r="E1358">
        <v>0</v>
      </c>
      <c r="F1358" t="s">
        <v>3611</v>
      </c>
      <c r="G1358" t="str" cm="1">
        <f t="array" ref="G1358">FindCountryName(F1358)</f>
        <v>Jordan</v>
      </c>
      <c r="H1358" s="3">
        <v>45142.782696759263</v>
      </c>
      <c r="I1358" s="3">
        <v>45142.782696759263</v>
      </c>
      <c r="J1358" s="3">
        <v>42223.327141203707</v>
      </c>
      <c r="K1358" cm="1">
        <f t="array" ref="K1358">sentimentCalc(C1358)</f>
        <v>2</v>
      </c>
      <c r="L1358" t="str" cm="1">
        <f t="array" ref="L1358">sentimentCategory(K1358)</f>
        <v>Positive</v>
      </c>
    </row>
    <row r="1359" spans="1:12" x14ac:dyDescent="0.25">
      <c r="A1359" t="s">
        <v>322</v>
      </c>
      <c r="B1359" t="s">
        <v>1162</v>
      </c>
      <c r="C1359" t="str" cm="1">
        <f t="array" ref="C1359">CleanText(B1359)</f>
        <v>i didnt like the movie to be honest  there is really no story except a good visual i was too excited to watch it but almost felt asleep</v>
      </c>
      <c r="D1359">
        <v>0</v>
      </c>
      <c r="E1359">
        <v>1</v>
      </c>
      <c r="F1359" t="s">
        <v>10</v>
      </c>
      <c r="G1359" t="str" cm="1">
        <f t="array" ref="G1359">FindCountryName(F1359)</f>
        <v>None</v>
      </c>
      <c r="H1359" s="3">
        <v>45281.583796296298</v>
      </c>
      <c r="I1359" s="3">
        <v>45281.584050925929</v>
      </c>
      <c r="J1359" s="3">
        <v>39536.168368055558</v>
      </c>
      <c r="K1359" cm="1">
        <f t="array" ref="K1359">sentimentCalc(C1359)</f>
        <v>9</v>
      </c>
      <c r="L1359" t="str" cm="1">
        <f t="array" ref="L1359">sentimentCategory(K1359)</f>
        <v>Positive</v>
      </c>
    </row>
    <row r="1360" spans="1:12" x14ac:dyDescent="0.25">
      <c r="A1360" t="s">
        <v>678</v>
      </c>
      <c r="B1360" t="s">
        <v>4290</v>
      </c>
      <c r="C1360" t="str" cm="1">
        <f t="array" ref="C1360">CleanText(B1360)</f>
        <v>i didnt expect to go see a barbie movie and cry as hard as i did at the final scene this masterpiece of a movie made me think to myself oh i love being a woman</v>
      </c>
      <c r="D1360">
        <v>87</v>
      </c>
      <c r="E1360">
        <v>22</v>
      </c>
      <c r="F1360" t="s">
        <v>4291</v>
      </c>
      <c r="G1360" t="str" cm="1">
        <f t="array" ref="G1360">FindCountryName(F1360)</f>
        <v>Sri Lanka</v>
      </c>
      <c r="H1360" s="3">
        <v>45141.191724537035</v>
      </c>
      <c r="I1360" s="3">
        <v>45141.191724537035</v>
      </c>
      <c r="J1360" s="3">
        <v>43708.609930555554</v>
      </c>
      <c r="K1360" cm="1">
        <f t="array" ref="K1360">sentimentCalc(C1360)</f>
        <v>5</v>
      </c>
      <c r="L1360" t="str" cm="1">
        <f t="array" ref="L1360">sentimentCategory(K1360)</f>
        <v>Positive</v>
      </c>
    </row>
    <row r="1361" spans="1:12" x14ac:dyDescent="0.25">
      <c r="A1361" t="s">
        <v>1100</v>
      </c>
      <c r="B1361" t="s">
        <v>3277</v>
      </c>
      <c r="C1361" t="str" cm="1">
        <f t="array" ref="C1361">CleanText(B1361)</f>
        <v>i didnt like the message that women should be more powerful than men bcuz i dont believe that anyone should have power over anyone me and my girlfriend work together and do everything equally but that wasnt the message in the movie</v>
      </c>
      <c r="D1361">
        <v>6</v>
      </c>
      <c r="E1361">
        <v>2</v>
      </c>
      <c r="F1361" t="s">
        <v>10</v>
      </c>
      <c r="G1361" t="str" cm="1">
        <f t="array" ref="G1361">FindCountryName(F1361)</f>
        <v>None</v>
      </c>
      <c r="H1361" s="3">
        <v>45150.885335648149</v>
      </c>
      <c r="I1361" s="3">
        <v>45150.885335648149</v>
      </c>
      <c r="J1361" s="3">
        <v>40122.308831018519</v>
      </c>
      <c r="K1361" cm="1">
        <f t="array" ref="K1361">sentimentCalc(C1361)</f>
        <v>4</v>
      </c>
      <c r="L1361" t="str" cm="1">
        <f t="array" ref="L1361">sentimentCategory(K1361)</f>
        <v>Positive</v>
      </c>
    </row>
    <row r="1362" spans="1:12" x14ac:dyDescent="0.25">
      <c r="A1362" t="s">
        <v>600</v>
      </c>
      <c r="B1362" t="s">
        <v>766</v>
      </c>
      <c r="C1362" t="str" cm="1">
        <f t="array" ref="C1362">CleanText(B1362)</f>
        <v>i didnt like this as much as i thiught i would no kristieor teresa or her sisters too much feminst  anti men it was good but mot great</v>
      </c>
      <c r="D1362">
        <v>0</v>
      </c>
      <c r="E1362">
        <v>4</v>
      </c>
      <c r="F1362" t="s">
        <v>10</v>
      </c>
      <c r="G1362" t="str" cm="1">
        <f t="array" ref="G1362">FindCountryName(F1362)</f>
        <v>None</v>
      </c>
      <c r="H1362" s="3">
        <v>45309.032881944448</v>
      </c>
      <c r="I1362" s="3">
        <v>45309.032881944448</v>
      </c>
      <c r="J1362" s="3">
        <v>44552.782627314817</v>
      </c>
      <c r="K1362" cm="1">
        <f t="array" ref="K1362">sentimentCalc(C1362)</f>
        <v>6</v>
      </c>
      <c r="L1362" t="str" cm="1">
        <f t="array" ref="L1362">sentimentCategory(K1362)</f>
        <v>Positive</v>
      </c>
    </row>
    <row r="1363" spans="1:12" x14ac:dyDescent="0.25">
      <c r="A1363" t="s">
        <v>70</v>
      </c>
      <c r="B1363" t="s">
        <v>72</v>
      </c>
      <c r="C1363" t="str" cm="1">
        <f t="array" ref="C1363">CleanText(B1363)</f>
        <v>i didnt watch the movie yetbut im thinking that my barbies collection with all the real clothes and accessories from  might be worth a little  i would sell them  oh yeah</v>
      </c>
      <c r="D1363">
        <v>0</v>
      </c>
      <c r="E1363">
        <v>0</v>
      </c>
      <c r="F1363" t="s">
        <v>10</v>
      </c>
      <c r="G1363" t="str" cm="1">
        <f t="array" ref="G1363">FindCountryName(F1363)</f>
        <v>None</v>
      </c>
      <c r="H1363" s="3">
        <v>45342.041122685187</v>
      </c>
      <c r="I1363" s="3">
        <v>45342.044247685182</v>
      </c>
      <c r="J1363" s="3">
        <v>42130.619814814818</v>
      </c>
      <c r="K1363" cm="1">
        <f t="array" ref="K1363">sentimentCalc(C1363)</f>
        <v>3</v>
      </c>
      <c r="L1363" t="str" cm="1">
        <f t="array" ref="L1363">sentimentCategory(K1363)</f>
        <v>Positive</v>
      </c>
    </row>
    <row r="1364" spans="1:12" x14ac:dyDescent="0.25">
      <c r="A1364" t="s">
        <v>848</v>
      </c>
      <c r="B1364" t="s">
        <v>3309</v>
      </c>
      <c r="C1364" t="str" cm="1">
        <f t="array" ref="C1364">CleanText(B1364)</f>
        <v>i dint wach barbe for  bays</v>
      </c>
      <c r="D1364">
        <v>1</v>
      </c>
      <c r="E1364">
        <v>0</v>
      </c>
      <c r="F1364" t="s">
        <v>10</v>
      </c>
      <c r="G1364" t="str" cm="1">
        <f t="array" ref="G1364">FindCountryName(F1364)</f>
        <v>None</v>
      </c>
      <c r="H1364" s="3">
        <v>45150.466215277775</v>
      </c>
      <c r="I1364" s="3">
        <v>45150.466203703705</v>
      </c>
      <c r="J1364" s="3">
        <v>44444.778310185182</v>
      </c>
      <c r="K1364" cm="1">
        <f t="array" ref="K1364">sentimentCalc(C1364)</f>
        <v>0</v>
      </c>
      <c r="L1364" t="str" cm="1">
        <f t="array" ref="L1364">sentimentCategory(K1364)</f>
        <v>Neutral</v>
      </c>
    </row>
    <row r="1365" spans="1:12" x14ac:dyDescent="0.25">
      <c r="A1365" t="s">
        <v>3358</v>
      </c>
      <c r="B1365" t="s">
        <v>3359</v>
      </c>
      <c r="C1365" t="str" cm="1">
        <f t="array" ref="C1365">CleanText(B1365)</f>
        <v>i do not believe how could i contribute to barbie s sky rocketing revenue there should be refunds for very stupid movies like this</v>
      </c>
      <c r="D1365">
        <v>4</v>
      </c>
      <c r="E1365">
        <v>0</v>
      </c>
      <c r="F1365" t="s">
        <v>10</v>
      </c>
      <c r="G1365" t="str" cm="1">
        <f t="array" ref="G1365">FindCountryName(F1365)</f>
        <v>None</v>
      </c>
      <c r="H1365" s="3">
        <v>45149.675474537034</v>
      </c>
      <c r="I1365" s="3">
        <v>45149.675474537034</v>
      </c>
      <c r="J1365" s="3">
        <v>40323.35565972222</v>
      </c>
      <c r="K1365" cm="1">
        <f t="array" ref="K1365">sentimentCalc(C1365)</f>
        <v>0</v>
      </c>
      <c r="L1365" t="str" cm="1">
        <f t="array" ref="L1365">sentimentCategory(K1365)</f>
        <v>Neutral</v>
      </c>
    </row>
    <row r="1366" spans="1:12" x14ac:dyDescent="0.25">
      <c r="A1366" t="s">
        <v>3330</v>
      </c>
      <c r="B1366" t="s">
        <v>3331</v>
      </c>
      <c r="C1366" t="str" cm="1">
        <f t="array" ref="C1366">CleanText(B1366)</f>
        <v>i do not know where these positive comments came from maybe they are fanatical feminists and psychopaths or they were paid like a huge promotional campaign before watching the film i had expectations on it and after watching it my expectations were shattered and i did not get any effect the promotional campaign is  the performance of the actors  the story of the film and the goals of the film  i do not recommend it</v>
      </c>
      <c r="D1366">
        <v>3</v>
      </c>
      <c r="E1366">
        <v>0</v>
      </c>
      <c r="F1366" t="s">
        <v>10</v>
      </c>
      <c r="G1366" t="str" cm="1">
        <f t="array" ref="G1366">FindCountryName(F1366)</f>
        <v>None</v>
      </c>
      <c r="H1366" s="3">
        <v>45150.240532407406</v>
      </c>
      <c r="I1366" s="3">
        <v>45150.240520833337</v>
      </c>
      <c r="J1366" s="3">
        <v>41242.722662037035</v>
      </c>
      <c r="K1366" cm="1">
        <f t="array" ref="K1366">sentimentCalc(C1366)</f>
        <v>5</v>
      </c>
      <c r="L1366" t="str" cm="1">
        <f t="array" ref="L1366">sentimentCategory(K1366)</f>
        <v>Positive</v>
      </c>
    </row>
    <row r="1367" spans="1:12" x14ac:dyDescent="0.25">
      <c r="A1367" t="s">
        <v>145</v>
      </c>
      <c r="B1367" t="s">
        <v>3605</v>
      </c>
      <c r="C1367" t="str" cm="1">
        <f t="array" ref="C1367">CleanText(B1367)</f>
        <v>i don no you are a barbie video player</v>
      </c>
      <c r="D1367">
        <v>0</v>
      </c>
      <c r="E1367">
        <v>0</v>
      </c>
      <c r="F1367" t="s">
        <v>10</v>
      </c>
      <c r="G1367" t="str" cm="1">
        <f t="array" ref="G1367">FindCountryName(F1367)</f>
        <v>None</v>
      </c>
      <c r="H1367" s="3">
        <v>45147.212372685186</v>
      </c>
      <c r="I1367" s="3">
        <v>45147.212372685186</v>
      </c>
      <c r="J1367" s="3">
        <v>44986.350277777776</v>
      </c>
      <c r="K1367" cm="1">
        <f t="array" ref="K1367">sentimentCalc(C1367)</f>
        <v>-1</v>
      </c>
      <c r="L1367" t="str" cm="1">
        <f t="array" ref="L1367">sentimentCategory(K1367)</f>
        <v>Negative</v>
      </c>
    </row>
    <row r="1368" spans="1:12" x14ac:dyDescent="0.25">
      <c r="A1368" t="s">
        <v>532</v>
      </c>
      <c r="B1368" t="s">
        <v>1045</v>
      </c>
      <c r="C1368" t="str" cm="1">
        <f t="array" ref="C1368">CleanText(B1368)</f>
        <v>i dont like this movie yes this movie is funny at scenes such as     and maybe some others but the scene at  gives a very negative and pessimistic outlook i expected a movie full of vibrance happiness contentment and cheerfulness but in my opinion if this movie spreads a negative message and wouldnt even make sense for children why even make one i wouldnt watch it again and it was my least favourite movie of  glad i at least watched spiderman across the spiderverse</v>
      </c>
      <c r="D1368">
        <v>1</v>
      </c>
      <c r="E1368">
        <v>0</v>
      </c>
      <c r="F1368" t="s">
        <v>845</v>
      </c>
      <c r="G1368" t="str" cm="1">
        <f t="array" ref="G1368">FindCountryName(F1368)</f>
        <v>Australia</v>
      </c>
      <c r="H1368" s="3">
        <v>45298.108877314815</v>
      </c>
      <c r="I1368" s="3">
        <v>45298.108877314815</v>
      </c>
      <c r="J1368" s="3">
        <v>43146.977696759262</v>
      </c>
      <c r="K1368" cm="1">
        <f t="array" ref="K1368">sentimentCalc(C1368)</f>
        <v>7</v>
      </c>
      <c r="L1368" t="str" cm="1">
        <f t="array" ref="L1368">sentimentCategory(K1368)</f>
        <v>Positive</v>
      </c>
    </row>
    <row r="1369" spans="1:12" x14ac:dyDescent="0.25">
      <c r="A1369" t="s">
        <v>141</v>
      </c>
      <c r="B1369" t="s">
        <v>3746</v>
      </c>
      <c r="C1369" t="str" cm="1">
        <f t="array" ref="C1369">CleanText(B1369)</f>
        <v>i dont see no asian representation here</v>
      </c>
      <c r="D1369">
        <v>0</v>
      </c>
      <c r="E1369">
        <v>6</v>
      </c>
      <c r="F1369" t="s">
        <v>10</v>
      </c>
      <c r="G1369" t="str" cm="1">
        <f t="array" ref="G1369">FindCountryName(F1369)</f>
        <v>None</v>
      </c>
      <c r="H1369" s="3">
        <v>45145.764999999999</v>
      </c>
      <c r="I1369" s="3">
        <v>45145.764999999999</v>
      </c>
      <c r="J1369" s="3">
        <v>39224.936388888891</v>
      </c>
      <c r="K1369" cm="1">
        <f t="array" ref="K1369">sentimentCalc(C1369)</f>
        <v>-1</v>
      </c>
      <c r="L1369" t="str" cm="1">
        <f t="array" ref="L1369">sentimentCategory(K1369)</f>
        <v>Negative</v>
      </c>
    </row>
    <row r="1370" spans="1:12" x14ac:dyDescent="0.25">
      <c r="A1370" t="s">
        <v>3185</v>
      </c>
      <c r="B1370" t="s">
        <v>3186</v>
      </c>
      <c r="C1370" t="str" cm="1">
        <f t="array" ref="C1370">CleanText(B1370)</f>
        <v>i dont even know how many times i watched this trailer</v>
      </c>
      <c r="D1370">
        <v>4</v>
      </c>
      <c r="E1370">
        <v>1</v>
      </c>
      <c r="F1370" t="s">
        <v>10</v>
      </c>
      <c r="G1370" t="str" cm="1">
        <f t="array" ref="G1370">FindCountryName(F1370)</f>
        <v>None</v>
      </c>
      <c r="H1370" s="3">
        <v>45152.154861111114</v>
      </c>
      <c r="I1370" s="3">
        <v>45152.154861111114</v>
      </c>
      <c r="J1370" s="3">
        <v>44388.348692129628</v>
      </c>
      <c r="K1370" cm="1">
        <f t="array" ref="K1370">sentimentCalc(C1370)</f>
        <v>0</v>
      </c>
      <c r="L1370" t="str" cm="1">
        <f t="array" ref="L1370">sentimentCategory(K1370)</f>
        <v>Neutral</v>
      </c>
    </row>
    <row r="1371" spans="1:12" x14ac:dyDescent="0.25">
      <c r="A1371" t="s">
        <v>122</v>
      </c>
      <c r="B1371" t="s">
        <v>2646</v>
      </c>
      <c r="C1371" t="str" cm="1">
        <f t="array" ref="C1371">CleanText(B1371)</f>
        <v>i dont get the appeal my  year old niece loves barbies but does not want to see the movie said if she cant direct it its not a movie</v>
      </c>
      <c r="D1371">
        <v>0</v>
      </c>
      <c r="E1371">
        <v>0</v>
      </c>
      <c r="F1371" t="s">
        <v>10</v>
      </c>
      <c r="G1371" t="str" cm="1">
        <f t="array" ref="G1371">FindCountryName(F1371)</f>
        <v>None</v>
      </c>
      <c r="H1371" s="3">
        <v>45160.773055555554</v>
      </c>
      <c r="I1371" s="3">
        <v>45160.773055555554</v>
      </c>
      <c r="J1371" s="3">
        <v>41536.444791666669</v>
      </c>
      <c r="K1371" cm="1">
        <f t="array" ref="K1371">sentimentCalc(C1371)</f>
        <v>1</v>
      </c>
      <c r="L1371" t="str" cm="1">
        <f t="array" ref="L1371">sentimentCategory(K1371)</f>
        <v>Positive</v>
      </c>
    </row>
    <row r="1372" spans="1:12" x14ac:dyDescent="0.25">
      <c r="A1372" t="s">
        <v>633</v>
      </c>
      <c r="B1372" t="s">
        <v>2998</v>
      </c>
      <c r="C1372" t="str" cm="1">
        <f t="array" ref="C1372">CleanText(B1372)</f>
        <v>i dont get the hype</v>
      </c>
      <c r="D1372">
        <v>0</v>
      </c>
      <c r="E1372">
        <v>0</v>
      </c>
      <c r="F1372" t="s">
        <v>227</v>
      </c>
      <c r="G1372" t="str" cm="1">
        <f t="array" ref="G1372">FindCountryName(F1372)</f>
        <v>United States of America (the)</v>
      </c>
      <c r="H1372" s="3">
        <v>45154.643229166664</v>
      </c>
      <c r="I1372" s="3">
        <v>45154.643229166664</v>
      </c>
      <c r="J1372" s="3">
        <v>40816.438888888886</v>
      </c>
      <c r="K1372" cm="1">
        <f t="array" ref="K1372">sentimentCalc(C1372)</f>
        <v>0</v>
      </c>
      <c r="L1372" t="str" cm="1">
        <f t="array" ref="L1372">sentimentCategory(K1372)</f>
        <v>Neutral</v>
      </c>
    </row>
    <row r="1373" spans="1:12" x14ac:dyDescent="0.25">
      <c r="A1373" t="s">
        <v>3875</v>
      </c>
      <c r="B1373" t="s">
        <v>3876</v>
      </c>
      <c r="C1373" t="str" cm="1">
        <f t="array" ref="C1373">CleanText(B1373)</f>
        <v>i dont get the hype movie is boring as fkk</v>
      </c>
      <c r="D1373">
        <v>2</v>
      </c>
      <c r="E1373">
        <v>1</v>
      </c>
      <c r="F1373" t="s">
        <v>10</v>
      </c>
      <c r="G1373" t="str" cm="1">
        <f t="array" ref="G1373">FindCountryName(F1373)</f>
        <v>None</v>
      </c>
      <c r="H1373" s="3">
        <v>45144.784849537034</v>
      </c>
      <c r="I1373" s="3">
        <v>45144.784849537034</v>
      </c>
      <c r="J1373" s="3">
        <v>43800.551736111112</v>
      </c>
      <c r="K1373" cm="1">
        <f t="array" ref="K1373">sentimentCalc(C1373)</f>
        <v>-3</v>
      </c>
      <c r="L1373" t="str" cm="1">
        <f t="array" ref="L1373">sentimentCategory(K1373)</f>
        <v>Negative</v>
      </c>
    </row>
    <row r="1374" spans="1:12" x14ac:dyDescent="0.25">
      <c r="A1374" t="s">
        <v>3588</v>
      </c>
      <c r="B1374" t="s">
        <v>3589</v>
      </c>
      <c r="C1374" t="str" cm="1">
        <f t="array" ref="C1374">CleanText(B1374)</f>
        <v>i dont hate barbie but i love oppenheimer more</v>
      </c>
      <c r="D1374">
        <v>0</v>
      </c>
      <c r="E1374">
        <v>0</v>
      </c>
      <c r="F1374" t="s">
        <v>1073</v>
      </c>
      <c r="G1374" t="str" cm="1">
        <f t="array" ref="G1374">FindCountryName(F1374)</f>
        <v>India</v>
      </c>
      <c r="H1374" s="3">
        <v>45147.3515162037</v>
      </c>
      <c r="I1374" s="3">
        <v>45147.3515162037</v>
      </c>
      <c r="J1374" s="3">
        <v>44419.407430555555</v>
      </c>
      <c r="K1374" cm="1">
        <f t="array" ref="K1374">sentimentCalc(C1374)</f>
        <v>0</v>
      </c>
      <c r="L1374" t="str" cm="1">
        <f t="array" ref="L1374">sentimentCategory(K1374)</f>
        <v>Neutral</v>
      </c>
    </row>
    <row r="1375" spans="1:12" x14ac:dyDescent="0.25">
      <c r="A1375" t="s">
        <v>505</v>
      </c>
      <c r="B1375" t="s">
        <v>4084</v>
      </c>
      <c r="C1375" t="str" cm="1">
        <f t="array" ref="C1375">CleanText(B1375)</f>
        <v>i dont hate it but i find it cringy</v>
      </c>
      <c r="D1375">
        <v>0</v>
      </c>
      <c r="E1375">
        <v>0</v>
      </c>
      <c r="F1375" t="s">
        <v>10</v>
      </c>
      <c r="G1375" t="str" cm="1">
        <f t="array" ref="G1375">FindCountryName(F1375)</f>
        <v>None</v>
      </c>
      <c r="H1375" s="3">
        <v>45143.028506944444</v>
      </c>
      <c r="I1375" s="3">
        <v>45143.028506944444</v>
      </c>
      <c r="J1375" s="3">
        <v>43559.151689814818</v>
      </c>
      <c r="K1375" cm="1">
        <f t="array" ref="K1375">sentimentCalc(C1375)</f>
        <v>-3</v>
      </c>
      <c r="L1375" t="str" cm="1">
        <f t="array" ref="L1375">sentimentCategory(K1375)</f>
        <v>Negative</v>
      </c>
    </row>
    <row r="1376" spans="1:12" x14ac:dyDescent="0.25">
      <c r="A1376" t="s">
        <v>1659</v>
      </c>
      <c r="B1376" t="s">
        <v>2344</v>
      </c>
      <c r="C1376" t="str" cm="1">
        <f t="array" ref="C1376">CleanText(B1376)</f>
        <v>i dont know existence of this moviei just type it because after barbie girl song went viral and i found out i always busy with studies and praying all times even when travelling and still do the same thing</v>
      </c>
      <c r="D1376">
        <v>0</v>
      </c>
      <c r="E1376">
        <v>0</v>
      </c>
      <c r="F1376" t="s">
        <v>10</v>
      </c>
      <c r="G1376" t="str" cm="1">
        <f t="array" ref="G1376">FindCountryName(F1376)</f>
        <v>None</v>
      </c>
      <c r="H1376" s="3">
        <v>45171.504490740743</v>
      </c>
      <c r="I1376" s="3">
        <v>45171.504490740743</v>
      </c>
      <c r="J1376" s="3">
        <v>43118.427731481483</v>
      </c>
      <c r="K1376" cm="1">
        <f t="array" ref="K1376">sentimentCalc(C1376)</f>
        <v>1</v>
      </c>
      <c r="L1376" t="str" cm="1">
        <f t="array" ref="L1376">sentimentCategory(K1376)</f>
        <v>Positive</v>
      </c>
    </row>
    <row r="1377" spans="1:12" x14ac:dyDescent="0.25">
      <c r="A1377" t="s">
        <v>1168</v>
      </c>
      <c r="B1377" t="s">
        <v>1169</v>
      </c>
      <c r="C1377" t="str" cm="1">
        <f t="array" ref="C1377">CleanText(B1377)</f>
        <v>i dont know what they were thinking making this movie but it seems to me like a futuristic mix of other old movies beach blanket bingo grease and la la land combined i couldnt wait for it to end so i fast forwarded to the end and its not the actors fault nobody would have been better for their roles and really appreciate them trying cause i had a ken doll in a house coat when i was about  years old in the s anyway i hope the kids enjoy it sadly it was not my cup of tea eh</v>
      </c>
      <c r="D1377">
        <v>0</v>
      </c>
      <c r="E1377">
        <v>0</v>
      </c>
      <c r="F1377" t="s">
        <v>10</v>
      </c>
      <c r="G1377" t="str" cm="1">
        <f t="array" ref="G1377">FindCountryName(F1377)</f>
        <v>None</v>
      </c>
      <c r="H1377" s="3">
        <v>45281.322847222225</v>
      </c>
      <c r="I1377" s="3">
        <v>45281.322847222225</v>
      </c>
      <c r="J1377" s="3">
        <v>41480.747488425928</v>
      </c>
      <c r="K1377" cm="1">
        <f t="array" ref="K1377">sentimentCalc(C1377)</f>
        <v>8</v>
      </c>
      <c r="L1377" t="str" cm="1">
        <f t="array" ref="L1377">sentimentCategory(K1377)</f>
        <v>Positive</v>
      </c>
    </row>
    <row r="1378" spans="1:12" x14ac:dyDescent="0.25">
      <c r="A1378" t="s">
        <v>137</v>
      </c>
      <c r="B1378" t="s">
        <v>1997</v>
      </c>
      <c r="C1378" t="str" cm="1">
        <f t="array" ref="C1378">CleanText(B1378)</f>
        <v>i dont know why they have ryan as ken ryan sorry but ken needed to be played by a young fella</v>
      </c>
      <c r="D1378">
        <v>0</v>
      </c>
      <c r="E1378">
        <v>0</v>
      </c>
      <c r="F1378" t="s">
        <v>10</v>
      </c>
      <c r="G1378" t="str" cm="1">
        <f t="array" ref="G1378">FindCountryName(F1378)</f>
        <v>None</v>
      </c>
      <c r="H1378" s="3">
        <v>45185.053090277775</v>
      </c>
      <c r="I1378" s="3">
        <v>45185.053090277775</v>
      </c>
      <c r="J1378" s="3">
        <v>40852.740520833337</v>
      </c>
      <c r="K1378" cm="1">
        <f t="array" ref="K1378">sentimentCalc(C1378)</f>
        <v>-1</v>
      </c>
      <c r="L1378" t="str" cm="1">
        <f t="array" ref="L1378">sentimentCategory(K1378)</f>
        <v>Negative</v>
      </c>
    </row>
    <row r="1379" spans="1:12" x14ac:dyDescent="0.25">
      <c r="A1379" t="s">
        <v>1598</v>
      </c>
      <c r="B1379" t="s">
        <v>4266</v>
      </c>
      <c r="C1379" t="str" cm="1">
        <f t="array" ref="C1379">CleanText(B1379)</f>
        <v>i dont like american accent therefore this film is not for me</v>
      </c>
      <c r="D1379">
        <v>1</v>
      </c>
      <c r="E1379">
        <v>2</v>
      </c>
      <c r="F1379" t="s">
        <v>10</v>
      </c>
      <c r="G1379" t="str" cm="1">
        <f t="array" ref="G1379">FindCountryName(F1379)</f>
        <v>None</v>
      </c>
      <c r="H1379" s="3">
        <v>45141.37872685185</v>
      </c>
      <c r="I1379" s="3">
        <v>45141.37872685185</v>
      </c>
      <c r="J1379" s="3">
        <v>42959.566979166666</v>
      </c>
      <c r="K1379" cm="1">
        <f t="array" ref="K1379">sentimentCalc(C1379)</f>
        <v>2</v>
      </c>
      <c r="L1379" t="str" cm="1">
        <f t="array" ref="L1379">sentimentCategory(K1379)</f>
        <v>Positive</v>
      </c>
    </row>
    <row r="1380" spans="1:12" x14ac:dyDescent="0.25">
      <c r="A1380" t="s">
        <v>1281</v>
      </c>
      <c r="B1380" t="s">
        <v>2610</v>
      </c>
      <c r="C1380" t="str" cm="1">
        <f t="array" ref="C1380">CleanText(B1380)</f>
        <v>i dont like barbie but i really love robbie margot so ill watch this for sure</v>
      </c>
      <c r="D1380">
        <v>1</v>
      </c>
      <c r="E1380">
        <v>2</v>
      </c>
      <c r="F1380" t="s">
        <v>10</v>
      </c>
      <c r="G1380" t="str" cm="1">
        <f t="array" ref="G1380">FindCountryName(F1380)</f>
        <v>None</v>
      </c>
      <c r="H1380" s="3">
        <v>45161.984664351854</v>
      </c>
      <c r="I1380" s="3">
        <v>45161.984664351854</v>
      </c>
      <c r="J1380" s="3">
        <v>42103.548032407409</v>
      </c>
      <c r="K1380" cm="1">
        <f t="array" ref="K1380">sentimentCalc(C1380)</f>
        <v>3</v>
      </c>
      <c r="L1380" t="str" cm="1">
        <f t="array" ref="L1380">sentimentCategory(K1380)</f>
        <v>Positive</v>
      </c>
    </row>
    <row r="1381" spans="1:12" x14ac:dyDescent="0.25">
      <c r="A1381" t="s">
        <v>1076</v>
      </c>
      <c r="B1381" t="s">
        <v>1878</v>
      </c>
      <c r="C1381" t="str" cm="1">
        <f t="array" ref="C1381">CleanText(B1381)</f>
        <v>i dont like it full of wokenessi like ryans abssam is so hoti like the kens with their muscle shirts and skimpy shortmargot looks really pretty</v>
      </c>
      <c r="D1381">
        <v>0</v>
      </c>
      <c r="E1381">
        <v>2</v>
      </c>
      <c r="F1381" t="s">
        <v>10</v>
      </c>
      <c r="G1381" t="str" cm="1">
        <f t="array" ref="G1381">FindCountryName(F1381)</f>
        <v>None</v>
      </c>
      <c r="H1381" s="3">
        <v>45189.05641203704</v>
      </c>
      <c r="I1381" s="3">
        <v>45189.05641203704</v>
      </c>
      <c r="J1381" s="3">
        <v>42522.025949074072</v>
      </c>
      <c r="K1381" cm="1">
        <f t="array" ref="K1381">sentimentCalc(C1381)</f>
        <v>7</v>
      </c>
      <c r="L1381" t="str" cm="1">
        <f t="array" ref="L1381">sentimentCategory(K1381)</f>
        <v>Positive</v>
      </c>
    </row>
    <row r="1382" spans="1:12" x14ac:dyDescent="0.25">
      <c r="A1382" t="s">
        <v>298</v>
      </c>
      <c r="B1382" t="s">
        <v>2585</v>
      </c>
      <c r="C1382" t="str" cm="1">
        <f t="array" ref="C1382">CleanText(B1382)</f>
        <v>i dont like this barbie movie in my opinion the cartoon is better</v>
      </c>
      <c r="D1382">
        <v>0</v>
      </c>
      <c r="E1382">
        <v>0</v>
      </c>
      <c r="F1382" t="s">
        <v>10</v>
      </c>
      <c r="G1382" t="str" cm="1">
        <f t="array" ref="G1382">FindCountryName(F1382)</f>
        <v>None</v>
      </c>
      <c r="H1382" s="3">
        <v>45162.665798611109</v>
      </c>
      <c r="I1382" s="3">
        <v>45162.665798611109</v>
      </c>
      <c r="J1382" s="3">
        <v>44270.265069444446</v>
      </c>
      <c r="K1382" cm="1">
        <f t="array" ref="K1382">sentimentCalc(C1382)</f>
        <v>4</v>
      </c>
      <c r="L1382" t="str" cm="1">
        <f t="array" ref="L1382">sentimentCategory(K1382)</f>
        <v>Positive</v>
      </c>
    </row>
    <row r="1383" spans="1:12" x14ac:dyDescent="0.25">
      <c r="A1383" t="s">
        <v>986</v>
      </c>
      <c r="B1383" t="s">
        <v>1131</v>
      </c>
      <c r="C1383" t="str" cm="1">
        <f t="array" ref="C1383">CleanText(B1383)</f>
        <v>i dont need a comedymovie with political feminism garbage and i say it as women and barbiefan since my childhood</v>
      </c>
      <c r="D1383">
        <v>1</v>
      </c>
      <c r="E1383">
        <v>2</v>
      </c>
      <c r="F1383" t="s">
        <v>10</v>
      </c>
      <c r="G1383" t="str" cm="1">
        <f t="array" ref="G1383">FindCountryName(F1383)</f>
        <v>None</v>
      </c>
      <c r="H1383" s="3">
        <v>45285.205451388887</v>
      </c>
      <c r="I1383" s="3">
        <v>45285.206759259258</v>
      </c>
      <c r="J1383" s="3">
        <v>44056.949305555558</v>
      </c>
      <c r="K1383" cm="1">
        <f t="array" ref="K1383">sentimentCalc(C1383)</f>
        <v>0</v>
      </c>
      <c r="L1383" t="str" cm="1">
        <f t="array" ref="L1383">sentimentCategory(K1383)</f>
        <v>Neutral</v>
      </c>
    </row>
    <row r="1384" spans="1:12" x14ac:dyDescent="0.25">
      <c r="A1384" t="s">
        <v>2403</v>
      </c>
      <c r="B1384" t="s">
        <v>2404</v>
      </c>
      <c r="C1384" t="str" cm="1">
        <f t="array" ref="C1384">CleanText(B1384)</f>
        <v>i drew her margo robbie like a barbie is wonderful</v>
      </c>
      <c r="D1384">
        <v>11</v>
      </c>
      <c r="E1384">
        <v>0</v>
      </c>
      <c r="F1384" t="s">
        <v>10</v>
      </c>
      <c r="G1384" t="str" cm="1">
        <f t="array" ref="G1384">FindCountryName(F1384)</f>
        <v>None</v>
      </c>
      <c r="H1384" s="3">
        <v>45168.595543981479</v>
      </c>
      <c r="I1384" s="3">
        <v>45168.616111111114</v>
      </c>
      <c r="J1384" s="3">
        <v>42493.644131944442</v>
      </c>
      <c r="K1384" cm="1">
        <f t="array" ref="K1384">sentimentCalc(C1384)</f>
        <v>6</v>
      </c>
      <c r="L1384" t="str" cm="1">
        <f t="array" ref="L1384">sentimentCategory(K1384)</f>
        <v>Positive</v>
      </c>
    </row>
    <row r="1385" spans="1:12" x14ac:dyDescent="0.25">
      <c r="A1385" t="s">
        <v>56</v>
      </c>
      <c r="B1385" t="s">
        <v>57</v>
      </c>
      <c r="C1385" t="str" cm="1">
        <f t="array" ref="C1385">CleanText(B1385)</f>
        <v>i drive</v>
      </c>
      <c r="D1385">
        <v>0</v>
      </c>
      <c r="E1385">
        <v>0</v>
      </c>
      <c r="F1385" t="s">
        <v>10</v>
      </c>
      <c r="G1385" t="str" cm="1">
        <f t="array" ref="G1385">FindCountryName(F1385)</f>
        <v>None</v>
      </c>
      <c r="H1385" s="3">
        <v>45343.758113425924</v>
      </c>
      <c r="I1385" s="3">
        <v>45343.758113425924</v>
      </c>
      <c r="J1385" s="3">
        <v>44355.934687499997</v>
      </c>
      <c r="K1385" cm="1">
        <f t="array" ref="K1385">sentimentCalc(C1385)</f>
        <v>0</v>
      </c>
      <c r="L1385" t="str" cm="1">
        <f t="array" ref="L1385">sentimentCategory(K1385)</f>
        <v>Neutral</v>
      </c>
    </row>
    <row r="1386" spans="1:12" x14ac:dyDescent="0.25">
      <c r="A1386" t="s">
        <v>2667</v>
      </c>
      <c r="B1386" t="s">
        <v>2668</v>
      </c>
      <c r="C1386" t="str" cm="1">
        <f t="array" ref="C1386">CleanText(B1386)</f>
        <v>i expected a good ending</v>
      </c>
      <c r="D1386">
        <v>0</v>
      </c>
      <c r="E1386">
        <v>0</v>
      </c>
      <c r="F1386" t="s">
        <v>10</v>
      </c>
      <c r="G1386" t="str" cm="1">
        <f t="array" ref="G1386">FindCountryName(F1386)</f>
        <v>None</v>
      </c>
      <c r="H1386" s="3">
        <v>45160.422118055554</v>
      </c>
      <c r="I1386" s="3">
        <v>45160.422118055554</v>
      </c>
      <c r="J1386" s="3">
        <v>44052.256469907406</v>
      </c>
      <c r="K1386" cm="1">
        <f t="array" ref="K1386">sentimentCalc(C1386)</f>
        <v>3</v>
      </c>
      <c r="L1386" t="str" cm="1">
        <f t="array" ref="L1386">sentimentCategory(K1386)</f>
        <v>Positive</v>
      </c>
    </row>
    <row r="1387" spans="1:12" x14ac:dyDescent="0.25">
      <c r="A1387" t="s">
        <v>4318</v>
      </c>
      <c r="B1387" t="s">
        <v>4319</v>
      </c>
      <c r="C1387" t="str" cm="1">
        <f t="array" ref="C1387">CleanText(B1387)</f>
        <v>i feel bad about this movie because the person who acts as barbie is literally harley quinn like what do you expect a pyschopath half villian egirl to act as the nice innocent girly barbie hehhh</v>
      </c>
      <c r="D1387">
        <v>0</v>
      </c>
      <c r="E1387">
        <v>0</v>
      </c>
      <c r="F1387" t="s">
        <v>10</v>
      </c>
      <c r="G1387" t="str" cm="1">
        <f t="array" ref="G1387">FindCountryName(F1387)</f>
        <v>None</v>
      </c>
      <c r="H1387" s="3">
        <v>45140.987627314818</v>
      </c>
      <c r="I1387" s="3">
        <v>45140.987627314818</v>
      </c>
      <c r="J1387" s="3">
        <v>44519.430277777778</v>
      </c>
      <c r="K1387" cm="1">
        <f t="array" ref="K1387">sentimentCalc(C1387)</f>
        <v>2</v>
      </c>
      <c r="L1387" t="str" cm="1">
        <f t="array" ref="L1387">sentimentCategory(K1387)</f>
        <v>Positive</v>
      </c>
    </row>
    <row r="1388" spans="1:12" x14ac:dyDescent="0.25">
      <c r="A1388" t="s">
        <v>883</v>
      </c>
      <c r="B1388" t="s">
        <v>3722</v>
      </c>
      <c r="C1388" t="str" cm="1">
        <f t="array" ref="C1388">CleanText(B1388)</f>
        <v>i feel like this movie barbie fused with the truemanshow where barbie has been living an enclosed space and then finds out the real truth just like jim kerry in the trueman show except we get to see in barbie the results of what happens when they actually get out to the real world i wonder if jim from trueman show and barbie could maybe one day bump into each other in the same universe what if the enclosed set world barbie was living in takes place in the same universe as trueman show</v>
      </c>
      <c r="D1388">
        <v>2</v>
      </c>
      <c r="E1388">
        <v>1</v>
      </c>
      <c r="F1388" t="s">
        <v>10</v>
      </c>
      <c r="G1388" t="str" cm="1">
        <f t="array" ref="G1388">FindCountryName(F1388)</f>
        <v>None</v>
      </c>
      <c r="H1388" s="3">
        <v>45146.012291666666</v>
      </c>
      <c r="I1388" s="3">
        <v>45146.012291666666</v>
      </c>
      <c r="J1388" s="3">
        <v>43909.820601851854</v>
      </c>
      <c r="K1388" cm="1">
        <f t="array" ref="K1388">sentimentCalc(C1388)</f>
        <v>4</v>
      </c>
      <c r="L1388" t="str" cm="1">
        <f t="array" ref="L1388">sentimentCategory(K1388)</f>
        <v>Positive</v>
      </c>
    </row>
    <row r="1389" spans="1:12" x14ac:dyDescent="0.25">
      <c r="A1389" t="s">
        <v>1650</v>
      </c>
      <c r="B1389" t="s">
        <v>2993</v>
      </c>
      <c r="C1389" t="str" cm="1">
        <f t="array" ref="C1389">CleanText(B1389)</f>
        <v>i feel like tim burton should have directed this film</v>
      </c>
      <c r="D1389">
        <v>1</v>
      </c>
      <c r="E1389">
        <v>0</v>
      </c>
      <c r="F1389" t="s">
        <v>10</v>
      </c>
      <c r="G1389" t="str" cm="1">
        <f t="array" ref="G1389">FindCountryName(F1389)</f>
        <v>None</v>
      </c>
      <c r="H1389" s="3">
        <v>45154.672303240739</v>
      </c>
      <c r="I1389" s="3">
        <v>45154.672303240739</v>
      </c>
      <c r="J1389" s="3">
        <v>38832.775509259256</v>
      </c>
      <c r="K1389" cm="1">
        <f t="array" ref="K1389">sentimentCalc(C1389)</f>
        <v>2</v>
      </c>
      <c r="L1389" t="str" cm="1">
        <f t="array" ref="L1389">sentimentCategory(K1389)</f>
        <v>Positive</v>
      </c>
    </row>
    <row r="1390" spans="1:12" x14ac:dyDescent="0.25">
      <c r="A1390" t="s">
        <v>1316</v>
      </c>
      <c r="B1390" t="s">
        <v>2301</v>
      </c>
      <c r="C1390" t="str" cm="1">
        <f t="array" ref="C1390">CleanText(B1390)</f>
        <v>i finally decide to give it a benefit of doubt so i watched this trailer i decided they need to pay me hr to compensate for all the mental suffering for me to watch the whole movie</v>
      </c>
      <c r="D1390">
        <v>1</v>
      </c>
      <c r="E1390">
        <v>0</v>
      </c>
      <c r="F1390" t="s">
        <v>10</v>
      </c>
      <c r="G1390" t="str" cm="1">
        <f t="array" ref="G1390">FindCountryName(F1390)</f>
        <v>None</v>
      </c>
      <c r="H1390" s="3">
        <v>45172.38548611111</v>
      </c>
      <c r="I1390" s="3">
        <v>45172.385474537034</v>
      </c>
      <c r="J1390" s="3">
        <v>43836.772581018522</v>
      </c>
      <c r="K1390" cm="1">
        <f t="array" ref="K1390">sentimentCalc(C1390)</f>
        <v>-2</v>
      </c>
      <c r="L1390" t="str" cm="1">
        <f t="array" ref="L1390">sentimentCategory(K1390)</f>
        <v>Negative</v>
      </c>
    </row>
    <row r="1391" spans="1:12" x14ac:dyDescent="0.25">
      <c r="A1391" t="s">
        <v>205</v>
      </c>
      <c r="B1391" t="s">
        <v>206</v>
      </c>
      <c r="C1391" t="str" cm="1">
        <f t="array" ref="C1391">CleanText(B1391)</f>
        <v>i finally watched the barbie movie bad idea to make women seem responsible for setting men up against each other which results in war just to distract them from women getting together trying to change rules to get back to matriarchy women playing with mens feelings just to make them angry bad twist of the story women saying no to bad music and bad treatment of women good idea women saying no to inequality good idea women hysterically smiling and being superficial no by the way the real barbie and ken were brother and sister i am glad they didnt end up in a relationship in this movie barbie and ken puppets represent grownups and it is good for kinds to play and to work things out about the world as grownups perhaps even phantazise over their future role in this world therefore different puppets represent different possibilities which is good but to play with babydolls is also okay and i strongly dislike the beginning of the movie where crazy girls destroy babydolls kids by smashing them and throwing them away dolls are transitional objects which can be loved or hated caring for a smaller one is good and turns kids into responsible grownups its good if they examine a mothersfathers point of view too by playing with this situation as they are still kids and the smaller ones in this relation caring for their inner child themselves can give comfort and protection if kids show agression against their dolls as shown in the beginning of the movie it should alarm the grownups and brought to conversation selfhatred is not a good example and should be objected by a brand that wants to enrich peoples lives and sell good products my opinion</v>
      </c>
      <c r="D1391">
        <v>1</v>
      </c>
      <c r="E1391">
        <v>0</v>
      </c>
      <c r="F1391" t="s">
        <v>10</v>
      </c>
      <c r="G1391" t="str" cm="1">
        <f t="array" ref="G1391">FindCountryName(F1391)</f>
        <v>None</v>
      </c>
      <c r="H1391" s="3">
        <v>45333.287094907406</v>
      </c>
      <c r="I1391" s="3">
        <v>45336.298263888886</v>
      </c>
      <c r="J1391" s="3">
        <v>41512.215567129628</v>
      </c>
      <c r="K1391" cm="1">
        <f t="array" ref="K1391">sentimentCalc(C1391)</f>
        <v>4</v>
      </c>
      <c r="L1391" t="str" cm="1">
        <f t="array" ref="L1391">sentimentCategory(K1391)</f>
        <v>Positive</v>
      </c>
    </row>
    <row r="1392" spans="1:12" x14ac:dyDescent="0.25">
      <c r="A1392" t="s">
        <v>118</v>
      </c>
      <c r="B1392" t="s">
        <v>1043</v>
      </c>
      <c r="C1392" t="str" cm="1">
        <f t="array" ref="C1392">CleanText(B1392)</f>
        <v>i finally watched the movie and my god what an idiotic endingwhat a stupid idea that barbie wants to live in this crazy world instead of her perfect one and what little girl wouldnt want to live like barbie of the movie makes sense and then</v>
      </c>
      <c r="D1392">
        <v>0</v>
      </c>
      <c r="E1392">
        <v>1</v>
      </c>
      <c r="F1392" t="s">
        <v>10</v>
      </c>
      <c r="G1392" t="str" cm="1">
        <f t="array" ref="G1392">FindCountryName(F1392)</f>
        <v>None</v>
      </c>
      <c r="H1392" s="3">
        <v>45298.466273148151</v>
      </c>
      <c r="I1392" s="3">
        <v>45298.466273148151</v>
      </c>
      <c r="J1392" s="3">
        <v>41190.366423611114</v>
      </c>
      <c r="K1392" cm="1">
        <f t="array" ref="K1392">sentimentCalc(C1392)</f>
        <v>0</v>
      </c>
      <c r="L1392" t="str" cm="1">
        <f t="array" ref="L1392">sentimentCategory(K1392)</f>
        <v>Neutral</v>
      </c>
    </row>
    <row r="1393" spans="1:12" x14ac:dyDescent="0.25">
      <c r="A1393" t="s">
        <v>3144</v>
      </c>
      <c r="B1393" t="s">
        <v>3145</v>
      </c>
      <c r="C1393" t="str" cm="1">
        <f t="array" ref="C1393">CleanText(B1393)</f>
        <v>i find it ridiculous that this trailer makes will farrows character look like the villain even tho he barely gets any screentime</v>
      </c>
      <c r="D1393">
        <v>0</v>
      </c>
      <c r="E1393">
        <v>0</v>
      </c>
      <c r="F1393" t="s">
        <v>10</v>
      </c>
      <c r="G1393" t="str" cm="1">
        <f t="array" ref="G1393">FindCountryName(F1393)</f>
        <v>None</v>
      </c>
      <c r="H1393" s="3">
        <v>45152.740578703706</v>
      </c>
      <c r="I1393" s="3">
        <v>45152.740578703706</v>
      </c>
      <c r="J1393" s="3">
        <v>44499.547986111109</v>
      </c>
      <c r="K1393" cm="1">
        <f t="array" ref="K1393">sentimentCalc(C1393)</f>
        <v>-1</v>
      </c>
      <c r="L1393" t="str" cm="1">
        <f t="array" ref="L1393">sentimentCategory(K1393)</f>
        <v>Negative</v>
      </c>
    </row>
    <row r="1394" spans="1:12" x14ac:dyDescent="0.25">
      <c r="A1394" t="s">
        <v>1031</v>
      </c>
      <c r="B1394" t="s">
        <v>1251</v>
      </c>
      <c r="C1394" t="str" cm="1">
        <f t="array" ref="C1394">CleanText(B1394)</f>
        <v>i give this movie  it was a little weird but awesome</v>
      </c>
      <c r="D1394">
        <v>2</v>
      </c>
      <c r="E1394">
        <v>1</v>
      </c>
      <c r="F1394" t="s">
        <v>10</v>
      </c>
      <c r="G1394" t="str" cm="1">
        <f t="array" ref="G1394">FindCountryName(F1394)</f>
        <v>None</v>
      </c>
      <c r="H1394" s="3">
        <v>45268.483078703706</v>
      </c>
      <c r="I1394" s="3">
        <v>45268.483078703706</v>
      </c>
      <c r="J1394" s="3">
        <v>45118.316076388888</v>
      </c>
      <c r="K1394" cm="1">
        <f t="array" ref="K1394">sentimentCalc(C1394)</f>
        <v>2</v>
      </c>
      <c r="L1394" t="str" cm="1">
        <f t="array" ref="L1394">sentimentCategory(K1394)</f>
        <v>Positive</v>
      </c>
    </row>
    <row r="1395" spans="1:12" x14ac:dyDescent="0.25">
      <c r="A1395" t="s">
        <v>878</v>
      </c>
      <c r="B1395" t="s">
        <v>4260</v>
      </c>
      <c r="C1395" t="str" cm="1">
        <f t="array" ref="C1395">CleanText(B1395)</f>
        <v>i got a dream were i got lost in the barbie building and after i waka up i eternally went crazy</v>
      </c>
      <c r="D1395">
        <v>0</v>
      </c>
      <c r="E1395">
        <v>0</v>
      </c>
      <c r="F1395" t="s">
        <v>10</v>
      </c>
      <c r="G1395" t="str" cm="1">
        <f t="array" ref="G1395">FindCountryName(F1395)</f>
        <v>None</v>
      </c>
      <c r="H1395" s="3">
        <v>45141.409548611111</v>
      </c>
      <c r="I1395" s="3">
        <v>45141.409548611111</v>
      </c>
      <c r="J1395" s="3">
        <v>43974.255659722221</v>
      </c>
      <c r="K1395" cm="1">
        <f t="array" ref="K1395">sentimentCalc(C1395)</f>
        <v>-4</v>
      </c>
      <c r="L1395" t="str" cm="1">
        <f t="array" ref="L1395">sentimentCategory(K1395)</f>
        <v>Negative</v>
      </c>
    </row>
    <row r="1396" spans="1:12" x14ac:dyDescent="0.25">
      <c r="A1396" t="s">
        <v>30</v>
      </c>
      <c r="B1396" t="s">
        <v>31</v>
      </c>
      <c r="C1396" t="str" cm="1">
        <f t="array" ref="C1396">CleanText(B1396)</f>
        <v>i got a tia from watching thisakkieincomingim at my lowest right now</v>
      </c>
      <c r="D1396">
        <v>1</v>
      </c>
      <c r="E1396">
        <v>0</v>
      </c>
      <c r="F1396" t="s">
        <v>10</v>
      </c>
      <c r="G1396" t="str" cm="1">
        <f t="array" ref="G1396">FindCountryName(F1396)</f>
        <v>None</v>
      </c>
      <c r="H1396" s="3">
        <v>45347.664085648146</v>
      </c>
      <c r="I1396" s="3">
        <v>45347.664085648146</v>
      </c>
      <c r="J1396" s="3">
        <v>42078.264525462961</v>
      </c>
      <c r="K1396" cm="1">
        <f t="array" ref="K1396">sentimentCalc(C1396)</f>
        <v>-1</v>
      </c>
      <c r="L1396" t="str" cm="1">
        <f t="array" ref="L1396">sentimentCategory(K1396)</f>
        <v>Negative</v>
      </c>
    </row>
    <row r="1397" spans="1:12" x14ac:dyDescent="0.25">
      <c r="A1397" t="s">
        <v>1710</v>
      </c>
      <c r="B1397" t="s">
        <v>1711</v>
      </c>
      <c r="C1397" t="str" cm="1">
        <f t="array" ref="C1397">CleanText(B1397)</f>
        <v>i gotta watch this</v>
      </c>
      <c r="D1397">
        <v>0</v>
      </c>
      <c r="E1397">
        <v>0</v>
      </c>
      <c r="F1397" t="s">
        <v>227</v>
      </c>
      <c r="G1397" t="str" cm="1">
        <f t="array" ref="G1397">FindCountryName(F1397)</f>
        <v>United States of America (the)</v>
      </c>
      <c r="H1397" s="3">
        <v>45200.403865740744</v>
      </c>
      <c r="I1397" s="3">
        <v>45200.403865740744</v>
      </c>
      <c r="J1397" s="3">
        <v>43338.587037037039</v>
      </c>
      <c r="K1397" cm="1">
        <f t="array" ref="K1397">sentimentCalc(C1397)</f>
        <v>0</v>
      </c>
      <c r="L1397" t="str" cm="1">
        <f t="array" ref="L1397">sentimentCategory(K1397)</f>
        <v>Neutral</v>
      </c>
    </row>
    <row r="1398" spans="1:12" x14ac:dyDescent="0.25">
      <c r="A1398" t="s">
        <v>54</v>
      </c>
      <c r="B1398" t="s">
        <v>3996</v>
      </c>
      <c r="C1398" t="str" cm="1">
        <f t="array" ref="C1398">CleanText(B1398)</f>
        <v>i guess its just hang out</v>
      </c>
      <c r="D1398">
        <v>0</v>
      </c>
      <c r="E1398">
        <v>0</v>
      </c>
      <c r="F1398" t="s">
        <v>10</v>
      </c>
      <c r="G1398" t="str" cm="1">
        <f t="array" ref="G1398">FindCountryName(F1398)</f>
        <v>None</v>
      </c>
      <c r="H1398" s="3">
        <v>45143.888425925928</v>
      </c>
      <c r="I1398" s="3">
        <v>45143.888425925928</v>
      </c>
      <c r="J1398" s="3">
        <v>41522.564733796295</v>
      </c>
      <c r="K1398" cm="1">
        <f t="array" ref="K1398">sentimentCalc(C1398)</f>
        <v>0</v>
      </c>
      <c r="L1398" t="str" cm="1">
        <f t="array" ref="L1398">sentimentCategory(K1398)</f>
        <v>Neutral</v>
      </c>
    </row>
    <row r="1399" spans="1:12" x14ac:dyDescent="0.25">
      <c r="A1399" t="s">
        <v>2067</v>
      </c>
      <c r="B1399" t="s">
        <v>2068</v>
      </c>
      <c r="C1399" t="str" cm="1">
        <f t="array" ref="C1399">CleanText(B1399)</f>
        <v>i guess its safe to say the haters attempt to boycott barbie didnt have a billion chance at succeeding</v>
      </c>
      <c r="D1399">
        <v>0</v>
      </c>
      <c r="E1399">
        <v>1</v>
      </c>
      <c r="F1399" t="s">
        <v>10</v>
      </c>
      <c r="G1399" t="str" cm="1">
        <f t="array" ref="G1399">FindCountryName(F1399)</f>
        <v>None</v>
      </c>
      <c r="H1399" s="3">
        <v>45182.083124999997</v>
      </c>
      <c r="I1399" s="3">
        <v>45182.083124999997</v>
      </c>
      <c r="J1399" s="3">
        <v>40923.978437500002</v>
      </c>
      <c r="K1399" cm="1">
        <f t="array" ref="K1399">sentimentCalc(C1399)</f>
        <v>-2</v>
      </c>
      <c r="L1399" t="str" cm="1">
        <f t="array" ref="L1399">sentimentCategory(K1399)</f>
        <v>Negative</v>
      </c>
    </row>
    <row r="1400" spans="1:12" x14ac:dyDescent="0.25">
      <c r="A1400" t="s">
        <v>103</v>
      </c>
      <c r="B1400" t="s">
        <v>2223</v>
      </c>
      <c r="C1400" t="str" cm="1">
        <f t="array" ref="C1400">CleanText(B1400)</f>
        <v>i guess this movie is for kids because for me it looks terrible</v>
      </c>
      <c r="D1400">
        <v>1</v>
      </c>
      <c r="E1400">
        <v>3</v>
      </c>
      <c r="F1400" t="s">
        <v>10</v>
      </c>
      <c r="G1400" t="str" cm="1">
        <f t="array" ref="G1400">FindCountryName(F1400)</f>
        <v>None</v>
      </c>
      <c r="H1400" s="3">
        <v>45175.375833333332</v>
      </c>
      <c r="I1400" s="3">
        <v>45175.375833333332</v>
      </c>
      <c r="J1400" s="3">
        <v>44199.686666666668</v>
      </c>
      <c r="K1400" cm="1">
        <f t="array" ref="K1400">sentimentCalc(C1400)</f>
        <v>-3</v>
      </c>
      <c r="L1400" t="str" cm="1">
        <f t="array" ref="L1400">sentimentCategory(K1400)</f>
        <v>Negative</v>
      </c>
    </row>
    <row r="1401" spans="1:12" x14ac:dyDescent="0.25">
      <c r="A1401" t="s">
        <v>1047</v>
      </c>
      <c r="B1401" t="s">
        <v>1048</v>
      </c>
      <c r="C1401" t="str" cm="1">
        <f t="array" ref="C1401">CleanText(B1401)</f>
        <v>i guess in general you got to be an american and probably even an american woman to love and rate this as a great movie sorry people i was not that impressed sure theres some funny lines now and then but really not that big a deal i was bored for the last half hour of the movie and almost fell asleepthe most hilarious part of this movie is actually that mattel back in the days made a lawsuit againts mca records because of aquas song barbie girl cause they didnt like the song lyric using the image of barbie to satirize the objectification and sexualization of women even though this song probably couldnt have been a bigger free advertisement that it was and still is and now  years later they made a movie mirroring this very song and even implemented a cover of this very song ohh the irony a cover even more awful and annoying to listen to than the original but thats another story surely not a movie i want to watch twice</v>
      </c>
      <c r="D1401">
        <v>0</v>
      </c>
      <c r="E1401">
        <v>0</v>
      </c>
      <c r="F1401" t="s">
        <v>10</v>
      </c>
      <c r="G1401" t="str" cm="1">
        <f t="array" ref="G1401">FindCountryName(F1401)</f>
        <v>None</v>
      </c>
      <c r="H1401" s="3">
        <v>45297.745625000003</v>
      </c>
      <c r="I1401" s="3">
        <v>45297.745625000003</v>
      </c>
      <c r="J1401" s="3">
        <v>41535.079293981478</v>
      </c>
      <c r="K1401" cm="1">
        <f t="array" ref="K1401">sentimentCalc(C1401)</f>
        <v>9</v>
      </c>
      <c r="L1401" t="str" cm="1">
        <f t="array" ref="L1401">sentimentCategory(K1401)</f>
        <v>Positive</v>
      </c>
    </row>
    <row r="1402" spans="1:12" x14ac:dyDescent="0.25">
      <c r="A1402" t="s">
        <v>1202</v>
      </c>
      <c r="B1402" t="s">
        <v>2954</v>
      </c>
      <c r="C1402" t="str" cm="1">
        <f t="array" ref="C1402">CleanText(B1402)</f>
        <v>i had a day dream the other day where i woke up in barbie land margor robbie came floating over to me she said oh hello you must be new here i will begin your initiation ceremony she then revealed her cheeks and began to position her doll parts towards my member however as margot began to feel my johnson she noticed that it wasnt hard and she went ugh ew beta male you are not suitable as a mate then ryan goslin came over and he was super ripped and toned and had lube all over his body he said dont worry barbie im plastic so my member is always ready to party margot bit her lip and said wow thanks ken he then laughed at me and began to insert his meat rocket into margot and margot began laughing at me too i tried to run away but ryan grabbed me with his incredible muscles and and pulled me up against his stiff chest as he was clapping margots cheeks with his other hand he started punching me in the balls which finally made my johnson get stiff but at this point it was too late i was already being dominated by him i watched with shame and jealousy as ryan abused my nether regions and gave his sweet seed to stacyfml i cant even beat my hog without getting dominated ny alphas i hate not being chad</v>
      </c>
      <c r="D1402">
        <v>0</v>
      </c>
      <c r="E1402">
        <v>2</v>
      </c>
      <c r="F1402" t="s">
        <v>10</v>
      </c>
      <c r="G1402" t="str" cm="1">
        <f t="array" ref="G1402">FindCountryName(F1402)</f>
        <v>None</v>
      </c>
      <c r="H1402" s="3">
        <v>45155.496018518519</v>
      </c>
      <c r="I1402" s="3">
        <v>45155.496018518519</v>
      </c>
      <c r="J1402" s="3">
        <v>44019.900335648148</v>
      </c>
      <c r="K1402" cm="1">
        <f t="array" ref="K1402">sentimentCalc(C1402)</f>
        <v>2</v>
      </c>
      <c r="L1402" t="str" cm="1">
        <f t="array" ref="L1402">sentimentCategory(K1402)</f>
        <v>Positive</v>
      </c>
    </row>
    <row r="1403" spans="1:12" x14ac:dyDescent="0.25">
      <c r="A1403" t="s">
        <v>62</v>
      </c>
      <c r="B1403" t="s">
        <v>1094</v>
      </c>
      <c r="C1403" t="str" cm="1">
        <f t="array" ref="C1403">CleanText(B1403)</f>
        <v>i had an extreme mixed emotions watching this movie margot robbie is a real life barbie and ryan gosling is a real life ken barbie made u cry so much and margot absolutely fit barbie  and ken makes u laugh so hard ryan is spot on in this character too didnt know that he can dance and sing you dont need to be a fan of barbie to make this watchable its about celebrating life and choose whats make u happy</v>
      </c>
      <c r="D1403">
        <v>1</v>
      </c>
      <c r="E1403">
        <v>0</v>
      </c>
      <c r="F1403" t="s">
        <v>10</v>
      </c>
      <c r="G1403" t="str" cm="1">
        <f t="array" ref="G1403">FindCountryName(F1403)</f>
        <v>None</v>
      </c>
      <c r="H1403" s="3">
        <v>45290.437210648146</v>
      </c>
      <c r="I1403" s="3">
        <v>45290.437210648146</v>
      </c>
      <c r="J1403" s="3">
        <v>43310.219189814816</v>
      </c>
      <c r="K1403" cm="1">
        <f t="array" ref="K1403">sentimentCalc(C1403)</f>
        <v>9</v>
      </c>
      <c r="L1403" t="str" cm="1">
        <f t="array" ref="L1403">sentimentCategory(K1403)</f>
        <v>Positive</v>
      </c>
    </row>
    <row r="1404" spans="1:12" x14ac:dyDescent="0.25">
      <c r="A1404" t="s">
        <v>2986</v>
      </c>
      <c r="B1404" t="s">
        <v>2987</v>
      </c>
      <c r="C1404" t="str" cm="1">
        <f t="array" ref="C1404">CleanText(B1404)</f>
        <v>i had no interest in this movie but after all the conservative freak out over it ill give it a try i hope it meets the expectation</v>
      </c>
      <c r="D1404">
        <v>1</v>
      </c>
      <c r="E1404">
        <v>0</v>
      </c>
      <c r="F1404" t="s">
        <v>10</v>
      </c>
      <c r="G1404" t="str" cm="1">
        <f t="array" ref="G1404">FindCountryName(F1404)</f>
        <v>None</v>
      </c>
      <c r="H1404" s="3">
        <v>45154.743136574078</v>
      </c>
      <c r="I1404" s="3">
        <v>45154.743125000001</v>
      </c>
      <c r="J1404" s="3">
        <v>43156.712002314816</v>
      </c>
      <c r="K1404" cm="1">
        <f t="array" ref="K1404">sentimentCalc(C1404)</f>
        <v>0</v>
      </c>
      <c r="L1404" t="str" cm="1">
        <f t="array" ref="L1404">sentimentCategory(K1404)</f>
        <v>Neutral</v>
      </c>
    </row>
    <row r="1405" spans="1:12" x14ac:dyDescent="0.25">
      <c r="A1405" t="s">
        <v>307</v>
      </c>
      <c r="B1405" t="s">
        <v>2826</v>
      </c>
      <c r="C1405" t="str" cm="1">
        <f t="array" ref="C1405">CleanText(B1405)</f>
        <v>i had such high expectations of barbie as a gerwig fan but i was in the end quite disappointed the costume designset and actors are brilliant but if falls fairly short on the scriptmessage that ended up being incredibly superficial take on feminism i expected the movie to be more clever and nuanced or not so cringe only women and men that grew up without any knowledge of gender inequality would find it as mind shattering as it is marketed to be i just dont get the hype but then again im not american</v>
      </c>
      <c r="D1405">
        <v>2</v>
      </c>
      <c r="E1405">
        <v>0</v>
      </c>
      <c r="F1405" t="s">
        <v>10</v>
      </c>
      <c r="G1405" t="str" cm="1">
        <f t="array" ref="G1405">FindCountryName(F1405)</f>
        <v>None</v>
      </c>
      <c r="H1405" s="3">
        <v>45157.132314814815</v>
      </c>
      <c r="I1405" s="3">
        <v>45157.132314814815</v>
      </c>
      <c r="J1405" s="3">
        <v>41121.182314814818</v>
      </c>
      <c r="K1405" cm="1">
        <f t="array" ref="K1405">sentimentCalc(C1405)</f>
        <v>7</v>
      </c>
      <c r="L1405" t="str" cm="1">
        <f t="array" ref="L1405">sentimentCategory(K1405)</f>
        <v>Positive</v>
      </c>
    </row>
    <row r="1406" spans="1:12" x14ac:dyDescent="0.25">
      <c r="A1406" t="s">
        <v>230</v>
      </c>
      <c r="B1406" t="s">
        <v>231</v>
      </c>
      <c r="C1406" t="str" cm="1">
        <f t="array" ref="C1406">CleanText(B1406)</f>
        <v>i had the original barbies and ken was a brunette not a blonde</v>
      </c>
      <c r="D1406">
        <v>0</v>
      </c>
      <c r="E1406">
        <v>0</v>
      </c>
      <c r="F1406" t="s">
        <v>227</v>
      </c>
      <c r="G1406" t="str" cm="1">
        <f t="array" ref="G1406">FindCountryName(F1406)</f>
        <v>United States of America (the)</v>
      </c>
      <c r="H1406" s="3">
        <v>45328.839745370373</v>
      </c>
      <c r="I1406" s="3">
        <v>45328.839745370373</v>
      </c>
      <c r="J1406" s="3">
        <v>41016.506377314814</v>
      </c>
      <c r="K1406" cm="1">
        <f t="array" ref="K1406">sentimentCalc(C1406)</f>
        <v>0</v>
      </c>
      <c r="L1406" t="str" cm="1">
        <f t="array" ref="L1406">sentimentCategory(K1406)</f>
        <v>Neutral</v>
      </c>
    </row>
    <row r="1407" spans="1:12" x14ac:dyDescent="0.25">
      <c r="A1407" t="s">
        <v>118</v>
      </c>
      <c r="B1407" t="s">
        <v>392</v>
      </c>
      <c r="C1407" t="str" cm="1">
        <f t="array" ref="C1407">CleanText(B1407)</f>
        <v>i had watched the full barbie movie and liked it</v>
      </c>
      <c r="D1407">
        <v>0</v>
      </c>
      <c r="E1407">
        <v>0</v>
      </c>
      <c r="F1407" t="s">
        <v>10</v>
      </c>
      <c r="G1407" t="str" cm="1">
        <f t="array" ref="G1407">FindCountryName(F1407)</f>
        <v>None</v>
      </c>
      <c r="H1407" s="3">
        <v>45322.272812499999</v>
      </c>
      <c r="I1407" s="3">
        <v>45322.272812499999</v>
      </c>
      <c r="J1407" s="3">
        <v>44700.745451388888</v>
      </c>
      <c r="K1407" cm="1">
        <f t="array" ref="K1407">sentimentCalc(C1407)</f>
        <v>2</v>
      </c>
      <c r="L1407" t="str" cm="1">
        <f t="array" ref="L1407">sentimentCategory(K1407)</f>
        <v>Positive</v>
      </c>
    </row>
    <row r="1408" spans="1:12" x14ac:dyDescent="0.25">
      <c r="A1408" t="s">
        <v>1332</v>
      </c>
      <c r="B1408" t="s">
        <v>3200</v>
      </c>
      <c r="C1408" t="str" cm="1">
        <f t="array" ref="C1408">CleanText(B1408)</f>
        <v>i hate</v>
      </c>
      <c r="D1408">
        <v>2</v>
      </c>
      <c r="E1408">
        <v>0</v>
      </c>
      <c r="F1408" t="s">
        <v>10</v>
      </c>
      <c r="G1408" t="str" cm="1">
        <f t="array" ref="G1408">FindCountryName(F1408)</f>
        <v>None</v>
      </c>
      <c r="H1408" s="3">
        <v>45152.048090277778</v>
      </c>
      <c r="I1408" s="3">
        <v>45152.048078703701</v>
      </c>
      <c r="J1408" s="3">
        <v>45037.420914351853</v>
      </c>
      <c r="K1408" cm="1">
        <f t="array" ref="K1408">sentimentCalc(C1408)</f>
        <v>-3</v>
      </c>
      <c r="L1408" t="str" cm="1">
        <f t="array" ref="L1408">sentimentCategory(K1408)</f>
        <v>Negative</v>
      </c>
    </row>
    <row r="1409" spans="1:12" x14ac:dyDescent="0.25">
      <c r="A1409" t="s">
        <v>223</v>
      </c>
      <c r="B1409" t="s">
        <v>224</v>
      </c>
      <c r="C1409" t="str" cm="1">
        <f t="array" ref="C1409">CleanText(B1409)</f>
        <v>i hate barbie</v>
      </c>
      <c r="D1409">
        <v>1</v>
      </c>
      <c r="E1409">
        <v>0</v>
      </c>
      <c r="F1409" t="s">
        <v>10</v>
      </c>
      <c r="G1409" t="str" cm="1">
        <f t="array" ref="G1409">FindCountryName(F1409)</f>
        <v>None</v>
      </c>
      <c r="H1409" s="3">
        <v>45329.316562499997</v>
      </c>
      <c r="I1409" s="3">
        <v>45329.316562499997</v>
      </c>
      <c r="J1409" s="3">
        <v>42306.454085648147</v>
      </c>
      <c r="K1409" cm="1">
        <f t="array" ref="K1409">sentimentCalc(C1409)</f>
        <v>-3</v>
      </c>
      <c r="L1409" t="str" cm="1">
        <f t="array" ref="L1409">sentimentCategory(K1409)</f>
        <v>Negative</v>
      </c>
    </row>
    <row r="1410" spans="1:12" x14ac:dyDescent="0.25">
      <c r="A1410" t="s">
        <v>2788</v>
      </c>
      <c r="B1410" t="s">
        <v>2789</v>
      </c>
      <c r="C1410" t="str" cm="1">
        <f t="array" ref="C1410">CleanText(B1410)</f>
        <v>i hate barbie but i am planning to w as watch this movie</v>
      </c>
      <c r="D1410">
        <v>1</v>
      </c>
      <c r="E1410">
        <v>0</v>
      </c>
      <c r="F1410" t="s">
        <v>10</v>
      </c>
      <c r="G1410" t="str" cm="1">
        <f t="array" ref="G1410">FindCountryName(F1410)</f>
        <v>None</v>
      </c>
      <c r="H1410" s="3">
        <v>45157.852905092594</v>
      </c>
      <c r="I1410" s="3">
        <v>45157.852905092594</v>
      </c>
      <c r="J1410" s="3">
        <v>40307.040648148148</v>
      </c>
      <c r="K1410" cm="1">
        <f t="array" ref="K1410">sentimentCalc(C1410)</f>
        <v>-3</v>
      </c>
      <c r="L1410" t="str" cm="1">
        <f t="array" ref="L1410">sentimentCategory(K1410)</f>
        <v>Negative</v>
      </c>
    </row>
    <row r="1411" spans="1:12" x14ac:dyDescent="0.25">
      <c r="A1411" t="s">
        <v>2564</v>
      </c>
      <c r="B1411" t="s">
        <v>2565</v>
      </c>
      <c r="C1411" t="str" cm="1">
        <f t="array" ref="C1411">CleanText(B1411)</f>
        <v>i hate barbie doll</v>
      </c>
      <c r="D1411">
        <v>1</v>
      </c>
      <c r="E1411">
        <v>0</v>
      </c>
      <c r="F1411" t="s">
        <v>10</v>
      </c>
      <c r="G1411" t="str" cm="1">
        <f t="array" ref="G1411">FindCountryName(F1411)</f>
        <v>None</v>
      </c>
      <c r="H1411" s="3">
        <v>45163.314432870371</v>
      </c>
      <c r="I1411" s="3">
        <v>45163.314918981479</v>
      </c>
      <c r="J1411" s="3">
        <v>41908.3671875</v>
      </c>
      <c r="K1411" cm="1">
        <f t="array" ref="K1411">sentimentCalc(C1411)</f>
        <v>-3</v>
      </c>
      <c r="L1411" t="str" cm="1">
        <f t="array" ref="L1411">sentimentCategory(K1411)</f>
        <v>Negative</v>
      </c>
    </row>
    <row r="1412" spans="1:12" x14ac:dyDescent="0.25">
      <c r="A1412" t="s">
        <v>54</v>
      </c>
      <c r="B1412" t="s">
        <v>3599</v>
      </c>
      <c r="C1412" t="str" cm="1">
        <f t="array" ref="C1412">CleanText(B1412)</f>
        <v>i hate barbie for make our kids destroying</v>
      </c>
      <c r="D1412">
        <v>2</v>
      </c>
      <c r="E1412">
        <v>0</v>
      </c>
      <c r="F1412" t="s">
        <v>10</v>
      </c>
      <c r="G1412" t="str" cm="1">
        <f t="array" ref="G1412">FindCountryName(F1412)</f>
        <v>None</v>
      </c>
      <c r="H1412" s="3">
        <v>45147.256331018521</v>
      </c>
      <c r="I1412" s="3">
        <v>45147.256331018521</v>
      </c>
      <c r="J1412" s="3">
        <v>44615.022175925929</v>
      </c>
      <c r="K1412" cm="1">
        <f t="array" ref="K1412">sentimentCalc(C1412)</f>
        <v>-6</v>
      </c>
      <c r="L1412" t="str" cm="1">
        <f t="array" ref="L1412">sentimentCategory(K1412)</f>
        <v>Negative</v>
      </c>
    </row>
    <row r="1413" spans="1:12" x14ac:dyDescent="0.25">
      <c r="A1413" t="s">
        <v>4222</v>
      </c>
      <c r="B1413" t="s">
        <v>4223</v>
      </c>
      <c r="C1413" t="str" cm="1">
        <f t="array" ref="C1413">CleanText(B1413)</f>
        <v>i hate barbie s</v>
      </c>
      <c r="D1413">
        <v>0</v>
      </c>
      <c r="E1413">
        <v>0</v>
      </c>
      <c r="F1413" t="s">
        <v>1942</v>
      </c>
      <c r="G1413" t="str" cm="1">
        <f t="array" ref="G1413">FindCountryName(F1413)</f>
        <v>Pakistan</v>
      </c>
      <c r="H1413" s="3">
        <v>45141.750821759262</v>
      </c>
      <c r="I1413" s="3">
        <v>45141.750821759262</v>
      </c>
      <c r="J1413" s="3">
        <v>43550.736481481479</v>
      </c>
      <c r="K1413" cm="1">
        <f t="array" ref="K1413">sentimentCalc(C1413)</f>
        <v>-3</v>
      </c>
      <c r="L1413" t="str" cm="1">
        <f t="array" ref="L1413">sentimentCategory(K1413)</f>
        <v>Negative</v>
      </c>
    </row>
    <row r="1414" spans="1:12" x14ac:dyDescent="0.25">
      <c r="A1414" t="s">
        <v>3194</v>
      </c>
      <c r="B1414" t="s">
        <v>4448</v>
      </c>
      <c r="C1414" t="str" cm="1">
        <f t="array" ref="C1414">CleanText(B1414)</f>
        <v>i hate how the barbie irl is actually australian and puts on an american accent in the movie</v>
      </c>
      <c r="D1414">
        <v>1</v>
      </c>
      <c r="E1414">
        <v>8</v>
      </c>
      <c r="F1414" t="s">
        <v>10</v>
      </c>
      <c r="G1414" t="str" cm="1">
        <f t="array" ref="G1414">FindCountryName(F1414)</f>
        <v>None</v>
      </c>
      <c r="H1414" s="3">
        <v>45140.214212962965</v>
      </c>
      <c r="I1414" s="3">
        <v>45140.214212962965</v>
      </c>
      <c r="J1414" s="3">
        <v>44401.289351851854</v>
      </c>
      <c r="K1414" cm="1">
        <f t="array" ref="K1414">sentimentCalc(C1414)</f>
        <v>-3</v>
      </c>
      <c r="L1414" t="str" cm="1">
        <f t="array" ref="L1414">sentimentCategory(K1414)</f>
        <v>Negative</v>
      </c>
    </row>
    <row r="1415" spans="1:12" x14ac:dyDescent="0.25">
      <c r="A1415" t="s">
        <v>45</v>
      </c>
      <c r="B1415" t="s">
        <v>2942</v>
      </c>
      <c r="C1415" t="str" cm="1">
        <f t="array" ref="C1415">CleanText(B1415)</f>
        <v>i hate this barbie allahuakbar</v>
      </c>
      <c r="D1415">
        <v>2</v>
      </c>
      <c r="E1415">
        <v>0</v>
      </c>
      <c r="F1415" t="s">
        <v>10</v>
      </c>
      <c r="G1415" t="str" cm="1">
        <f t="array" ref="G1415">FindCountryName(F1415)</f>
        <v>None</v>
      </c>
      <c r="H1415" s="3">
        <v>45155.643159722225</v>
      </c>
      <c r="I1415" s="3">
        <v>45155.643159722225</v>
      </c>
      <c r="J1415" s="3">
        <v>45136.201423611114</v>
      </c>
      <c r="K1415" cm="1">
        <f t="array" ref="K1415">sentimentCalc(C1415)</f>
        <v>-3</v>
      </c>
      <c r="L1415" t="str" cm="1">
        <f t="array" ref="L1415">sentimentCategory(K1415)</f>
        <v>Negative</v>
      </c>
    </row>
    <row r="1416" spans="1:12" x14ac:dyDescent="0.25">
      <c r="A1416" t="s">
        <v>254</v>
      </c>
      <c r="B1416" t="s">
        <v>1440</v>
      </c>
      <c r="C1416" t="str" cm="1">
        <f t="array" ref="C1416">CleanText(B1416)</f>
        <v>i hate this i hate this i hate this i hate this i hate this i hate this i hate this i hate this i hate this i hate this i hate this i hate this i hate this</v>
      </c>
      <c r="D1416">
        <v>1</v>
      </c>
      <c r="E1416">
        <v>0</v>
      </c>
      <c r="F1416" t="s">
        <v>10</v>
      </c>
      <c r="G1416" t="str" cm="1">
        <f t="array" ref="G1416">FindCountryName(F1416)</f>
        <v>None</v>
      </c>
      <c r="H1416" s="3">
        <v>45226.667372685188</v>
      </c>
      <c r="I1416" s="3">
        <v>45226.667372685188</v>
      </c>
      <c r="J1416" s="3">
        <v>41591.675219907411</v>
      </c>
      <c r="K1416" cm="1">
        <f t="array" ref="K1416">sentimentCalc(C1416)</f>
        <v>-39</v>
      </c>
      <c r="L1416" t="str" cm="1">
        <f t="array" ref="L1416">sentimentCategory(K1416)</f>
        <v>Negative</v>
      </c>
    </row>
    <row r="1417" spans="1:12" x14ac:dyDescent="0.25">
      <c r="A1417" t="s">
        <v>395</v>
      </c>
      <c r="B1417" t="s">
        <v>1178</v>
      </c>
      <c r="C1417" t="str" cm="1">
        <f t="array" ref="C1417">CleanText(B1417)</f>
        <v>i hate this movie it sucks and barbie is just so selfish</v>
      </c>
      <c r="D1417">
        <v>2</v>
      </c>
      <c r="E1417">
        <v>0</v>
      </c>
      <c r="F1417" t="s">
        <v>10</v>
      </c>
      <c r="G1417" t="str" cm="1">
        <f t="array" ref="G1417">FindCountryName(F1417)</f>
        <v>None</v>
      </c>
      <c r="H1417" s="3">
        <v>45279.707592592589</v>
      </c>
      <c r="I1417" s="3">
        <v>45279.707592592589</v>
      </c>
      <c r="J1417" s="3">
        <v>44634.228993055556</v>
      </c>
      <c r="K1417" cm="1">
        <f t="array" ref="K1417">sentimentCalc(C1417)</f>
        <v>-9</v>
      </c>
      <c r="L1417" t="str" cm="1">
        <f t="array" ref="L1417">sentimentCategory(K1417)</f>
        <v>Negative</v>
      </c>
    </row>
    <row r="1418" spans="1:12" x14ac:dyDescent="0.25">
      <c r="A1418" t="s">
        <v>2643</v>
      </c>
      <c r="B1418" t="s">
        <v>2644</v>
      </c>
      <c r="C1418" t="str" cm="1">
        <f t="array" ref="C1418">CleanText(B1418)</f>
        <v>i hated this movie horrible message with the only intention of destroying the family tree</v>
      </c>
      <c r="D1418">
        <v>3</v>
      </c>
      <c r="E1418">
        <v>16</v>
      </c>
      <c r="F1418" t="s">
        <v>10</v>
      </c>
      <c r="G1418" t="str" cm="1">
        <f t="array" ref="G1418">FindCountryName(F1418)</f>
        <v>None</v>
      </c>
      <c r="H1418" s="3">
        <v>45160.836875000001</v>
      </c>
      <c r="I1418" s="3">
        <v>45160.836875000001</v>
      </c>
      <c r="J1418" s="3">
        <v>44255.400023148148</v>
      </c>
      <c r="K1418" cm="1">
        <f t="array" ref="K1418">sentimentCalc(C1418)</f>
        <v>-9</v>
      </c>
      <c r="L1418" t="str" cm="1">
        <f t="array" ref="L1418">sentimentCategory(K1418)</f>
        <v>Negative</v>
      </c>
    </row>
    <row r="1419" spans="1:12" x14ac:dyDescent="0.25">
      <c r="A1419" t="s">
        <v>158</v>
      </c>
      <c r="B1419" t="s">
        <v>1783</v>
      </c>
      <c r="C1419" t="str" cm="1">
        <f t="array" ref="C1419">CleanText(B1419)</f>
        <v>i hated this movie its just toxic feminism treating men as lessor beings unhealthy body influence demanding to be treated not just as equals but better than men this entire movie said that women our oppressed in their homes if a woman dares to do just be a mom and a wife she not living up to her full potential she has to be working and what worse is that we flip the switch and make man be oppressed we treat them awfully ken whole purpose was to love barbie he was literally made to be her soulmate and partner ever sense the beginning of barbie ken was there as her better half that was the point as kids we didnt play free barbie from the shackles that ken has her stuck in we played ken and barbie getting married ken and barbie have a family even ken and barbie fight the monster it wasnt about the freaking patriarchy or oppressed women or toxic masculinity it was about family and love which the barbie movie abandoned for the sake of being intune with what our toxic culture wants it was supposed to lift woman up but after watching it i felt completely torn down and broken because it says that i can find happiness in love i have to find it inside myself which is so wrong</v>
      </c>
      <c r="D1419">
        <v>3</v>
      </c>
      <c r="E1419">
        <v>0</v>
      </c>
      <c r="F1419" t="s">
        <v>10</v>
      </c>
      <c r="G1419" t="str" cm="1">
        <f t="array" ref="G1419">FindCountryName(F1419)</f>
        <v>None</v>
      </c>
      <c r="H1419" s="3">
        <v>45194.943067129629</v>
      </c>
      <c r="I1419" s="3">
        <v>45194.943067129629</v>
      </c>
      <c r="J1419" s="3">
        <v>44403.643993055557</v>
      </c>
      <c r="K1419" cm="1">
        <f t="array" ref="K1419">sentimentCalc(C1419)</f>
        <v>-8</v>
      </c>
      <c r="L1419" t="str" cm="1">
        <f t="array" ref="L1419">sentimentCategory(K1419)</f>
        <v>Negative</v>
      </c>
    </row>
    <row r="1420" spans="1:12" x14ac:dyDescent="0.25">
      <c r="A1420" t="s">
        <v>1692</v>
      </c>
      <c r="B1420" t="s">
        <v>1693</v>
      </c>
      <c r="C1420" t="str" cm="1">
        <f t="array" ref="C1420">CleanText(B1420)</f>
        <v>i have a barbie car and your bad is so nice</v>
      </c>
      <c r="D1420">
        <v>0</v>
      </c>
      <c r="E1420">
        <v>0</v>
      </c>
      <c r="F1420" t="s">
        <v>10</v>
      </c>
      <c r="G1420" t="str" cm="1">
        <f t="array" ref="G1420">FindCountryName(F1420)</f>
        <v>None</v>
      </c>
      <c r="H1420" s="3">
        <v>45201.347824074073</v>
      </c>
      <c r="I1420" s="3">
        <v>45201.347824074073</v>
      </c>
      <c r="J1420" s="3">
        <v>45197.171481481484</v>
      </c>
      <c r="K1420" cm="1">
        <f t="array" ref="K1420">sentimentCalc(C1420)</f>
        <v>0</v>
      </c>
      <c r="L1420" t="str" cm="1">
        <f t="array" ref="L1420">sentimentCategory(K1420)</f>
        <v>Neutral</v>
      </c>
    </row>
    <row r="1421" spans="1:12" x14ac:dyDescent="0.25">
      <c r="A1421" t="s">
        <v>442</v>
      </c>
      <c r="B1421" t="s">
        <v>2147</v>
      </c>
      <c r="C1421" t="str" cm="1">
        <f t="array" ref="C1421">CleanText(B1421)</f>
        <v>i have a crush on barbie</v>
      </c>
      <c r="D1421">
        <v>0</v>
      </c>
      <c r="E1421">
        <v>0</v>
      </c>
      <c r="F1421" t="s">
        <v>10</v>
      </c>
      <c r="G1421" t="str" cm="1">
        <f t="array" ref="G1421">FindCountryName(F1421)</f>
        <v>None</v>
      </c>
      <c r="H1421" s="3">
        <v>45178.37290509259</v>
      </c>
      <c r="I1421" s="3">
        <v>45178.37290509259</v>
      </c>
      <c r="J1421" s="3">
        <v>44659.31591435185</v>
      </c>
      <c r="K1421" cm="1">
        <f t="array" ref="K1421">sentimentCalc(C1421)</f>
        <v>-1</v>
      </c>
      <c r="L1421" t="str" cm="1">
        <f t="array" ref="L1421">sentimentCategory(K1421)</f>
        <v>Negative</v>
      </c>
    </row>
    <row r="1422" spans="1:12" x14ac:dyDescent="0.25">
      <c r="A1422" t="s">
        <v>1246</v>
      </c>
      <c r="B1422" t="s">
        <v>1247</v>
      </c>
      <c r="C1422" t="str" cm="1">
        <f t="array" ref="C1422">CleanText(B1422)</f>
        <v>i have alr watched this it was so good</v>
      </c>
      <c r="D1422">
        <v>1</v>
      </c>
      <c r="E1422">
        <v>0</v>
      </c>
      <c r="F1422" t="s">
        <v>10</v>
      </c>
      <c r="G1422" t="str" cm="1">
        <f t="array" ref="G1422">FindCountryName(F1422)</f>
        <v>None</v>
      </c>
      <c r="H1422" s="3">
        <v>45269.217442129629</v>
      </c>
      <c r="I1422" s="3">
        <v>45269.217442129629</v>
      </c>
      <c r="J1422" s="3">
        <v>45254.509988425925</v>
      </c>
      <c r="K1422" cm="1">
        <f t="array" ref="K1422">sentimentCalc(C1422)</f>
        <v>3</v>
      </c>
      <c r="L1422" t="str" cm="1">
        <f t="array" ref="L1422">sentimentCategory(K1422)</f>
        <v>Positive</v>
      </c>
    </row>
    <row r="1423" spans="1:12" x14ac:dyDescent="0.25">
      <c r="A1423" t="s">
        <v>832</v>
      </c>
      <c r="B1423" t="s">
        <v>1125</v>
      </c>
      <c r="C1423" t="str" cm="1">
        <f t="array" ref="C1423">CleanText(B1423)</f>
        <v>i have been on this earth since  and i have watched a fuckton of movies this has got to be the worst movie ever made it puts a stain on hollywood and everyone who had a part in it as far as im concerned</v>
      </c>
      <c r="D1423">
        <v>1</v>
      </c>
      <c r="E1423">
        <v>2</v>
      </c>
      <c r="F1423" t="s">
        <v>10</v>
      </c>
      <c r="G1423" t="str" cm="1">
        <f t="array" ref="G1423">FindCountryName(F1423)</f>
        <v>None</v>
      </c>
      <c r="H1423" s="3">
        <v>45286.496863425928</v>
      </c>
      <c r="I1423" s="3">
        <v>45286.496863425928</v>
      </c>
      <c r="J1423" s="3">
        <v>44967.688379629632</v>
      </c>
      <c r="K1423" cm="1">
        <f t="array" ref="K1423">sentimentCalc(C1423)</f>
        <v>-3</v>
      </c>
      <c r="L1423" t="str" cm="1">
        <f t="array" ref="L1423">sentimentCategory(K1423)</f>
        <v>Negative</v>
      </c>
    </row>
    <row r="1424" spans="1:12" x14ac:dyDescent="0.25">
      <c r="A1424" t="s">
        <v>87</v>
      </c>
      <c r="B1424" t="s">
        <v>1697</v>
      </c>
      <c r="C1424" t="str" cm="1">
        <f t="array" ref="C1424">CleanText(B1424)</f>
        <v>i have down syndrome and i love children</v>
      </c>
      <c r="D1424">
        <v>2</v>
      </c>
      <c r="E1424">
        <v>0</v>
      </c>
      <c r="F1424" t="s">
        <v>1698</v>
      </c>
      <c r="G1424" t="str" cm="1">
        <f t="array" ref="G1424">FindCountryName(F1424)</f>
        <v>New Zealand</v>
      </c>
      <c r="H1424" s="3">
        <v>45201.277858796297</v>
      </c>
      <c r="I1424" s="3">
        <v>45201.277858796297</v>
      </c>
      <c r="J1424" s="3">
        <v>44154.022199074076</v>
      </c>
      <c r="K1424" cm="1">
        <f t="array" ref="K1424">sentimentCalc(C1424)</f>
        <v>3</v>
      </c>
      <c r="L1424" t="str" cm="1">
        <f t="array" ref="L1424">sentimentCategory(K1424)</f>
        <v>Positive</v>
      </c>
    </row>
    <row r="1425" spans="1:12" x14ac:dyDescent="0.25">
      <c r="A1425" t="s">
        <v>1602</v>
      </c>
      <c r="B1425" t="s">
        <v>4360</v>
      </c>
      <c r="C1425" t="str" cm="1">
        <f t="array" ref="C1425">CleanText(B1425)</f>
        <v>i have heard that during the pitch margot robbie told wb that this movie would make  billion she may have been underestimating a bit</v>
      </c>
      <c r="D1425">
        <v>1</v>
      </c>
      <c r="E1425">
        <v>0</v>
      </c>
      <c r="F1425" t="s">
        <v>10</v>
      </c>
      <c r="G1425" t="str" cm="1">
        <f t="array" ref="G1425">FindCountryName(F1425)</f>
        <v>None</v>
      </c>
      <c r="H1425" s="3">
        <v>45140.669560185182</v>
      </c>
      <c r="I1425" s="3">
        <v>45140.669560185182</v>
      </c>
      <c r="J1425" s="3">
        <v>41561.770208333335</v>
      </c>
      <c r="K1425" cm="1">
        <f t="array" ref="K1425">sentimentCalc(C1425)</f>
        <v>-1</v>
      </c>
      <c r="L1425" t="str" cm="1">
        <f t="array" ref="L1425">sentimentCategory(K1425)</f>
        <v>Negative</v>
      </c>
    </row>
    <row r="1426" spans="1:12" x14ac:dyDescent="0.25">
      <c r="A1426" t="s">
        <v>36</v>
      </c>
      <c r="B1426" t="s">
        <v>3280</v>
      </c>
      <c r="C1426" t="str" cm="1">
        <f t="array" ref="C1426">CleanText(B1426)</f>
        <v>i have just gotten back from this movie and i am here to tell you that everyone must see this movie at least once in their life regardless of what you think of barbie</v>
      </c>
      <c r="D1426">
        <v>63</v>
      </c>
      <c r="E1426">
        <v>5</v>
      </c>
      <c r="F1426" t="s">
        <v>10</v>
      </c>
      <c r="G1426" t="str" cm="1">
        <f t="array" ref="G1426">FindCountryName(F1426)</f>
        <v>None</v>
      </c>
      <c r="H1426" s="3">
        <v>45150.833067129628</v>
      </c>
      <c r="I1426" s="3">
        <v>45150.833067129628</v>
      </c>
      <c r="J1426" s="3">
        <v>42875.675162037034</v>
      </c>
      <c r="K1426" cm="1">
        <f t="array" ref="K1426">sentimentCalc(C1426)</f>
        <v>0</v>
      </c>
      <c r="L1426" t="str" cm="1">
        <f t="array" ref="L1426">sentimentCategory(K1426)</f>
        <v>Neutral</v>
      </c>
    </row>
    <row r="1427" spans="1:12" x14ac:dyDescent="0.25">
      <c r="A1427" t="s">
        <v>1148</v>
      </c>
      <c r="B1427" t="s">
        <v>4058</v>
      </c>
      <c r="C1427" t="str" cm="1">
        <f t="array" ref="C1427">CleanText(B1427)</f>
        <v>i have no idea how ppl got to love this sht  a very old man acting as a teenager and a young lady playing the rule of teenager girl this movie is a manipulative one with disgusting msgs that normal ppl should refuse to accept</v>
      </c>
      <c r="D1427">
        <v>4</v>
      </c>
      <c r="E1427">
        <v>3</v>
      </c>
      <c r="F1427" t="s">
        <v>10</v>
      </c>
      <c r="G1427" t="str" cm="1">
        <f t="array" ref="G1427">FindCountryName(F1427)</f>
        <v>None</v>
      </c>
      <c r="H1427" s="3">
        <v>45143.325486111113</v>
      </c>
      <c r="I1427" s="3">
        <v>45143.325486111113</v>
      </c>
      <c r="J1427" s="3">
        <v>40825.588240740741</v>
      </c>
      <c r="K1427" cm="1">
        <f t="array" ref="K1427">sentimentCalc(C1427)</f>
        <v>-2</v>
      </c>
      <c r="L1427" t="str" cm="1">
        <f t="array" ref="L1427">sentimentCategory(K1427)</f>
        <v>Negative</v>
      </c>
    </row>
    <row r="1428" spans="1:12" x14ac:dyDescent="0.25">
      <c r="A1428" t="s">
        <v>3122</v>
      </c>
      <c r="B1428" t="s">
        <v>3624</v>
      </c>
      <c r="C1428" t="str" cm="1">
        <f t="array" ref="C1428">CleanText(B1428)</f>
        <v>i have no idea wtf i just watched</v>
      </c>
      <c r="D1428">
        <v>0</v>
      </c>
      <c r="E1428">
        <v>0</v>
      </c>
      <c r="F1428" t="s">
        <v>10</v>
      </c>
      <c r="G1428" t="str" cm="1">
        <f t="array" ref="G1428">FindCountryName(F1428)</f>
        <v>None</v>
      </c>
      <c r="H1428" s="3">
        <v>45147.020254629628</v>
      </c>
      <c r="I1428" s="3">
        <v>45147.020254629628</v>
      </c>
      <c r="J1428" s="3">
        <v>42984.734803240739</v>
      </c>
      <c r="K1428" cm="1">
        <f t="array" ref="K1428">sentimentCalc(C1428)</f>
        <v>-1</v>
      </c>
      <c r="L1428" t="str" cm="1">
        <f t="array" ref="L1428">sentimentCategory(K1428)</f>
        <v>Negative</v>
      </c>
    </row>
    <row r="1429" spans="1:12" x14ac:dyDescent="0.25">
      <c r="A1429" t="s">
        <v>1382</v>
      </c>
      <c r="B1429" t="s">
        <v>1383</v>
      </c>
      <c r="C1429" t="str" cm="1">
        <f t="array" ref="C1429">CleanText(B1429)</f>
        <v>i have prime too i have glowberryice popstrawberry watermelonblueberry i think thats it</v>
      </c>
      <c r="D1429">
        <v>1</v>
      </c>
      <c r="E1429">
        <v>0</v>
      </c>
      <c r="F1429" t="s">
        <v>10</v>
      </c>
      <c r="G1429" t="str" cm="1">
        <f t="array" ref="G1429">FindCountryName(F1429)</f>
        <v>None</v>
      </c>
      <c r="H1429" s="3">
        <v>45234.453506944446</v>
      </c>
      <c r="I1429" s="3">
        <v>45234.453506944446</v>
      </c>
      <c r="J1429" s="3">
        <v>43802.825891203705</v>
      </c>
      <c r="K1429" cm="1">
        <f t="array" ref="K1429">sentimentCalc(C1429)</f>
        <v>0</v>
      </c>
      <c r="L1429" t="str" cm="1">
        <f t="array" ref="L1429">sentimentCategory(K1429)</f>
        <v>Neutral</v>
      </c>
    </row>
    <row r="1430" spans="1:12" x14ac:dyDescent="0.25">
      <c r="A1430" t="s">
        <v>2815</v>
      </c>
      <c r="B1430" t="s">
        <v>3252</v>
      </c>
      <c r="C1430" t="str" cm="1">
        <f t="array" ref="C1430">CleanText(B1430)</f>
        <v>i have seeing the movie is just so funny</v>
      </c>
      <c r="D1430">
        <v>0</v>
      </c>
      <c r="E1430">
        <v>0</v>
      </c>
      <c r="F1430" t="s">
        <v>10</v>
      </c>
      <c r="G1430" t="str" cm="1">
        <f t="array" ref="G1430">FindCountryName(F1430)</f>
        <v>None</v>
      </c>
      <c r="H1430" s="3">
        <v>45151.36215277778</v>
      </c>
      <c r="I1430" s="3">
        <v>45151.36215277778</v>
      </c>
      <c r="J1430" s="3">
        <v>44732.482986111114</v>
      </c>
      <c r="K1430" cm="1">
        <f t="array" ref="K1430">sentimentCalc(C1430)</f>
        <v>4</v>
      </c>
      <c r="L1430" t="str" cm="1">
        <f t="array" ref="L1430">sentimentCategory(K1430)</f>
        <v>Positive</v>
      </c>
    </row>
    <row r="1431" spans="1:12" x14ac:dyDescent="0.25">
      <c r="A1431" t="s">
        <v>4007</v>
      </c>
      <c r="B1431" t="s">
        <v>4008</v>
      </c>
      <c r="C1431" t="str" cm="1">
        <f t="array" ref="C1431">CleanText(B1431)</f>
        <v>i have seen this movie and it was so funny</v>
      </c>
      <c r="D1431">
        <v>0</v>
      </c>
      <c r="E1431">
        <v>0</v>
      </c>
      <c r="F1431" t="s">
        <v>10</v>
      </c>
      <c r="G1431" t="str" cm="1">
        <f t="array" ref="G1431">FindCountryName(F1431)</f>
        <v>None</v>
      </c>
      <c r="H1431" s="3">
        <v>45143.786793981482</v>
      </c>
      <c r="I1431" s="3">
        <v>45143.786793981482</v>
      </c>
      <c r="J1431" s="3">
        <v>45060.567731481482</v>
      </c>
      <c r="K1431" cm="1">
        <f t="array" ref="K1431">sentimentCalc(C1431)</f>
        <v>4</v>
      </c>
      <c r="L1431" t="str" cm="1">
        <f t="array" ref="L1431">sentimentCategory(K1431)</f>
        <v>Positive</v>
      </c>
    </row>
    <row r="1432" spans="1:12" x14ac:dyDescent="0.25">
      <c r="A1432" t="s">
        <v>1084</v>
      </c>
      <c r="B1432" t="s">
        <v>4455</v>
      </c>
      <c r="C1432" t="str" cm="1">
        <f t="array" ref="C1432">CleanText(B1432)</f>
        <v>i have watched it</v>
      </c>
      <c r="D1432">
        <v>0</v>
      </c>
      <c r="E1432">
        <v>1</v>
      </c>
      <c r="F1432" t="s">
        <v>10</v>
      </c>
      <c r="G1432" t="str" cm="1">
        <f t="array" ref="G1432">FindCountryName(F1432)</f>
        <v>None</v>
      </c>
      <c r="H1432" s="3">
        <v>45140.186018518521</v>
      </c>
      <c r="I1432" s="3">
        <v>45140.186018518521</v>
      </c>
      <c r="J1432" s="3">
        <v>45088.479687500003</v>
      </c>
      <c r="K1432" cm="1">
        <f t="array" ref="K1432">sentimentCalc(C1432)</f>
        <v>0</v>
      </c>
      <c r="L1432" t="str" cm="1">
        <f t="array" ref="L1432">sentimentCategory(K1432)</f>
        <v>Neutral</v>
      </c>
    </row>
    <row r="1433" spans="1:12" x14ac:dyDescent="0.25">
      <c r="A1433" t="s">
        <v>122</v>
      </c>
      <c r="B1433" t="s">
        <v>1601</v>
      </c>
      <c r="C1433" t="str" cm="1">
        <f t="array" ref="C1433">CleanText(B1433)</f>
        <v>i have watched this movie and it was good</v>
      </c>
      <c r="D1433">
        <v>2</v>
      </c>
      <c r="E1433">
        <v>0</v>
      </c>
      <c r="F1433" t="s">
        <v>10</v>
      </c>
      <c r="G1433" t="str" cm="1">
        <f t="array" ref="G1433">FindCountryName(F1433)</f>
        <v>None</v>
      </c>
      <c r="H1433" s="3">
        <v>45209.440972222219</v>
      </c>
      <c r="I1433" s="3">
        <v>45209.440972222219</v>
      </c>
      <c r="J1433" s="3">
        <v>44051.282256944447</v>
      </c>
      <c r="K1433" cm="1">
        <f t="array" ref="K1433">sentimentCalc(C1433)</f>
        <v>3</v>
      </c>
      <c r="L1433" t="str" cm="1">
        <f t="array" ref="L1433">sentimentCategory(K1433)</f>
        <v>Positive</v>
      </c>
    </row>
    <row r="1434" spans="1:12" x14ac:dyDescent="0.25">
      <c r="A1434" t="s">
        <v>828</v>
      </c>
      <c r="B1434" t="s">
        <v>829</v>
      </c>
      <c r="C1434" t="str" cm="1">
        <f t="array" ref="C1434">CleanText(B1434)</f>
        <v>i havent seen it yet im a little bit sas that it said if you hate barbie this movie is for you i love barbie am i going to be disappointed</v>
      </c>
      <c r="D1434">
        <v>0</v>
      </c>
      <c r="E1434">
        <v>1</v>
      </c>
      <c r="F1434" t="s">
        <v>10</v>
      </c>
      <c r="G1434" t="str" cm="1">
        <f t="array" ref="G1434">FindCountryName(F1434)</f>
        <v>None</v>
      </c>
      <c r="H1434" s="3">
        <v>45304.184791666667</v>
      </c>
      <c r="I1434" s="3">
        <v>45304.184791666667</v>
      </c>
      <c r="J1434" s="3">
        <v>42877.772534722222</v>
      </c>
      <c r="K1434" cm="1">
        <f t="array" ref="K1434">sentimentCalc(C1434)</f>
        <v>-2</v>
      </c>
      <c r="L1434" t="str" cm="1">
        <f t="array" ref="L1434">sentimentCategory(K1434)</f>
        <v>Negative</v>
      </c>
    </row>
    <row r="1435" spans="1:12" x14ac:dyDescent="0.25">
      <c r="A1435" t="s">
        <v>1100</v>
      </c>
      <c r="B1435" t="s">
        <v>3990</v>
      </c>
      <c r="C1435" t="str" cm="1">
        <f t="array" ref="C1435">CleanText(B1435)</f>
        <v>i havent seen the movie but it sounds stupid no thanks</v>
      </c>
      <c r="D1435">
        <v>1</v>
      </c>
      <c r="E1435">
        <v>0</v>
      </c>
      <c r="F1435" t="s">
        <v>10</v>
      </c>
      <c r="G1435" t="str" cm="1">
        <f t="array" ref="G1435">FindCountryName(F1435)</f>
        <v>None</v>
      </c>
      <c r="H1435" s="3">
        <v>45143.936354166668</v>
      </c>
      <c r="I1435" s="3">
        <v>45143.936354166668</v>
      </c>
      <c r="J1435" s="3">
        <v>39248.002395833333</v>
      </c>
      <c r="K1435" cm="1">
        <f t="array" ref="K1435">sentimentCalc(C1435)</f>
        <v>-1</v>
      </c>
      <c r="L1435" t="str" cm="1">
        <f t="array" ref="L1435">sentimentCategory(K1435)</f>
        <v>Negative</v>
      </c>
    </row>
    <row r="1436" spans="1:12" x14ac:dyDescent="0.25">
      <c r="A1436" t="s">
        <v>866</v>
      </c>
      <c r="B1436" t="s">
        <v>3608</v>
      </c>
      <c r="C1436" t="str" cm="1">
        <f t="array" ref="C1436">CleanText(B1436)</f>
        <v>i havent seen the new baribe yet</v>
      </c>
      <c r="D1436">
        <v>0</v>
      </c>
      <c r="E1436">
        <v>0</v>
      </c>
      <c r="F1436" t="s">
        <v>10</v>
      </c>
      <c r="G1436" t="str" cm="1">
        <f t="array" ref="G1436">FindCountryName(F1436)</f>
        <v>None</v>
      </c>
      <c r="H1436" s="3">
        <v>45147.176678240743</v>
      </c>
      <c r="I1436" s="3">
        <v>45147.176666666666</v>
      </c>
      <c r="J1436" s="3">
        <v>44811.381724537037</v>
      </c>
      <c r="K1436" cm="1">
        <f t="array" ref="K1436">sentimentCalc(C1436)</f>
        <v>0</v>
      </c>
      <c r="L1436" t="str" cm="1">
        <f t="array" ref="L1436">sentimentCategory(K1436)</f>
        <v>Neutral</v>
      </c>
    </row>
    <row r="1437" spans="1:12" x14ac:dyDescent="0.25">
      <c r="A1437" t="s">
        <v>1456</v>
      </c>
      <c r="B1437" t="s">
        <v>4226</v>
      </c>
      <c r="C1437" t="str" cm="1">
        <f t="array" ref="C1437">CleanText(B1437)</f>
        <v>i havent seen this movie not sure if i will to those that have do barbie and ken have nipples and genitalia just wondering</v>
      </c>
      <c r="D1437">
        <v>0</v>
      </c>
      <c r="E1437">
        <v>0</v>
      </c>
      <c r="F1437" t="s">
        <v>10</v>
      </c>
      <c r="G1437" t="str" cm="1">
        <f t="array" ref="G1437">FindCountryName(F1437)</f>
        <v>None</v>
      </c>
      <c r="H1437" s="3">
        <v>45141.701666666668</v>
      </c>
      <c r="I1437" s="3">
        <v>45141.701666666668</v>
      </c>
      <c r="J1437" s="3">
        <v>44530.448240740741</v>
      </c>
      <c r="K1437" cm="1">
        <f t="array" ref="K1437">sentimentCalc(C1437)</f>
        <v>0</v>
      </c>
      <c r="L1437" t="str" cm="1">
        <f t="array" ref="L1437">sentimentCategory(K1437)</f>
        <v>Neutral</v>
      </c>
    </row>
    <row r="1438" spans="1:12" x14ac:dyDescent="0.25">
      <c r="A1438" t="s">
        <v>2005</v>
      </c>
      <c r="B1438" t="s">
        <v>3365</v>
      </c>
      <c r="C1438" t="str" cm="1">
        <f t="array" ref="C1438">CleanText(B1438)</f>
        <v>i havent seen this trailer until now but i did see the very first trailer put out where ken and ken are fighting at the beach im sorry but this movie looks very cheesy and lame my oldest daughter and i were looking forward to seeing it because we thought it would be true to barbie but it looks nothing like how barbie is usually portrayedin the barbie life in the dreamhouse animated series and the barbie spy movie etc barbie is so kind and warmhearted in the other trailer she seems more cold and abrupt not to mention very weird with everyone named barbie and ken where is teresa ryan raquel i think they could have picked someone to play barbie who is already sweet in character like amanda seyfried or cameron diaz that already have naturally blonde hair we get a different vibe from margot robbie as she played a villain as harley quinn barbie has a tiny mouth margot has a beautiful but big mouth i think someone like zac efron would have been a great ken ken doesnt have white hair like they gave to ryan gosling its just all wrong i hope they do a super fun familyfriendly real life portrayal of barbie movie then we will see it  i think well skip this one</v>
      </c>
      <c r="D1438">
        <v>2</v>
      </c>
      <c r="E1438">
        <v>0</v>
      </c>
      <c r="F1438" t="s">
        <v>10</v>
      </c>
      <c r="G1438" t="str" cm="1">
        <f t="array" ref="G1438">FindCountryName(F1438)</f>
        <v>None</v>
      </c>
      <c r="H1438" s="3">
        <v>45149.571388888886</v>
      </c>
      <c r="I1438" s="3">
        <v>45149.571388888886</v>
      </c>
      <c r="J1438" s="3">
        <v>40945.405092592591</v>
      </c>
      <c r="K1438" cm="1">
        <f t="array" ref="K1438">sentimentCalc(C1438)</f>
        <v>23</v>
      </c>
      <c r="L1438" t="str" cm="1">
        <f t="array" ref="L1438">sentimentCategory(K1438)</f>
        <v>Positive</v>
      </c>
    </row>
    <row r="1439" spans="1:12" x14ac:dyDescent="0.25">
      <c r="A1439" t="s">
        <v>618</v>
      </c>
      <c r="B1439" t="s">
        <v>3481</v>
      </c>
      <c r="C1439" t="str" cm="1">
        <f t="array" ref="C1439">CleanText(B1439)</f>
        <v>i havent seen yet  but i wonder why some countries already banned</v>
      </c>
      <c r="D1439">
        <v>0</v>
      </c>
      <c r="E1439">
        <v>0</v>
      </c>
      <c r="F1439" t="s">
        <v>10</v>
      </c>
      <c r="G1439" t="str" cm="1">
        <f t="array" ref="G1439">FindCountryName(F1439)</f>
        <v>None</v>
      </c>
      <c r="H1439" s="3">
        <v>45148.471006944441</v>
      </c>
      <c r="I1439" s="3">
        <v>45148.470995370371</v>
      </c>
      <c r="J1439" s="3">
        <v>42314.577731481484</v>
      </c>
      <c r="K1439" cm="1">
        <f t="array" ref="K1439">sentimentCalc(C1439)</f>
        <v>-2</v>
      </c>
      <c r="L1439" t="str" cm="1">
        <f t="array" ref="L1439">sentimentCategory(K1439)</f>
        <v>Negative</v>
      </c>
    </row>
    <row r="1440" spans="1:12" x14ac:dyDescent="0.25">
      <c r="A1440" t="s">
        <v>1160</v>
      </c>
      <c r="B1440" t="s">
        <v>3931</v>
      </c>
      <c r="C1440" t="str" cm="1">
        <f t="array" ref="C1440">CleanText(B1440)</f>
        <v>i honestly wishes mattel should make kens own tv show like i want to know more about him more than just an accessory</v>
      </c>
      <c r="D1440">
        <v>0</v>
      </c>
      <c r="E1440">
        <v>0</v>
      </c>
      <c r="F1440" t="s">
        <v>10</v>
      </c>
      <c r="G1440" t="str" cm="1">
        <f t="array" ref="G1440">FindCountryName(F1440)</f>
        <v>None</v>
      </c>
      <c r="H1440" s="3">
        <v>45144.44427083333</v>
      </c>
      <c r="I1440" s="3">
        <v>45144.44427083333</v>
      </c>
      <c r="J1440" s="3">
        <v>44335.312152777777</v>
      </c>
      <c r="K1440" cm="1">
        <f t="array" ref="K1440">sentimentCalc(C1440)</f>
        <v>4</v>
      </c>
      <c r="L1440" t="str" cm="1">
        <f t="array" ref="L1440">sentimentCategory(K1440)</f>
        <v>Positive</v>
      </c>
    </row>
    <row r="1441" spans="1:12" x14ac:dyDescent="0.25">
      <c r="A1441" t="s">
        <v>1035</v>
      </c>
      <c r="B1441" t="s">
        <v>1036</v>
      </c>
      <c r="C1441" t="str" cm="1">
        <f t="array" ref="C1441">CleanText(B1441)</f>
        <v>i hope not babie should not win is a worst movie of the decade i am sorry this movie is a horror babie babie is psycho i just heard this movie is pg she kill children and swear not for kids then she kidnap parents and kids this is a worst terrible horrible movie they cheeted to win tonight it must head to the super mario movie they did again it must to guardians of the galaxy you killed disney out business</v>
      </c>
      <c r="D1441">
        <v>1</v>
      </c>
      <c r="E1441">
        <v>2</v>
      </c>
      <c r="F1441" t="s">
        <v>10</v>
      </c>
      <c r="G1441" t="str" cm="1">
        <f t="array" ref="G1441">FindCountryName(F1441)</f>
        <v>None</v>
      </c>
      <c r="H1441" s="3">
        <v>45298.861157407409</v>
      </c>
      <c r="I1441" s="3">
        <v>45298.923078703701</v>
      </c>
      <c r="J1441" s="3">
        <v>42761.959687499999</v>
      </c>
      <c r="K1441" cm="1">
        <f t="array" ref="K1441">sentimentCalc(C1441)</f>
        <v>-8</v>
      </c>
      <c r="L1441" t="str" cm="1">
        <f t="array" ref="L1441">sentimentCategory(K1441)</f>
        <v>Negative</v>
      </c>
    </row>
    <row r="1442" spans="1:12" x14ac:dyDescent="0.25">
      <c r="A1442" t="s">
        <v>1119</v>
      </c>
      <c r="B1442" t="s">
        <v>3614</v>
      </c>
      <c r="C1442" t="str" cm="1">
        <f t="array" ref="C1442">CleanText(B1442)</f>
        <v>i just checked this trailer out of curiosity to know what is wrong with girls and barbies obsession</v>
      </c>
      <c r="D1442">
        <v>0</v>
      </c>
      <c r="E1442">
        <v>0</v>
      </c>
      <c r="F1442" t="s">
        <v>10</v>
      </c>
      <c r="G1442" t="str" cm="1">
        <f t="array" ref="G1442">FindCountryName(F1442)</f>
        <v>None</v>
      </c>
      <c r="H1442" s="3">
        <v>45147.088993055557</v>
      </c>
      <c r="I1442" s="3">
        <v>45147.088993055557</v>
      </c>
      <c r="J1442" s="3">
        <v>41554.474629629629</v>
      </c>
      <c r="K1442" cm="1">
        <f t="array" ref="K1442">sentimentCalc(C1442)</f>
        <v>-2</v>
      </c>
      <c r="L1442" t="str" cm="1">
        <f t="array" ref="L1442">sentimentCategory(K1442)</f>
        <v>Negative</v>
      </c>
    </row>
    <row r="1443" spans="1:12" x14ac:dyDescent="0.25">
      <c r="A1443" t="s">
        <v>1316</v>
      </c>
      <c r="B1443" t="s">
        <v>1317</v>
      </c>
      <c r="C1443" t="str" cm="1">
        <f t="array" ref="C1443">CleanText(B1443)</f>
        <v>i just dont like how gimmicky it is</v>
      </c>
      <c r="D1443">
        <v>3</v>
      </c>
      <c r="E1443">
        <v>3</v>
      </c>
      <c r="F1443" t="s">
        <v>10</v>
      </c>
      <c r="G1443" t="str" cm="1">
        <f t="array" ref="G1443">FindCountryName(F1443)</f>
        <v>None</v>
      </c>
      <c r="H1443" s="3">
        <v>45246.372141203705</v>
      </c>
      <c r="I1443" s="3">
        <v>45246.372141203705</v>
      </c>
      <c r="J1443" s="3">
        <v>41327.930960648147</v>
      </c>
      <c r="K1443" cm="1">
        <f t="array" ref="K1443">sentimentCalc(C1443)</f>
        <v>2</v>
      </c>
      <c r="L1443" t="str" cm="1">
        <f t="array" ref="L1443">sentimentCategory(K1443)</f>
        <v>Positive</v>
      </c>
    </row>
    <row r="1444" spans="1:12" x14ac:dyDescent="0.25">
      <c r="A1444" t="s">
        <v>11</v>
      </c>
      <c r="B1444" t="s">
        <v>3209</v>
      </c>
      <c r="C1444" t="str" cm="1">
        <f t="array" ref="C1444">CleanText(B1444)</f>
        <v>i just gotta say this was not the dircorsts movie it was margos</v>
      </c>
      <c r="D1444">
        <v>0</v>
      </c>
      <c r="E1444">
        <v>0</v>
      </c>
      <c r="F1444" t="s">
        <v>10</v>
      </c>
      <c r="G1444" t="str" cm="1">
        <f t="array" ref="G1444">FindCountryName(F1444)</f>
        <v>None</v>
      </c>
      <c r="H1444" s="3">
        <v>45151.895335648151</v>
      </c>
      <c r="I1444" s="3">
        <v>45151.895335648151</v>
      </c>
      <c r="J1444" s="3">
        <v>45063.610590277778</v>
      </c>
      <c r="K1444" cm="1">
        <f t="array" ref="K1444">sentimentCalc(C1444)</f>
        <v>0</v>
      </c>
      <c r="L1444" t="str" cm="1">
        <f t="array" ref="L1444">sentimentCategory(K1444)</f>
        <v>Neutral</v>
      </c>
    </row>
    <row r="1445" spans="1:12" x14ac:dyDescent="0.25">
      <c r="A1445" t="s">
        <v>4194</v>
      </c>
      <c r="B1445" t="s">
        <v>4251</v>
      </c>
      <c r="C1445" t="str" cm="1">
        <f t="array" ref="C1445">CleanText(B1445)</f>
        <v>i just loved the part where barbie pretends to like ken feigns interest in his hobies and when ken tries to win her love she openly spits on his feelings you see barbie was secretly plotting against him  emotionally manipulating him for the specific purpose to hurt himand she is presented as the good  person</v>
      </c>
      <c r="D1445">
        <v>1</v>
      </c>
      <c r="E1445">
        <v>0</v>
      </c>
      <c r="F1445" t="s">
        <v>10</v>
      </c>
      <c r="G1445" t="str" cm="1">
        <f t="array" ref="G1445">FindCountryName(F1445)</f>
        <v>None</v>
      </c>
      <c r="H1445" s="3">
        <v>45141.466226851851</v>
      </c>
      <c r="I1445" s="3">
        <v>45141.466226851851</v>
      </c>
      <c r="J1445" s="3">
        <v>40997.390694444446</v>
      </c>
      <c r="K1445" cm="1">
        <f t="array" ref="K1445">sentimentCalc(C1445)</f>
        <v>12</v>
      </c>
      <c r="L1445" t="str" cm="1">
        <f t="array" ref="L1445">sentimentCategory(K1445)</f>
        <v>Positive</v>
      </c>
    </row>
    <row r="1446" spans="1:12" x14ac:dyDescent="0.25">
      <c r="A1446" t="s">
        <v>3071</v>
      </c>
      <c r="B1446" t="s">
        <v>3072</v>
      </c>
      <c r="C1446" t="str" cm="1">
        <f t="array" ref="C1446">CleanText(B1446)</f>
        <v>i just saw the movie i loved my barbie as a kid in the s so i was intrigued what the movie was about the first scenes were fun but as the movie progressed it felt quite disjointed parts were emotional and relatable and quite touching actually but the conclusion was pretty cold and felt flat barbie leaves ken in the dust hes left to find himself separately whilst barbie lives her truth as a human this movie could have been an opportunity to heal some wounds on todays social issues and confusion but i felt it didnt because the male was left behind after all viewers will have sympathised with the males ken identity crisis just as much as the females barbie identity crisis thats why i felt the movies messagesentiment was kinda lost now that barbies in the real world theres only a certain amount of time until she is missing the male energy in her life</v>
      </c>
      <c r="D1446">
        <v>0</v>
      </c>
      <c r="E1446">
        <v>12</v>
      </c>
      <c r="F1446" t="s">
        <v>10</v>
      </c>
      <c r="G1446" t="str" cm="1">
        <f t="array" ref="G1446">FindCountryName(F1446)</f>
        <v>None</v>
      </c>
      <c r="H1446" s="3">
        <v>45153.749212962961</v>
      </c>
      <c r="I1446" s="3">
        <v>45153.749212962961</v>
      </c>
      <c r="J1446" s="3">
        <v>44541.459374999999</v>
      </c>
      <c r="K1446" cm="1">
        <f t="array" ref="K1446">sentimentCalc(C1446)</f>
        <v>-2</v>
      </c>
      <c r="L1446" t="str" cm="1">
        <f t="array" ref="L1446">sentimentCategory(K1446)</f>
        <v>Negative</v>
      </c>
    </row>
    <row r="1447" spans="1:12" x14ac:dyDescent="0.25">
      <c r="A1447" t="s">
        <v>2697</v>
      </c>
      <c r="B1447" t="s">
        <v>2855</v>
      </c>
      <c r="C1447" t="str" cm="1">
        <f t="array" ref="C1447">CleanText(B1447)</f>
        <v>i just searched openheimee</v>
      </c>
      <c r="D1447">
        <v>0</v>
      </c>
      <c r="E1447">
        <v>0</v>
      </c>
      <c r="F1447" t="s">
        <v>10</v>
      </c>
      <c r="G1447" t="str" cm="1">
        <f t="array" ref="G1447">FindCountryName(F1447)</f>
        <v>None</v>
      </c>
      <c r="H1447" s="3">
        <v>45156.817499999997</v>
      </c>
      <c r="I1447" s="3">
        <v>45156.817499999997</v>
      </c>
      <c r="J1447" s="3">
        <v>44962.154074074075</v>
      </c>
      <c r="K1447" cm="1">
        <f t="array" ref="K1447">sentimentCalc(C1447)</f>
        <v>0</v>
      </c>
      <c r="L1447" t="str" cm="1">
        <f t="array" ref="L1447">sentimentCategory(K1447)</f>
        <v>Neutral</v>
      </c>
    </row>
    <row r="1448" spans="1:12" x14ac:dyDescent="0.25">
      <c r="A1448" t="s">
        <v>3232</v>
      </c>
      <c r="B1448" t="s">
        <v>3236</v>
      </c>
      <c r="C1448" t="str" cm="1">
        <f t="array" ref="C1448">CleanText(B1448)</f>
        <v>i just threw up</v>
      </c>
      <c r="D1448">
        <v>2</v>
      </c>
      <c r="E1448">
        <v>0</v>
      </c>
      <c r="F1448" t="s">
        <v>10</v>
      </c>
      <c r="G1448" t="str" cm="1">
        <f t="array" ref="G1448">FindCountryName(F1448)</f>
        <v>None</v>
      </c>
      <c r="H1448" s="3">
        <v>45151.471030092594</v>
      </c>
      <c r="I1448" s="3">
        <v>45151.471018518518</v>
      </c>
      <c r="J1448" s="3">
        <v>44713.866701388892</v>
      </c>
      <c r="K1448" cm="1">
        <f t="array" ref="K1448">sentimentCalc(C1448)</f>
        <v>0</v>
      </c>
      <c r="L1448" t="str" cm="1">
        <f t="array" ref="L1448">sentimentCategory(K1448)</f>
        <v>Neutral</v>
      </c>
    </row>
    <row r="1449" spans="1:12" x14ac:dyDescent="0.25">
      <c r="A1449" t="s">
        <v>707</v>
      </c>
      <c r="B1449" t="s">
        <v>3445</v>
      </c>
      <c r="C1449" t="str" cm="1">
        <f t="array" ref="C1449">CleanText(B1449)</f>
        <v>i just wanna thank warner bros for giving me the opportunity to play ken in the new barbie movie</v>
      </c>
      <c r="D1449">
        <v>0</v>
      </c>
      <c r="E1449">
        <v>0</v>
      </c>
      <c r="F1449" t="s">
        <v>10</v>
      </c>
      <c r="G1449" t="str" cm="1">
        <f t="array" ref="G1449">FindCountryName(F1449)</f>
        <v>None</v>
      </c>
      <c r="H1449" s="3">
        <v>45148.812476851854</v>
      </c>
      <c r="I1449" s="3">
        <v>45148.812465277777</v>
      </c>
      <c r="J1449" s="3">
        <v>43037.477893518517</v>
      </c>
      <c r="K1449" cm="1">
        <f t="array" ref="K1449">sentimentCalc(C1449)</f>
        <v>4</v>
      </c>
      <c r="L1449" t="str" cm="1">
        <f t="array" ref="L1449">sentimentCategory(K1449)</f>
        <v>Positive</v>
      </c>
    </row>
    <row r="1450" spans="1:12" x14ac:dyDescent="0.25">
      <c r="A1450" t="s">
        <v>3034</v>
      </c>
      <c r="B1450" t="s">
        <v>3035</v>
      </c>
      <c r="C1450" t="str" cm="1">
        <f t="array" ref="C1450">CleanText(B1450)</f>
        <v>i just watched it like  mins ago it was so good tbh</v>
      </c>
      <c r="D1450">
        <v>0</v>
      </c>
      <c r="E1450">
        <v>0</v>
      </c>
      <c r="F1450" t="s">
        <v>10</v>
      </c>
      <c r="G1450" t="str" cm="1">
        <f t="array" ref="G1450">FindCountryName(F1450)</f>
        <v>None</v>
      </c>
      <c r="H1450" s="3">
        <v>45154.283842592595</v>
      </c>
      <c r="I1450" s="3">
        <v>45154.283842592595</v>
      </c>
      <c r="J1450" s="3">
        <v>44878.225740740738</v>
      </c>
      <c r="K1450" cm="1">
        <f t="array" ref="K1450">sentimentCalc(C1450)</f>
        <v>5</v>
      </c>
      <c r="L1450" t="str" cm="1">
        <f t="array" ref="L1450">sentimentCategory(K1450)</f>
        <v>Positive</v>
      </c>
    </row>
    <row r="1451" spans="1:12" x14ac:dyDescent="0.25">
      <c r="A1451" t="s">
        <v>81</v>
      </c>
      <c r="B1451" t="s">
        <v>2620</v>
      </c>
      <c r="C1451" t="str" cm="1">
        <f t="array" ref="C1451">CleanText(B1451)</f>
        <v>i just watched it today</v>
      </c>
      <c r="D1451">
        <v>2</v>
      </c>
      <c r="E1451">
        <v>0</v>
      </c>
      <c r="F1451" t="s">
        <v>10</v>
      </c>
      <c r="G1451" t="str" cm="1">
        <f t="array" ref="G1451">FindCountryName(F1451)</f>
        <v>None</v>
      </c>
      <c r="H1451" s="3">
        <v>45161.684571759259</v>
      </c>
      <c r="I1451" s="3">
        <v>45161.684560185182</v>
      </c>
      <c r="J1451" s="3">
        <v>44505.771064814813</v>
      </c>
      <c r="K1451" cm="1">
        <f t="array" ref="K1451">sentimentCalc(C1451)</f>
        <v>0</v>
      </c>
      <c r="L1451" t="str" cm="1">
        <f t="array" ref="L1451">sentimentCategory(K1451)</f>
        <v>Neutral</v>
      </c>
    </row>
    <row r="1452" spans="1:12" x14ac:dyDescent="0.25">
      <c r="A1452" t="s">
        <v>1965</v>
      </c>
      <c r="B1452" t="s">
        <v>4154</v>
      </c>
      <c r="C1452" t="str" cm="1">
        <f t="array" ref="C1452">CleanText(B1452)</f>
        <v>i just watched the movie yesterday and the end was tragic she turned into a human</v>
      </c>
      <c r="D1452">
        <v>2</v>
      </c>
      <c r="E1452">
        <v>0</v>
      </c>
      <c r="F1452" t="s">
        <v>10</v>
      </c>
      <c r="G1452" t="str" cm="1">
        <f t="array" ref="G1452">FindCountryName(F1452)</f>
        <v>None</v>
      </c>
      <c r="H1452" s="3">
        <v>45142.483796296299</v>
      </c>
      <c r="I1452" s="3">
        <v>45142.483796296299</v>
      </c>
      <c r="J1452" s="3">
        <v>45030.590358796297</v>
      </c>
      <c r="K1452" cm="1">
        <f t="array" ref="K1452">sentimentCalc(C1452)</f>
        <v>-2</v>
      </c>
      <c r="L1452" t="str" cm="1">
        <f t="array" ref="L1452">sentimentCategory(K1452)</f>
        <v>Negative</v>
      </c>
    </row>
    <row r="1453" spans="1:12" x14ac:dyDescent="0.25">
      <c r="A1453" t="s">
        <v>1444</v>
      </c>
      <c r="B1453" t="s">
        <v>1555</v>
      </c>
      <c r="C1453" t="str" cm="1">
        <f t="array" ref="C1453">CleanText(B1453)</f>
        <v>i just watched this why was it better then i thought</v>
      </c>
      <c r="D1453">
        <v>1</v>
      </c>
      <c r="E1453">
        <v>0</v>
      </c>
      <c r="F1453" t="s">
        <v>10</v>
      </c>
      <c r="G1453" t="str" cm="1">
        <f t="array" ref="G1453">FindCountryName(F1453)</f>
        <v>None</v>
      </c>
      <c r="H1453" s="3">
        <v>45214.418842592589</v>
      </c>
      <c r="I1453" s="3">
        <v>45214.418842592589</v>
      </c>
      <c r="J1453" s="3">
        <v>45075.536134259259</v>
      </c>
      <c r="K1453" cm="1">
        <f t="array" ref="K1453">sentimentCalc(C1453)</f>
        <v>2</v>
      </c>
      <c r="L1453" t="str" cm="1">
        <f t="array" ref="L1453">sentimentCategory(K1453)</f>
        <v>Positive</v>
      </c>
    </row>
    <row r="1454" spans="1:12" x14ac:dyDescent="0.25">
      <c r="A1454" t="s">
        <v>116</v>
      </c>
      <c r="B1454" t="s">
        <v>3537</v>
      </c>
      <c r="C1454" t="str" cm="1">
        <f t="array" ref="C1454">CleanText(B1454)</f>
        <v>i just went to see barbie at the movie theater and i dare to say it was the greatest movie released in  alongside the mario bros movie margot robbie and ryan gosling were outstanding and i really love the message the movie tries to convey totally worth it you better see it asap youll be blown away</v>
      </c>
      <c r="D1454">
        <v>7</v>
      </c>
      <c r="E1454">
        <v>1</v>
      </c>
      <c r="F1454" t="s">
        <v>10</v>
      </c>
      <c r="G1454" t="str" cm="1">
        <f t="array" ref="G1454">FindCountryName(F1454)</f>
        <v>None</v>
      </c>
      <c r="H1454" s="3">
        <v>45147.704432870371</v>
      </c>
      <c r="I1454" s="3">
        <v>45147.704432870371</v>
      </c>
      <c r="J1454" s="3">
        <v>43816.505439814813</v>
      </c>
      <c r="K1454" cm="1">
        <f t="array" ref="K1454">sentimentCalc(C1454)</f>
        <v>15</v>
      </c>
      <c r="L1454" t="str" cm="1">
        <f t="array" ref="L1454">sentimentCategory(K1454)</f>
        <v>Positive</v>
      </c>
    </row>
    <row r="1455" spans="1:12" x14ac:dyDescent="0.25">
      <c r="A1455" t="s">
        <v>2216</v>
      </c>
      <c r="B1455" t="s">
        <v>3974</v>
      </c>
      <c r="C1455" t="str" cm="1">
        <f t="array" ref="C1455">CleanText(B1455)</f>
        <v>i just went yesterday to see this in brandon manitoba canada its a good movie</v>
      </c>
      <c r="D1455">
        <v>0</v>
      </c>
      <c r="E1455">
        <v>0</v>
      </c>
      <c r="F1455" t="s">
        <v>10</v>
      </c>
      <c r="G1455" t="str" cm="1">
        <f t="array" ref="G1455">FindCountryName(F1455)</f>
        <v>None</v>
      </c>
      <c r="H1455" s="3">
        <v>45144.114814814813</v>
      </c>
      <c r="I1455" s="3">
        <v>45144.114814814813</v>
      </c>
      <c r="J1455" s="3">
        <v>44976.308622685188</v>
      </c>
      <c r="K1455" cm="1">
        <f t="array" ref="K1455">sentimentCalc(C1455)</f>
        <v>3</v>
      </c>
      <c r="L1455" t="str" cm="1">
        <f t="array" ref="L1455">sentimentCategory(K1455)</f>
        <v>Positive</v>
      </c>
    </row>
    <row r="1456" spans="1:12" x14ac:dyDescent="0.25">
      <c r="A1456" t="s">
        <v>1580</v>
      </c>
      <c r="B1456" t="s">
        <v>1581</v>
      </c>
      <c r="C1456" t="str" cm="1">
        <f t="array" ref="C1456">CleanText(B1456)</f>
        <v>i kinda hate when ken start kenland</v>
      </c>
      <c r="D1456">
        <v>0</v>
      </c>
      <c r="E1456">
        <v>0</v>
      </c>
      <c r="F1456" t="s">
        <v>10</v>
      </c>
      <c r="G1456" t="str" cm="1">
        <f t="array" ref="G1456">FindCountryName(F1456)</f>
        <v>None</v>
      </c>
      <c r="H1456" s="3">
        <v>45213.16238425926</v>
      </c>
      <c r="I1456" s="3">
        <v>45213.16238425926</v>
      </c>
      <c r="J1456" s="3">
        <v>44210.057719907411</v>
      </c>
      <c r="K1456" cm="1">
        <f t="array" ref="K1456">sentimentCalc(C1456)</f>
        <v>-3</v>
      </c>
      <c r="L1456" t="str" cm="1">
        <f t="array" ref="L1456">sentimentCategory(K1456)</f>
        <v>Negative</v>
      </c>
    </row>
    <row r="1457" spans="1:12" x14ac:dyDescent="0.25">
      <c r="A1457" t="s">
        <v>304</v>
      </c>
      <c r="B1457" t="s">
        <v>3255</v>
      </c>
      <c r="C1457" t="str" cm="1">
        <f t="array" ref="C1457">CleanText(B1457)</f>
        <v>i knew it gonna come when aqua sing barbie it was just matter of time my boss at work say you should see the film i dont need to see all the film for this just the trailer is enoughim pretty heavy on scyfi and alternative universe with time travel and dimensional i love creating and writing scenario of what would be with tool at your disposal because im an observer and love investigate and writing scenario i become very good to predict future event by looking in the past for clues knowledge is power and information</v>
      </c>
      <c r="D1457">
        <v>0</v>
      </c>
      <c r="E1457">
        <v>0</v>
      </c>
      <c r="F1457" t="s">
        <v>10</v>
      </c>
      <c r="G1457" t="str" cm="1">
        <f t="array" ref="G1457">FindCountryName(F1457)</f>
        <v>None</v>
      </c>
      <c r="H1457" s="3">
        <v>45151.343958333331</v>
      </c>
      <c r="I1457" s="3">
        <v>45151.343958333331</v>
      </c>
      <c r="J1457" s="3">
        <v>42563.561712962961</v>
      </c>
      <c r="K1457" cm="1">
        <f t="array" ref="K1457">sentimentCalc(C1457)</f>
        <v>11</v>
      </c>
      <c r="L1457" t="str" cm="1">
        <f t="array" ref="L1457">sentimentCategory(K1457)</f>
        <v>Positive</v>
      </c>
    </row>
    <row r="1458" spans="1:12" x14ac:dyDescent="0.25">
      <c r="A1458" t="s">
        <v>2722</v>
      </c>
      <c r="B1458" t="s">
        <v>4281</v>
      </c>
      <c r="C1458" t="str" cm="1">
        <f t="array" ref="C1458">CleanText(B1458)</f>
        <v>i know for sure i will never watch this</v>
      </c>
      <c r="D1458">
        <v>5</v>
      </c>
      <c r="E1458">
        <v>0</v>
      </c>
      <c r="F1458" t="s">
        <v>4282</v>
      </c>
      <c r="G1458" t="str" cm="1">
        <f t="array" ref="G1458">FindCountryName(F1458)</f>
        <v>Bosnia and Herzegovina</v>
      </c>
      <c r="H1458" s="3">
        <v>45141.236539351848</v>
      </c>
      <c r="I1458" s="3">
        <v>45141.236539351848</v>
      </c>
      <c r="J1458" s="3">
        <v>40055.634074074071</v>
      </c>
      <c r="K1458" cm="1">
        <f t="array" ref="K1458">sentimentCalc(C1458)</f>
        <v>0</v>
      </c>
      <c r="L1458" t="str" cm="1">
        <f t="array" ref="L1458">sentimentCategory(K1458)</f>
        <v>Neutral</v>
      </c>
    </row>
    <row r="1459" spans="1:12" x14ac:dyDescent="0.25">
      <c r="A1459" t="s">
        <v>34</v>
      </c>
      <c r="B1459" t="s">
        <v>3149</v>
      </c>
      <c r="C1459" t="str" cm="1">
        <f t="array" ref="C1459">CleanText(B1459)</f>
        <v>i know what to watch when pornhub goes down</v>
      </c>
      <c r="D1459">
        <v>2</v>
      </c>
      <c r="E1459">
        <v>0</v>
      </c>
      <c r="F1459" t="s">
        <v>10</v>
      </c>
      <c r="G1459" t="str" cm="1">
        <f t="array" ref="G1459">FindCountryName(F1459)</f>
        <v>None</v>
      </c>
      <c r="H1459" s="3">
        <v>45152.672789351855</v>
      </c>
      <c r="I1459" s="3">
        <v>45152.672789351855</v>
      </c>
      <c r="J1459" s="3">
        <v>39365.682546296295</v>
      </c>
      <c r="K1459" cm="1">
        <f t="array" ref="K1459">sentimentCalc(C1459)</f>
        <v>0</v>
      </c>
      <c r="L1459" t="str" cm="1">
        <f t="array" ref="L1459">sentimentCategory(K1459)</f>
        <v>Neutral</v>
      </c>
    </row>
    <row r="1460" spans="1:12" x14ac:dyDescent="0.25">
      <c r="A1460" t="s">
        <v>3485</v>
      </c>
      <c r="B1460" t="s">
        <v>3486</v>
      </c>
      <c r="C1460" t="str" cm="1">
        <f t="array" ref="C1460">CleanText(B1460)</f>
        <v>i know youre mad about what i said about barbie you know ive just wanted to make you laughi am going to watch it just for you to show you that we can be silly im gonna do it only this time because i want just to see you happy</v>
      </c>
      <c r="D1460">
        <v>0</v>
      </c>
      <c r="E1460">
        <v>0</v>
      </c>
      <c r="F1460" t="s">
        <v>10</v>
      </c>
      <c r="G1460" t="str" cm="1">
        <f t="array" ref="G1460">FindCountryName(F1460)</f>
        <v>None</v>
      </c>
      <c r="H1460" s="3">
        <v>45148.384062500001</v>
      </c>
      <c r="I1460" s="3">
        <v>45148.384050925924</v>
      </c>
      <c r="J1460" s="3">
        <v>40772.598912037036</v>
      </c>
      <c r="K1460" cm="1">
        <f t="array" ref="K1460">sentimentCalc(C1460)</f>
        <v>0</v>
      </c>
      <c r="L1460" t="str" cm="1">
        <f t="array" ref="L1460">sentimentCategory(K1460)</f>
        <v>Neutral</v>
      </c>
    </row>
    <row r="1461" spans="1:12" x14ac:dyDescent="0.25">
      <c r="A1461" t="s">
        <v>122</v>
      </c>
      <c r="B1461" t="s">
        <v>1374</v>
      </c>
      <c r="C1461" t="str" cm="1">
        <f t="array" ref="C1461">CleanText(B1461)</f>
        <v>i like and love barbie you so slay</v>
      </c>
      <c r="D1461">
        <v>0</v>
      </c>
      <c r="E1461">
        <v>0</v>
      </c>
      <c r="F1461" t="s">
        <v>10</v>
      </c>
      <c r="G1461" t="str" cm="1">
        <f t="array" ref="G1461">FindCountryName(F1461)</f>
        <v>None</v>
      </c>
      <c r="H1461" s="3">
        <v>45236.420266203706</v>
      </c>
      <c r="I1461" s="3">
        <v>45236.420266203706</v>
      </c>
      <c r="J1461" s="3">
        <v>43058.137372685182</v>
      </c>
      <c r="K1461" cm="1">
        <f t="array" ref="K1461">sentimentCalc(C1461)</f>
        <v>5</v>
      </c>
      <c r="L1461" t="str" cm="1">
        <f t="array" ref="L1461">sentimentCategory(K1461)</f>
        <v>Positive</v>
      </c>
    </row>
    <row r="1462" spans="1:12" x14ac:dyDescent="0.25">
      <c r="A1462" t="s">
        <v>1433</v>
      </c>
      <c r="B1462" t="s">
        <v>1855</v>
      </c>
      <c r="C1462" t="str" cm="1">
        <f t="array" ref="C1462">CleanText(B1462)</f>
        <v>i like barbie</v>
      </c>
      <c r="D1462">
        <v>1</v>
      </c>
      <c r="E1462">
        <v>0</v>
      </c>
      <c r="F1462" t="s">
        <v>10</v>
      </c>
      <c r="G1462" t="str" cm="1">
        <f t="array" ref="G1462">FindCountryName(F1462)</f>
        <v>None</v>
      </c>
      <c r="H1462" s="3">
        <v>45190.722118055557</v>
      </c>
      <c r="I1462" s="3">
        <v>45190.722118055557</v>
      </c>
      <c r="J1462" s="3">
        <v>44779.480416666665</v>
      </c>
      <c r="K1462" cm="1">
        <f t="array" ref="K1462">sentimentCalc(C1462)</f>
        <v>2</v>
      </c>
      <c r="L1462" t="str" cm="1">
        <f t="array" ref="L1462">sentimentCategory(K1462)</f>
        <v>Positive</v>
      </c>
    </row>
    <row r="1463" spans="1:12" x14ac:dyDescent="0.25">
      <c r="A1463" t="s">
        <v>481</v>
      </c>
      <c r="B1463" t="s">
        <v>4386</v>
      </c>
      <c r="C1463" t="str" cm="1">
        <f t="array" ref="C1463">CleanText(B1463)</f>
        <v>i like barbie she so funny  and she good too</v>
      </c>
      <c r="D1463">
        <v>1</v>
      </c>
      <c r="E1463">
        <v>1</v>
      </c>
      <c r="F1463" t="s">
        <v>10</v>
      </c>
      <c r="G1463" t="str" cm="1">
        <f t="array" ref="G1463">FindCountryName(F1463)</f>
        <v>None</v>
      </c>
      <c r="H1463" s="3">
        <v>45140.516157407408</v>
      </c>
      <c r="I1463" s="3">
        <v>45140.516157407408</v>
      </c>
      <c r="J1463" s="3">
        <v>43393.308506944442</v>
      </c>
      <c r="K1463" cm="1">
        <f t="array" ref="K1463">sentimentCalc(C1463)</f>
        <v>9</v>
      </c>
      <c r="L1463" t="str" cm="1">
        <f t="array" ref="L1463">sentimentCategory(K1463)</f>
        <v>Positive</v>
      </c>
    </row>
    <row r="1464" spans="1:12" x14ac:dyDescent="0.25">
      <c r="A1464" t="s">
        <v>1193</v>
      </c>
      <c r="B1464" t="s">
        <v>3274</v>
      </c>
      <c r="C1464" t="str" cm="1">
        <f t="array" ref="C1464">CleanText(B1464)</f>
        <v>i like barbie</v>
      </c>
      <c r="D1464">
        <v>1</v>
      </c>
      <c r="E1464">
        <v>0</v>
      </c>
      <c r="F1464" t="s">
        <v>3211</v>
      </c>
      <c r="G1464" t="str" cm="1">
        <f t="array" ref="G1464">FindCountryName(F1464)</f>
        <v>Saudi Arabia</v>
      </c>
      <c r="H1464" s="3">
        <v>45150.917395833334</v>
      </c>
      <c r="I1464" s="3">
        <v>45150.917395833334</v>
      </c>
      <c r="J1464" s="3">
        <v>44488.590254629627</v>
      </c>
      <c r="K1464" cm="1">
        <f t="array" ref="K1464">sentimentCalc(C1464)</f>
        <v>2</v>
      </c>
      <c r="L1464" t="str" cm="1">
        <f t="array" ref="L1464">sentimentCategory(K1464)</f>
        <v>Positive</v>
      </c>
    </row>
    <row r="1465" spans="1:12" x14ac:dyDescent="0.25">
      <c r="A1465" t="s">
        <v>707</v>
      </c>
      <c r="B1465" t="s">
        <v>708</v>
      </c>
      <c r="C1465" t="str" cm="1">
        <f t="array" ref="C1465">CleanText(B1465)</f>
        <v>i like her hair in the car</v>
      </c>
      <c r="D1465">
        <v>0</v>
      </c>
      <c r="E1465">
        <v>0</v>
      </c>
      <c r="F1465" t="s">
        <v>10</v>
      </c>
      <c r="G1465" t="str" cm="1">
        <f t="array" ref="G1465">FindCountryName(F1465)</f>
        <v>None</v>
      </c>
      <c r="H1465" s="3">
        <v>45312.211631944447</v>
      </c>
      <c r="I1465" s="3">
        <v>45312.211631944447</v>
      </c>
      <c r="J1465" s="3">
        <v>44294.050891203704</v>
      </c>
      <c r="K1465" cm="1">
        <f t="array" ref="K1465">sentimentCalc(C1465)</f>
        <v>2</v>
      </c>
      <c r="L1465" t="str" cm="1">
        <f t="array" ref="L1465">sentimentCategory(K1465)</f>
        <v>Positive</v>
      </c>
    </row>
    <row r="1466" spans="1:12" x14ac:dyDescent="0.25">
      <c r="A1466" t="s">
        <v>3248</v>
      </c>
      <c r="B1466" t="s">
        <v>3249</v>
      </c>
      <c r="C1466" t="str" cm="1">
        <f t="array" ref="C1466">CleanText(B1466)</f>
        <v>i like it</v>
      </c>
      <c r="D1466">
        <v>0</v>
      </c>
      <c r="E1466">
        <v>0</v>
      </c>
      <c r="F1466" t="s">
        <v>10</v>
      </c>
      <c r="G1466" t="str" cm="1">
        <f t="array" ref="G1466">FindCountryName(F1466)</f>
        <v>None</v>
      </c>
      <c r="H1466" s="3">
        <v>45151.387615740743</v>
      </c>
      <c r="I1466" s="3">
        <v>45151.387615740743</v>
      </c>
      <c r="J1466" s="3">
        <v>43712.250497685185</v>
      </c>
      <c r="K1466" cm="1">
        <f t="array" ref="K1466">sentimentCalc(C1466)</f>
        <v>2</v>
      </c>
      <c r="L1466" t="str" cm="1">
        <f t="array" ref="L1466">sentimentCategory(K1466)</f>
        <v>Positive</v>
      </c>
    </row>
    <row r="1467" spans="1:12" x14ac:dyDescent="0.25">
      <c r="A1467" t="s">
        <v>322</v>
      </c>
      <c r="B1467" t="s">
        <v>1578</v>
      </c>
      <c r="C1467" t="str" cm="1">
        <f t="array" ref="C1467">CleanText(B1467)</f>
        <v>i like it</v>
      </c>
      <c r="D1467">
        <v>0</v>
      </c>
      <c r="E1467">
        <v>0</v>
      </c>
      <c r="F1467" t="s">
        <v>10</v>
      </c>
      <c r="G1467" t="str" cm="1">
        <f t="array" ref="G1467">FindCountryName(F1467)</f>
        <v>None</v>
      </c>
      <c r="H1467" s="3">
        <v>45213.388854166667</v>
      </c>
      <c r="I1467" s="3">
        <v>45213.388854166667</v>
      </c>
      <c r="J1467" s="3">
        <v>40815.239652777775</v>
      </c>
      <c r="K1467" cm="1">
        <f t="array" ref="K1467">sentimentCalc(C1467)</f>
        <v>2</v>
      </c>
      <c r="L1467" t="str" cm="1">
        <f t="array" ref="L1467">sentimentCategory(K1467)</f>
        <v>Positive</v>
      </c>
    </row>
    <row r="1468" spans="1:12" x14ac:dyDescent="0.25">
      <c r="A1468" t="s">
        <v>38</v>
      </c>
      <c r="B1468" t="s">
        <v>2197</v>
      </c>
      <c r="C1468" t="str" cm="1">
        <f t="array" ref="C1468">CleanText(B1468)</f>
        <v>i like the movie</v>
      </c>
      <c r="D1468">
        <v>0</v>
      </c>
      <c r="E1468">
        <v>0</v>
      </c>
      <c r="F1468" t="s">
        <v>10</v>
      </c>
      <c r="G1468" t="str" cm="1">
        <f t="array" ref="G1468">FindCountryName(F1468)</f>
        <v>None</v>
      </c>
      <c r="H1468" s="3">
        <v>45176.086747685185</v>
      </c>
      <c r="I1468" s="3">
        <v>45176.086736111109</v>
      </c>
      <c r="J1468" s="3">
        <v>45106.302604166667</v>
      </c>
      <c r="K1468" cm="1">
        <f t="array" ref="K1468">sentimentCalc(C1468)</f>
        <v>2</v>
      </c>
      <c r="L1468" t="str" cm="1">
        <f t="array" ref="L1468">sentimentCategory(K1468)</f>
        <v>Positive</v>
      </c>
    </row>
    <row r="1469" spans="1:12" x14ac:dyDescent="0.25">
      <c r="A1469" t="s">
        <v>2047</v>
      </c>
      <c r="B1469" t="s">
        <v>2048</v>
      </c>
      <c r="C1469" t="str" cm="1">
        <f t="array" ref="C1469">CleanText(B1469)</f>
        <v>i like the movie but i cried</v>
      </c>
      <c r="D1469">
        <v>0</v>
      </c>
      <c r="E1469">
        <v>0</v>
      </c>
      <c r="F1469" t="s">
        <v>10</v>
      </c>
      <c r="G1469" t="str" cm="1">
        <f t="array" ref="G1469">FindCountryName(F1469)</f>
        <v>None</v>
      </c>
      <c r="H1469" s="3">
        <v>45182.827384259261</v>
      </c>
      <c r="I1469" s="3">
        <v>45182.827384259261</v>
      </c>
      <c r="J1469" s="3">
        <v>42318.743171296293</v>
      </c>
      <c r="K1469" cm="1">
        <f t="array" ref="K1469">sentimentCalc(C1469)</f>
        <v>0</v>
      </c>
      <c r="L1469" t="str" cm="1">
        <f t="array" ref="L1469">sentimentCategory(K1469)</f>
        <v>Neutral</v>
      </c>
    </row>
    <row r="1470" spans="1:12" x14ac:dyDescent="0.25">
      <c r="A1470" t="s">
        <v>788</v>
      </c>
      <c r="B1470" t="s">
        <v>3213</v>
      </c>
      <c r="C1470" t="str" cm="1">
        <f t="array" ref="C1470">CleanText(B1470)</f>
        <v>i like the song of barbie i could dance i can dance hes so nice</v>
      </c>
      <c r="D1470">
        <v>0</v>
      </c>
      <c r="E1470">
        <v>0</v>
      </c>
      <c r="F1470" t="s">
        <v>10</v>
      </c>
      <c r="G1470" t="str" cm="1">
        <f t="array" ref="G1470">FindCountryName(F1470)</f>
        <v>None</v>
      </c>
      <c r="H1470" s="3">
        <v>45151.781180555554</v>
      </c>
      <c r="I1470" s="3">
        <v>45151.781180555554</v>
      </c>
      <c r="J1470" s="3">
        <v>41242.460706018515</v>
      </c>
      <c r="K1470" cm="1">
        <f t="array" ref="K1470">sentimentCalc(C1470)</f>
        <v>5</v>
      </c>
      <c r="L1470" t="str" cm="1">
        <f t="array" ref="L1470">sentimentCategory(K1470)</f>
        <v>Positive</v>
      </c>
    </row>
    <row r="1471" spans="1:12" x14ac:dyDescent="0.25">
      <c r="A1471" t="s">
        <v>462</v>
      </c>
      <c r="B1471" t="s">
        <v>3314</v>
      </c>
      <c r="C1471" t="str" cm="1">
        <f t="array" ref="C1471">CleanText(B1471)</f>
        <v>i like the video</v>
      </c>
      <c r="D1471">
        <v>1</v>
      </c>
      <c r="E1471">
        <v>0</v>
      </c>
      <c r="F1471" t="s">
        <v>10</v>
      </c>
      <c r="G1471" t="str" cm="1">
        <f t="array" ref="G1471">FindCountryName(F1471)</f>
        <v>None</v>
      </c>
      <c r="H1471" s="3">
        <v>45150.432974537034</v>
      </c>
      <c r="I1471" s="3">
        <v>45150.432974537034</v>
      </c>
      <c r="J1471" s="3">
        <v>41246.16510416667</v>
      </c>
      <c r="K1471" cm="1">
        <f t="array" ref="K1471">sentimentCalc(C1471)</f>
        <v>2</v>
      </c>
      <c r="L1471" t="str" cm="1">
        <f t="array" ref="L1471">sentimentCategory(K1471)</f>
        <v>Positive</v>
      </c>
    </row>
    <row r="1472" spans="1:12" x14ac:dyDescent="0.25">
      <c r="A1472" t="s">
        <v>1107</v>
      </c>
      <c r="B1472" t="s">
        <v>2527</v>
      </c>
      <c r="C1472" t="str" cm="1">
        <f t="array" ref="C1472">CleanText(B1472)</f>
        <v>i like this movie this movie is beautiful and so funn</v>
      </c>
      <c r="D1472">
        <v>1</v>
      </c>
      <c r="E1472">
        <v>0</v>
      </c>
      <c r="F1472" t="s">
        <v>10</v>
      </c>
      <c r="G1472" t="str" cm="1">
        <f t="array" ref="G1472">FindCountryName(F1472)</f>
        <v>None</v>
      </c>
      <c r="H1472" s="3">
        <v>45164.281631944446</v>
      </c>
      <c r="I1472" s="3">
        <v>45164.281631944446</v>
      </c>
      <c r="J1472" s="3">
        <v>41268.388333333336</v>
      </c>
      <c r="K1472" cm="1">
        <f t="array" ref="K1472">sentimentCalc(C1472)</f>
        <v>5</v>
      </c>
      <c r="L1472" t="str" cm="1">
        <f t="array" ref="L1472">sentimentCategory(K1472)</f>
        <v>Positive</v>
      </c>
    </row>
    <row r="1473" spans="1:12" x14ac:dyDescent="0.25">
      <c r="A1473" t="s">
        <v>624</v>
      </c>
      <c r="B1473" t="s">
        <v>1257</v>
      </c>
      <c r="C1473" t="str" cm="1">
        <f t="array" ref="C1473">CleanText(B1473)</f>
        <v>i like wednesday addams movi</v>
      </c>
      <c r="D1473">
        <v>1</v>
      </c>
      <c r="E1473">
        <v>0</v>
      </c>
      <c r="F1473" t="s">
        <v>10</v>
      </c>
      <c r="G1473" t="str" cm="1">
        <f t="array" ref="G1473">FindCountryName(F1473)</f>
        <v>None</v>
      </c>
      <c r="H1473" s="3">
        <v>45265.359791666669</v>
      </c>
      <c r="I1473" s="3">
        <v>45265.359791666669</v>
      </c>
      <c r="J1473" s="3">
        <v>44552.520821759259</v>
      </c>
      <c r="K1473" cm="1">
        <f t="array" ref="K1473">sentimentCalc(C1473)</f>
        <v>2</v>
      </c>
      <c r="L1473" t="str" cm="1">
        <f t="array" ref="L1473">sentimentCategory(K1473)</f>
        <v>Positive</v>
      </c>
    </row>
    <row r="1474" spans="1:12" x14ac:dyDescent="0.25">
      <c r="A1474" t="s">
        <v>11</v>
      </c>
      <c r="B1474" t="s">
        <v>12</v>
      </c>
      <c r="C1474" t="str" cm="1">
        <f t="array" ref="C1474">CleanText(B1474)</f>
        <v>i liked the dancing hippo</v>
      </c>
      <c r="D1474">
        <v>0</v>
      </c>
      <c r="E1474">
        <v>0</v>
      </c>
      <c r="F1474" t="s">
        <v>10</v>
      </c>
      <c r="G1474" t="str" cm="1">
        <f t="array" ref="G1474">FindCountryName(F1474)</f>
        <v>None</v>
      </c>
      <c r="H1474" s="3">
        <v>45350.814988425926</v>
      </c>
      <c r="I1474" s="3">
        <v>45350.814988425926</v>
      </c>
      <c r="J1474" s="3">
        <v>45284.003275462965</v>
      </c>
      <c r="K1474" cm="1">
        <f t="array" ref="K1474">sentimentCalc(C1474)</f>
        <v>2</v>
      </c>
      <c r="L1474" t="str" cm="1">
        <f t="array" ref="L1474">sentimentCategory(K1474)</f>
        <v>Positive</v>
      </c>
    </row>
    <row r="1475" spans="1:12" x14ac:dyDescent="0.25">
      <c r="A1475" t="s">
        <v>1110</v>
      </c>
      <c r="B1475" t="s">
        <v>1111</v>
      </c>
      <c r="C1475" t="str" cm="1">
        <f t="array" ref="C1475">CleanText(B1475)</f>
        <v>i liked the movie but i want to know why are all the children at the little girls school wearing black or only dark colors</v>
      </c>
      <c r="D1475">
        <v>0</v>
      </c>
      <c r="E1475">
        <v>0</v>
      </c>
      <c r="F1475" t="s">
        <v>227</v>
      </c>
      <c r="G1475" t="str" cm="1">
        <f t="array" ref="G1475">FindCountryName(F1475)</f>
        <v>United States of America (the)</v>
      </c>
      <c r="H1475" s="3">
        <v>45288.588275462964</v>
      </c>
      <c r="I1475" s="3">
        <v>45288.588275462964</v>
      </c>
      <c r="J1475" s="3">
        <v>39403.752824074072</v>
      </c>
      <c r="K1475" cm="1">
        <f t="array" ref="K1475">sentimentCalc(C1475)</f>
        <v>3</v>
      </c>
      <c r="L1475" t="str" cm="1">
        <f t="array" ref="L1475">sentimentCategory(K1475)</f>
        <v>Positive</v>
      </c>
    </row>
    <row r="1476" spans="1:12" x14ac:dyDescent="0.25">
      <c r="A1476" t="s">
        <v>960</v>
      </c>
      <c r="B1476" t="s">
        <v>961</v>
      </c>
      <c r="C1476" t="str" cm="1">
        <f t="array" ref="C1476">CleanText(B1476)</f>
        <v>i liked very much</v>
      </c>
      <c r="D1476">
        <v>0</v>
      </c>
      <c r="E1476">
        <v>0</v>
      </c>
      <c r="F1476" t="s">
        <v>10</v>
      </c>
      <c r="G1476" t="str" cm="1">
        <f t="array" ref="G1476">FindCountryName(F1476)</f>
        <v>None</v>
      </c>
      <c r="H1476" s="3">
        <v>45299.256053240744</v>
      </c>
      <c r="I1476" s="3">
        <v>45299.256053240744</v>
      </c>
      <c r="J1476" s="3">
        <v>44701.638726851852</v>
      </c>
      <c r="K1476" cm="1">
        <f t="array" ref="K1476">sentimentCalc(C1476)</f>
        <v>2</v>
      </c>
      <c r="L1476" t="str" cm="1">
        <f t="array" ref="L1476">sentimentCategory(K1476)</f>
        <v>Positive</v>
      </c>
    </row>
    <row r="1477" spans="1:12" x14ac:dyDescent="0.25">
      <c r="A1477" t="s">
        <v>90</v>
      </c>
      <c r="B1477" t="s">
        <v>782</v>
      </c>
      <c r="C1477" t="str" cm="1">
        <f t="array" ref="C1477">CleanText(B1477)</f>
        <v>i like</v>
      </c>
      <c r="D1477">
        <v>0</v>
      </c>
      <c r="E1477">
        <v>0</v>
      </c>
      <c r="F1477" t="s">
        <v>10</v>
      </c>
      <c r="G1477" t="str" cm="1">
        <f t="array" ref="G1477">FindCountryName(F1477)</f>
        <v>None</v>
      </c>
      <c r="H1477" s="3">
        <v>45308.295046296298</v>
      </c>
      <c r="I1477" s="3">
        <v>45308.295046296298</v>
      </c>
      <c r="J1477" s="3">
        <v>44335.481261574074</v>
      </c>
      <c r="K1477" cm="1">
        <f t="array" ref="K1477">sentimentCalc(C1477)</f>
        <v>2</v>
      </c>
      <c r="L1477" t="str" cm="1">
        <f t="array" ref="L1477">sentimentCategory(K1477)</f>
        <v>Positive</v>
      </c>
    </row>
    <row r="1478" spans="1:12" x14ac:dyDescent="0.25">
      <c r="A1478" t="s">
        <v>1016</v>
      </c>
      <c r="B1478" t="s">
        <v>2495</v>
      </c>
      <c r="C1478" t="str" cm="1">
        <f t="array" ref="C1478">CleanText(B1478)</f>
        <v>i literally saw it tonight and all i can say is it was amaazing</v>
      </c>
      <c r="D1478">
        <v>7</v>
      </c>
      <c r="E1478">
        <v>3</v>
      </c>
      <c r="F1478" t="s">
        <v>10</v>
      </c>
      <c r="G1478" t="str" cm="1">
        <f t="array" ref="G1478">FindCountryName(F1478)</f>
        <v>None</v>
      </c>
      <c r="H1478" s="3">
        <v>45164.997696759259</v>
      </c>
      <c r="I1478" s="3">
        <v>45164.997696759259</v>
      </c>
      <c r="J1478" s="3">
        <v>44631.983124999999</v>
      </c>
      <c r="K1478" cm="1">
        <f t="array" ref="K1478">sentimentCalc(C1478)</f>
        <v>0</v>
      </c>
      <c r="L1478" t="str" cm="1">
        <f t="array" ref="L1478">sentimentCategory(K1478)</f>
        <v>Neutral</v>
      </c>
    </row>
    <row r="1479" spans="1:12" x14ac:dyDescent="0.25">
      <c r="A1479" t="s">
        <v>1405</v>
      </c>
      <c r="B1479" t="s">
        <v>2938</v>
      </c>
      <c r="C1479" t="str" cm="1">
        <f t="array" ref="C1479">CleanText(B1479)</f>
        <v>i lost  iq points after watching the movie</v>
      </c>
      <c r="D1479">
        <v>1</v>
      </c>
      <c r="E1479">
        <v>0</v>
      </c>
      <c r="F1479" t="s">
        <v>10</v>
      </c>
      <c r="G1479" t="str" cm="1">
        <f t="array" ref="G1479">FindCountryName(F1479)</f>
        <v>None</v>
      </c>
      <c r="H1479" s="3">
        <v>45155.662106481483</v>
      </c>
      <c r="I1479" s="3">
        <v>45155.662106481483</v>
      </c>
      <c r="J1479" s="3">
        <v>39939.435949074075</v>
      </c>
      <c r="K1479" cm="1">
        <f t="array" ref="K1479">sentimentCalc(C1479)</f>
        <v>-3</v>
      </c>
      <c r="L1479" t="str" cm="1">
        <f t="array" ref="L1479">sentimentCategory(K1479)</f>
        <v>Negative</v>
      </c>
    </row>
    <row r="1480" spans="1:12" x14ac:dyDescent="0.25">
      <c r="A1480" t="s">
        <v>878</v>
      </c>
      <c r="B1480" t="s">
        <v>2022</v>
      </c>
      <c r="C1480" t="str" cm="1">
        <f t="array" ref="C1480">CleanText(B1480)</f>
        <v>i love</v>
      </c>
      <c r="D1480">
        <v>0</v>
      </c>
      <c r="E1480">
        <v>0</v>
      </c>
      <c r="F1480" t="s">
        <v>10</v>
      </c>
      <c r="G1480" t="str" cm="1">
        <f t="array" ref="G1480">FindCountryName(F1480)</f>
        <v>None</v>
      </c>
      <c r="H1480" s="3">
        <v>45184.189733796295</v>
      </c>
      <c r="I1480" s="3">
        <v>45184.189733796295</v>
      </c>
      <c r="J1480" s="3">
        <v>44195.246458333335</v>
      </c>
      <c r="K1480" cm="1">
        <f t="array" ref="K1480">sentimentCalc(C1480)</f>
        <v>3</v>
      </c>
      <c r="L1480" t="str" cm="1">
        <f t="array" ref="L1480">sentimentCategory(K1480)</f>
        <v>Positive</v>
      </c>
    </row>
    <row r="1481" spans="1:12" x14ac:dyDescent="0.25">
      <c r="A1481" t="s">
        <v>152</v>
      </c>
      <c r="B1481" t="s">
        <v>2553</v>
      </c>
      <c r="C1481" t="str" cm="1">
        <f t="array" ref="C1481">CleanText(B1481)</f>
        <v>i love babie</v>
      </c>
      <c r="D1481">
        <v>0</v>
      </c>
      <c r="E1481">
        <v>0</v>
      </c>
      <c r="F1481" t="s">
        <v>10</v>
      </c>
      <c r="G1481" t="str" cm="1">
        <f t="array" ref="G1481">FindCountryName(F1481)</f>
        <v>None</v>
      </c>
      <c r="H1481" s="3">
        <v>45163.558969907404</v>
      </c>
      <c r="I1481" s="3">
        <v>45163.558969907404</v>
      </c>
      <c r="J1481" s="3">
        <v>42772.712083333332</v>
      </c>
      <c r="K1481" cm="1">
        <f t="array" ref="K1481">sentimentCalc(C1481)</f>
        <v>3</v>
      </c>
      <c r="L1481" t="str" cm="1">
        <f t="array" ref="L1481">sentimentCategory(K1481)</f>
        <v>Positive</v>
      </c>
    </row>
    <row r="1482" spans="1:12" x14ac:dyDescent="0.25">
      <c r="A1482" t="s">
        <v>1819</v>
      </c>
      <c r="B1482" t="s">
        <v>1820</v>
      </c>
      <c r="C1482" t="str" cm="1">
        <f t="array" ref="C1482">CleanText(B1482)</f>
        <v>i love barbie</v>
      </c>
      <c r="D1482">
        <v>1</v>
      </c>
      <c r="E1482">
        <v>1</v>
      </c>
      <c r="F1482" t="s">
        <v>10</v>
      </c>
      <c r="G1482" t="str" cm="1">
        <f t="array" ref="G1482">FindCountryName(F1482)</f>
        <v>None</v>
      </c>
      <c r="H1482" s="3">
        <v>45192.613078703704</v>
      </c>
      <c r="I1482" s="3">
        <v>45192.613078703704</v>
      </c>
      <c r="J1482" s="3">
        <v>45018.490208333336</v>
      </c>
      <c r="K1482" cm="1">
        <f t="array" ref="K1482">sentimentCalc(C1482)</f>
        <v>3</v>
      </c>
      <c r="L1482" t="str" cm="1">
        <f t="array" ref="L1482">sentimentCategory(K1482)</f>
        <v>Positive</v>
      </c>
    </row>
    <row r="1483" spans="1:12" x14ac:dyDescent="0.25">
      <c r="A1483" t="s">
        <v>1706</v>
      </c>
      <c r="B1483" t="s">
        <v>1707</v>
      </c>
      <c r="C1483" t="str" cm="1">
        <f t="array" ref="C1483">CleanText(B1483)</f>
        <v>i love barbie</v>
      </c>
      <c r="D1483">
        <v>0</v>
      </c>
      <c r="E1483">
        <v>0</v>
      </c>
      <c r="F1483" t="s">
        <v>227</v>
      </c>
      <c r="G1483" t="str" cm="1">
        <f t="array" ref="G1483">FindCountryName(F1483)</f>
        <v>United States of America (the)</v>
      </c>
      <c r="H1483" s="3">
        <v>45200.900358796294</v>
      </c>
      <c r="I1483" s="3">
        <v>45200.900358796294</v>
      </c>
      <c r="J1483" s="3">
        <v>44526.765520833331</v>
      </c>
      <c r="K1483" cm="1">
        <f t="array" ref="K1483">sentimentCalc(C1483)</f>
        <v>3</v>
      </c>
      <c r="L1483" t="str" cm="1">
        <f t="array" ref="L1483">sentimentCategory(K1483)</f>
        <v>Positive</v>
      </c>
    </row>
    <row r="1484" spans="1:12" x14ac:dyDescent="0.25">
      <c r="A1484" t="s">
        <v>126</v>
      </c>
      <c r="B1484" t="s">
        <v>4408</v>
      </c>
      <c r="C1484" t="str" cm="1">
        <f t="array" ref="C1484">CleanText(B1484)</f>
        <v>i love barbie</v>
      </c>
      <c r="D1484">
        <v>0</v>
      </c>
      <c r="E1484">
        <v>1</v>
      </c>
      <c r="F1484" t="s">
        <v>10</v>
      </c>
      <c r="G1484" t="str" cm="1">
        <f t="array" ref="G1484">FindCountryName(F1484)</f>
        <v>None</v>
      </c>
      <c r="H1484" s="3">
        <v>45140.432592592595</v>
      </c>
      <c r="I1484" s="3">
        <v>45140.432592592595</v>
      </c>
      <c r="J1484" s="3">
        <v>44208.029108796298</v>
      </c>
      <c r="K1484" cm="1">
        <f t="array" ref="K1484">sentimentCalc(C1484)</f>
        <v>3</v>
      </c>
      <c r="L1484" t="str" cm="1">
        <f t="array" ref="L1484">sentimentCategory(K1484)</f>
        <v>Positive</v>
      </c>
    </row>
    <row r="1485" spans="1:12" x14ac:dyDescent="0.25">
      <c r="A1485" t="s">
        <v>169</v>
      </c>
      <c r="B1485" t="s">
        <v>2233</v>
      </c>
      <c r="C1485" t="str" cm="1">
        <f t="array" ref="C1485">CleanText(B1485)</f>
        <v>i love barbie</v>
      </c>
      <c r="D1485">
        <v>0</v>
      </c>
      <c r="E1485">
        <v>0</v>
      </c>
      <c r="F1485" t="s">
        <v>10</v>
      </c>
      <c r="G1485" t="str" cm="1">
        <f t="array" ref="G1485">FindCountryName(F1485)</f>
        <v>None</v>
      </c>
      <c r="H1485" s="3">
        <v>45175.292337962965</v>
      </c>
      <c r="I1485" s="3">
        <v>45175.292337962965</v>
      </c>
      <c r="J1485" s="3">
        <v>43786.628113425926</v>
      </c>
      <c r="K1485" cm="1">
        <f t="array" ref="K1485">sentimentCalc(C1485)</f>
        <v>3</v>
      </c>
      <c r="L1485" t="str" cm="1">
        <f t="array" ref="L1485">sentimentCategory(K1485)</f>
        <v>Positive</v>
      </c>
    </row>
    <row r="1486" spans="1:12" x14ac:dyDescent="0.25">
      <c r="A1486" t="s">
        <v>555</v>
      </c>
      <c r="B1486" t="s">
        <v>2782</v>
      </c>
      <c r="C1486" t="str" cm="1">
        <f t="array" ref="C1486">CleanText(B1486)</f>
        <v>i love barbie  me avalina hi barbie and ken</v>
      </c>
      <c r="D1486">
        <v>0</v>
      </c>
      <c r="E1486">
        <v>0</v>
      </c>
      <c r="F1486" t="s">
        <v>10</v>
      </c>
      <c r="G1486" t="str" cm="1">
        <f t="array" ref="G1486">FindCountryName(F1486)</f>
        <v>None</v>
      </c>
      <c r="H1486" s="3">
        <v>45158.029409722221</v>
      </c>
      <c r="I1486" s="3">
        <v>45158.029409722221</v>
      </c>
      <c r="J1486" s="3">
        <v>44337.096886574072</v>
      </c>
      <c r="K1486" cm="1">
        <f t="array" ref="K1486">sentimentCalc(C1486)</f>
        <v>3</v>
      </c>
      <c r="L1486" t="str" cm="1">
        <f t="array" ref="L1486">sentimentCategory(K1486)</f>
        <v>Positive</v>
      </c>
    </row>
    <row r="1487" spans="1:12" x14ac:dyDescent="0.25">
      <c r="A1487" t="s">
        <v>41</v>
      </c>
      <c r="B1487" t="s">
        <v>42</v>
      </c>
      <c r="C1487" t="str" cm="1">
        <f t="array" ref="C1487">CleanText(B1487)</f>
        <v>i love barbie  my nemse is taha bouria</v>
      </c>
      <c r="D1487">
        <v>0</v>
      </c>
      <c r="E1487">
        <v>0</v>
      </c>
      <c r="F1487" t="s">
        <v>10</v>
      </c>
      <c r="G1487" t="str" cm="1">
        <f t="array" ref="G1487">FindCountryName(F1487)</f>
        <v>None</v>
      </c>
      <c r="H1487" s="3">
        <v>45346.430636574078</v>
      </c>
      <c r="I1487" s="3">
        <v>45346.430636574078</v>
      </c>
      <c r="J1487" s="3">
        <v>45346.430613425924</v>
      </c>
      <c r="K1487" cm="1">
        <f t="array" ref="K1487">sentimentCalc(C1487)</f>
        <v>3</v>
      </c>
      <c r="L1487" t="str" cm="1">
        <f t="array" ref="L1487">sentimentCategory(K1487)</f>
        <v>Positive</v>
      </c>
    </row>
    <row r="1488" spans="1:12" x14ac:dyDescent="0.25">
      <c r="A1488" t="s">
        <v>201</v>
      </c>
      <c r="B1488" t="s">
        <v>2230</v>
      </c>
      <c r="C1488" t="str" cm="1">
        <f t="array" ref="C1488">CleanText(B1488)</f>
        <v>i love barbie</v>
      </c>
      <c r="D1488">
        <v>0</v>
      </c>
      <c r="E1488">
        <v>0</v>
      </c>
      <c r="F1488" t="s">
        <v>10</v>
      </c>
      <c r="G1488" t="str" cm="1">
        <f t="array" ref="G1488">FindCountryName(F1488)</f>
        <v>None</v>
      </c>
      <c r="H1488" s="3">
        <v>45175.322071759256</v>
      </c>
      <c r="I1488" s="3">
        <v>45175.322071759256</v>
      </c>
      <c r="J1488" s="3">
        <v>45155.937118055554</v>
      </c>
      <c r="K1488" cm="1">
        <f t="array" ref="K1488">sentimentCalc(C1488)</f>
        <v>3</v>
      </c>
      <c r="L1488" t="str" cm="1">
        <f t="array" ref="L1488">sentimentCategory(K1488)</f>
        <v>Positive</v>
      </c>
    </row>
    <row r="1489" spans="1:12" x14ac:dyDescent="0.25">
      <c r="A1489" t="s">
        <v>387</v>
      </c>
      <c r="B1489" t="s">
        <v>2516</v>
      </c>
      <c r="C1489" t="str" cm="1">
        <f t="array" ref="C1489">CleanText(B1489)</f>
        <v>i love barbie and i am going to the barbie movie on sunday</v>
      </c>
      <c r="D1489">
        <v>1</v>
      </c>
      <c r="E1489">
        <v>0</v>
      </c>
      <c r="F1489" t="s">
        <v>10</v>
      </c>
      <c r="G1489" t="str" cm="1">
        <f t="array" ref="G1489">FindCountryName(F1489)</f>
        <v>None</v>
      </c>
      <c r="H1489" s="3">
        <v>45164.597222222219</v>
      </c>
      <c r="I1489" s="3">
        <v>45164.597222222219</v>
      </c>
      <c r="J1489" s="3">
        <v>44155.428842592592</v>
      </c>
      <c r="K1489" cm="1">
        <f t="array" ref="K1489">sentimentCalc(C1489)</f>
        <v>3</v>
      </c>
      <c r="L1489" t="str" cm="1">
        <f t="array" ref="L1489">sentimentCategory(K1489)</f>
        <v>Positive</v>
      </c>
    </row>
    <row r="1490" spans="1:12" x14ac:dyDescent="0.25">
      <c r="A1490" t="s">
        <v>1112</v>
      </c>
      <c r="B1490" t="s">
        <v>3941</v>
      </c>
      <c r="C1490" t="str" cm="1">
        <f t="array" ref="C1490">CleanText(B1490)</f>
        <v>i love barbie and ken</v>
      </c>
      <c r="D1490">
        <v>0</v>
      </c>
      <c r="E1490">
        <v>0</v>
      </c>
      <c r="F1490" t="s">
        <v>10</v>
      </c>
      <c r="G1490" t="str" cm="1">
        <f t="array" ref="G1490">FindCountryName(F1490)</f>
        <v>None</v>
      </c>
      <c r="H1490" s="3">
        <v>45144.346377314818</v>
      </c>
      <c r="I1490" s="3">
        <v>45144.346377314818</v>
      </c>
      <c r="J1490" s="3">
        <v>43047.510405092595</v>
      </c>
      <c r="K1490" cm="1">
        <f t="array" ref="K1490">sentimentCalc(C1490)</f>
        <v>3</v>
      </c>
      <c r="L1490" t="str" cm="1">
        <f t="array" ref="L1490">sentimentCategory(K1490)</f>
        <v>Positive</v>
      </c>
    </row>
    <row r="1491" spans="1:12" x14ac:dyDescent="0.25">
      <c r="A1491" t="s">
        <v>4039</v>
      </c>
      <c r="B1491" t="s">
        <v>4040</v>
      </c>
      <c r="C1491" t="str" cm="1">
        <f t="array" ref="C1491">CleanText(B1491)</f>
        <v>i love barbie from childhood</v>
      </c>
      <c r="D1491">
        <v>0</v>
      </c>
      <c r="E1491">
        <v>0</v>
      </c>
      <c r="F1491" t="s">
        <v>10</v>
      </c>
      <c r="G1491" t="str" cm="1">
        <f t="array" ref="G1491">FindCountryName(F1491)</f>
        <v>None</v>
      </c>
      <c r="H1491" s="3">
        <v>45143.460428240738</v>
      </c>
      <c r="I1491" s="3">
        <v>45143.460428240738</v>
      </c>
      <c r="J1491" s="3">
        <v>45095.174571759257</v>
      </c>
      <c r="K1491" cm="1">
        <f t="array" ref="K1491">sentimentCalc(C1491)</f>
        <v>3</v>
      </c>
      <c r="L1491" t="str" cm="1">
        <f t="array" ref="L1491">sentimentCategory(K1491)</f>
        <v>Positive</v>
      </c>
    </row>
    <row r="1492" spans="1:12" x14ac:dyDescent="0.25">
      <c r="A1492" t="s">
        <v>45</v>
      </c>
      <c r="B1492" t="s">
        <v>46</v>
      </c>
      <c r="C1492" t="str" cm="1">
        <f t="array" ref="C1492">CleanText(B1492)</f>
        <v>i love barbie girl  my nemse is taha bouriya lm from moroco</v>
      </c>
      <c r="D1492">
        <v>0</v>
      </c>
      <c r="E1492">
        <v>0</v>
      </c>
      <c r="F1492" t="s">
        <v>10</v>
      </c>
      <c r="G1492" t="str" cm="1">
        <f t="array" ref="G1492">FindCountryName(F1492)</f>
        <v>None</v>
      </c>
      <c r="H1492" s="3">
        <v>45345.726226851853</v>
      </c>
      <c r="I1492" s="3">
        <v>45345.726226851853</v>
      </c>
      <c r="J1492" s="3">
        <v>45282.417013888888</v>
      </c>
      <c r="K1492" cm="1">
        <f t="array" ref="K1492">sentimentCalc(C1492)</f>
        <v>3</v>
      </c>
      <c r="L1492" t="str" cm="1">
        <f t="array" ref="L1492">sentimentCategory(K1492)</f>
        <v>Positive</v>
      </c>
    </row>
    <row r="1493" spans="1:12" x14ac:dyDescent="0.25">
      <c r="A1493" t="s">
        <v>79</v>
      </c>
      <c r="B1493" t="s">
        <v>2536</v>
      </c>
      <c r="C1493" t="str" cm="1">
        <f t="array" ref="C1493">CleanText(B1493)</f>
        <v>i love barbie i been a fan of her  years</v>
      </c>
      <c r="D1493">
        <v>0</v>
      </c>
      <c r="E1493">
        <v>0</v>
      </c>
      <c r="F1493" t="s">
        <v>10</v>
      </c>
      <c r="G1493" t="str" cm="1">
        <f t="array" ref="G1493">FindCountryName(F1493)</f>
        <v>None</v>
      </c>
      <c r="H1493" s="3">
        <v>45163.926932870374</v>
      </c>
      <c r="I1493" s="3">
        <v>45163.926932870374</v>
      </c>
      <c r="J1493" s="3">
        <v>44696.529699074075</v>
      </c>
      <c r="K1493" cm="1">
        <f t="array" ref="K1493">sentimentCalc(C1493)</f>
        <v>6</v>
      </c>
      <c r="L1493" t="str" cm="1">
        <f t="array" ref="L1493">sentimentCategory(K1493)</f>
        <v>Positive</v>
      </c>
    </row>
    <row r="1494" spans="1:12" x14ac:dyDescent="0.25">
      <c r="A1494" t="s">
        <v>158</v>
      </c>
      <c r="B1494" t="s">
        <v>3429</v>
      </c>
      <c r="C1494" t="str" cm="1">
        <f t="array" ref="C1494">CleanText(B1494)</f>
        <v>i love barbie i want big</v>
      </c>
      <c r="D1494">
        <v>0</v>
      </c>
      <c r="E1494">
        <v>0</v>
      </c>
      <c r="F1494" t="s">
        <v>10</v>
      </c>
      <c r="G1494" t="str" cm="1">
        <f t="array" ref="G1494">FindCountryName(F1494)</f>
        <v>None</v>
      </c>
      <c r="H1494" s="3">
        <v>45149.014837962961</v>
      </c>
      <c r="I1494" s="3">
        <v>45149.014837962961</v>
      </c>
      <c r="J1494" s="3">
        <v>44888.667488425926</v>
      </c>
      <c r="K1494" cm="1">
        <f t="array" ref="K1494">sentimentCalc(C1494)</f>
        <v>5</v>
      </c>
      <c r="L1494" t="str" cm="1">
        <f t="array" ref="L1494">sentimentCategory(K1494)</f>
        <v>Positive</v>
      </c>
    </row>
    <row r="1495" spans="1:12" x14ac:dyDescent="0.25">
      <c r="A1495" t="s">
        <v>2306</v>
      </c>
      <c r="B1495" t="s">
        <v>2307</v>
      </c>
      <c r="C1495" t="str" cm="1">
        <f t="array" ref="C1495">CleanText(B1495)</f>
        <v>i love barbie i watch it so amazing</v>
      </c>
      <c r="D1495">
        <v>1</v>
      </c>
      <c r="E1495">
        <v>0</v>
      </c>
      <c r="F1495" t="s">
        <v>10</v>
      </c>
      <c r="G1495" t="str" cm="1">
        <f t="array" ref="G1495">FindCountryName(F1495)</f>
        <v>None</v>
      </c>
      <c r="H1495" s="3">
        <v>45172.291435185187</v>
      </c>
      <c r="I1495" s="3">
        <v>45172.291435185187</v>
      </c>
      <c r="J1495" s="3">
        <v>44987.317418981482</v>
      </c>
      <c r="K1495" cm="1">
        <f t="array" ref="K1495">sentimentCalc(C1495)</f>
        <v>7</v>
      </c>
      <c r="L1495" t="str" cm="1">
        <f t="array" ref="L1495">sentimentCategory(K1495)</f>
        <v>Positive</v>
      </c>
    </row>
    <row r="1496" spans="1:12" x14ac:dyDescent="0.25">
      <c r="A1496" t="s">
        <v>120</v>
      </c>
      <c r="B1496" t="s">
        <v>4082</v>
      </c>
      <c r="C1496" t="str" cm="1">
        <f t="array" ref="C1496">CleanText(B1496)</f>
        <v>i love barbie i watched the movie it great</v>
      </c>
      <c r="D1496">
        <v>0</v>
      </c>
      <c r="E1496">
        <v>0</v>
      </c>
      <c r="F1496" t="s">
        <v>10</v>
      </c>
      <c r="G1496" t="str" cm="1">
        <f t="array" ref="G1496">FindCountryName(F1496)</f>
        <v>None</v>
      </c>
      <c r="H1496" s="3">
        <v>45143.050486111111</v>
      </c>
      <c r="I1496" s="3">
        <v>45143.050486111111</v>
      </c>
      <c r="J1496" s="3">
        <v>45052.328773148147</v>
      </c>
      <c r="K1496" cm="1">
        <f t="array" ref="K1496">sentimentCalc(C1496)</f>
        <v>6</v>
      </c>
      <c r="L1496" t="str" cm="1">
        <f t="array" ref="L1496">sentimentCategory(K1496)</f>
        <v>Positive</v>
      </c>
    </row>
    <row r="1497" spans="1:12" x14ac:dyDescent="0.25">
      <c r="A1497" t="s">
        <v>1008</v>
      </c>
      <c r="B1497" t="s">
        <v>4170</v>
      </c>
      <c r="C1497" t="str" cm="1">
        <f t="array" ref="C1497">CleanText(B1497)</f>
        <v>i love barbie its the best movie</v>
      </c>
      <c r="D1497">
        <v>1</v>
      </c>
      <c r="E1497">
        <v>1</v>
      </c>
      <c r="F1497" t="s">
        <v>10</v>
      </c>
      <c r="G1497" t="str" cm="1">
        <f t="array" ref="G1497">FindCountryName(F1497)</f>
        <v>None</v>
      </c>
      <c r="H1497" s="3">
        <v>45142.338472222225</v>
      </c>
      <c r="I1497" s="3">
        <v>45142.338472222225</v>
      </c>
      <c r="J1497" s="3">
        <v>45066.340983796297</v>
      </c>
      <c r="K1497" cm="1">
        <f t="array" ref="K1497">sentimentCalc(C1497)</f>
        <v>6</v>
      </c>
      <c r="L1497" t="str" cm="1">
        <f t="array" ref="L1497">sentimentCategory(K1497)</f>
        <v>Positive</v>
      </c>
    </row>
    <row r="1498" spans="1:12" x14ac:dyDescent="0.25">
      <c r="A1498" t="s">
        <v>534</v>
      </c>
      <c r="B1498" t="s">
        <v>1530</v>
      </c>
      <c r="C1498" t="str" cm="1">
        <f t="array" ref="C1498">CleanText(B1498)</f>
        <v>i love barbie movie because when i was a young kid i was a barbie girl</v>
      </c>
      <c r="D1498">
        <v>0</v>
      </c>
      <c r="E1498">
        <v>0</v>
      </c>
      <c r="F1498" t="s">
        <v>10</v>
      </c>
      <c r="G1498" t="str" cm="1">
        <f t="array" ref="G1498">FindCountryName(F1498)</f>
        <v>None</v>
      </c>
      <c r="H1498" s="3">
        <v>45215.728449074071</v>
      </c>
      <c r="I1498" s="3">
        <v>45215.728449074071</v>
      </c>
      <c r="J1498" s="3">
        <v>44790.180821759262</v>
      </c>
      <c r="K1498" cm="1">
        <f t="array" ref="K1498">sentimentCalc(C1498)</f>
        <v>3</v>
      </c>
      <c r="L1498" t="str" cm="1">
        <f t="array" ref="L1498">sentimentCategory(K1498)</f>
        <v>Positive</v>
      </c>
    </row>
    <row r="1499" spans="1:12" x14ac:dyDescent="0.25">
      <c r="A1499" t="s">
        <v>2671</v>
      </c>
      <c r="B1499" t="s">
        <v>3806</v>
      </c>
      <c r="C1499" t="str" cm="1">
        <f t="array" ref="C1499">CleanText(B1499)</f>
        <v>i love barbie movie but bahbi movies turned in pakistan so sad i amwhy are you not coming in cinemas pakistani</v>
      </c>
      <c r="D1499">
        <v>0</v>
      </c>
      <c r="E1499">
        <v>0</v>
      </c>
      <c r="F1499" t="s">
        <v>10</v>
      </c>
      <c r="G1499" t="str" cm="1">
        <f t="array" ref="G1499">FindCountryName(F1499)</f>
        <v>None</v>
      </c>
      <c r="H1499" s="3">
        <v>45145.358749999999</v>
      </c>
      <c r="I1499" s="3">
        <v>45145.358749999999</v>
      </c>
      <c r="J1499" s="3">
        <v>41106.723935185182</v>
      </c>
      <c r="K1499" cm="1">
        <f t="array" ref="K1499">sentimentCalc(C1499)</f>
        <v>1</v>
      </c>
      <c r="L1499" t="str" cm="1">
        <f t="array" ref="L1499">sentimentCategory(K1499)</f>
        <v>Positive</v>
      </c>
    </row>
    <row r="1500" spans="1:12" x14ac:dyDescent="0.25">
      <c r="A1500" t="s">
        <v>372</v>
      </c>
      <c r="B1500" t="s">
        <v>2271</v>
      </c>
      <c r="C1500" t="str" cm="1">
        <f t="array" ref="C1500">CleanText(B1500)</f>
        <v>i love barbie movie im going to dress like barbie and my sister and we going to the cinema for now im so excited</v>
      </c>
      <c r="D1500">
        <v>1</v>
      </c>
      <c r="E1500">
        <v>0</v>
      </c>
      <c r="F1500" t="s">
        <v>10</v>
      </c>
      <c r="G1500" t="str" cm="1">
        <f t="array" ref="G1500">FindCountryName(F1500)</f>
        <v>None</v>
      </c>
      <c r="H1500" s="3">
        <v>45173.123923611114</v>
      </c>
      <c r="I1500" s="3">
        <v>45173.123923611114</v>
      </c>
      <c r="J1500" s="3">
        <v>43100.219050925924</v>
      </c>
      <c r="K1500" cm="1">
        <f t="array" ref="K1500">sentimentCalc(C1500)</f>
        <v>8</v>
      </c>
      <c r="L1500" t="str" cm="1">
        <f t="array" ref="L1500">sentimentCategory(K1500)</f>
        <v>Positive</v>
      </c>
    </row>
    <row r="1501" spans="1:12" x14ac:dyDescent="0.25">
      <c r="A1501" t="s">
        <v>853</v>
      </c>
      <c r="B1501" t="s">
        <v>854</v>
      </c>
      <c r="C1501" t="str" cm="1">
        <f t="array" ref="C1501">CleanText(B1501)</f>
        <v>i love barbie movies very much and enjoy watching them</v>
      </c>
      <c r="D1501">
        <v>4</v>
      </c>
      <c r="E1501">
        <v>0</v>
      </c>
      <c r="F1501" t="s">
        <v>10</v>
      </c>
      <c r="G1501" t="str" cm="1">
        <f t="array" ref="G1501">FindCountryName(F1501)</f>
        <v>None</v>
      </c>
      <c r="H1501" s="3">
        <v>45300.193969907406</v>
      </c>
      <c r="I1501" s="3">
        <v>45300.193969907406</v>
      </c>
      <c r="J1501" s="3">
        <v>42934.405671296299</v>
      </c>
      <c r="K1501" cm="1">
        <f t="array" ref="K1501">sentimentCalc(C1501)</f>
        <v>5</v>
      </c>
      <c r="L1501" t="str" cm="1">
        <f t="array" ref="L1501">sentimentCategory(K1501)</f>
        <v>Positive</v>
      </c>
    </row>
    <row r="1502" spans="1:12" x14ac:dyDescent="0.25">
      <c r="A1502" t="s">
        <v>2365</v>
      </c>
      <c r="B1502" t="s">
        <v>2366</v>
      </c>
      <c r="C1502" t="str" cm="1">
        <f t="array" ref="C1502">CleanText(B1502)</f>
        <v>i love barbie so i build a house like barbie nothing to explain extordinary great and best for for all ages i promise i wont have any questions or concerns about it</v>
      </c>
      <c r="D1502">
        <v>0</v>
      </c>
      <c r="E1502">
        <v>0</v>
      </c>
      <c r="F1502" t="s">
        <v>10</v>
      </c>
      <c r="G1502" t="str" cm="1">
        <f t="array" ref="G1502">FindCountryName(F1502)</f>
        <v>None</v>
      </c>
      <c r="H1502" s="3">
        <v>45170.421249999999</v>
      </c>
      <c r="I1502" s="3">
        <v>45170.421249999999</v>
      </c>
      <c r="J1502" s="3">
        <v>45074.327094907407</v>
      </c>
      <c r="K1502" cm="1">
        <f t="array" ref="K1502">sentimentCalc(C1502)</f>
        <v>12</v>
      </c>
      <c r="L1502" t="str" cm="1">
        <f t="array" ref="L1502">sentimentCategory(K1502)</f>
        <v>Positive</v>
      </c>
    </row>
    <row r="1503" spans="1:12" x14ac:dyDescent="0.25">
      <c r="A1503" t="s">
        <v>83</v>
      </c>
      <c r="B1503" t="s">
        <v>2384</v>
      </c>
      <c r="C1503" t="str" cm="1">
        <f t="array" ref="C1503">CleanText(B1503)</f>
        <v>i love barbie so much</v>
      </c>
      <c r="D1503">
        <v>1</v>
      </c>
      <c r="E1503">
        <v>0</v>
      </c>
      <c r="F1503" t="s">
        <v>10</v>
      </c>
      <c r="G1503" t="str" cm="1">
        <f t="array" ref="G1503">FindCountryName(F1503)</f>
        <v>None</v>
      </c>
      <c r="H1503" s="3">
        <v>45169.541018518517</v>
      </c>
      <c r="I1503" s="3">
        <v>45169.541018518517</v>
      </c>
      <c r="J1503" s="3">
        <v>44940.101793981485</v>
      </c>
      <c r="K1503" cm="1">
        <f t="array" ref="K1503">sentimentCalc(C1503)</f>
        <v>3</v>
      </c>
      <c r="L1503" t="str" cm="1">
        <f t="array" ref="L1503">sentimentCategory(K1503)</f>
        <v>Positive</v>
      </c>
    </row>
    <row r="1504" spans="1:12" x14ac:dyDescent="0.25">
      <c r="A1504" t="s">
        <v>3819</v>
      </c>
      <c r="B1504" t="s">
        <v>3820</v>
      </c>
      <c r="C1504" t="str" cm="1">
        <f t="array" ref="C1504">CleanText(B1504)</f>
        <v>i love barbie yay</v>
      </c>
      <c r="D1504">
        <v>0</v>
      </c>
      <c r="E1504">
        <v>0</v>
      </c>
      <c r="F1504" t="s">
        <v>10</v>
      </c>
      <c r="G1504" t="str" cm="1">
        <f t="array" ref="G1504">FindCountryName(F1504)</f>
        <v>None</v>
      </c>
      <c r="H1504" s="3">
        <v>45145.284930555557</v>
      </c>
      <c r="I1504" s="3">
        <v>45145.284930555557</v>
      </c>
      <c r="J1504" s="3">
        <v>45077.343194444446</v>
      </c>
      <c r="K1504" cm="1">
        <f t="array" ref="K1504">sentimentCalc(C1504)</f>
        <v>3</v>
      </c>
      <c r="L1504" t="str" cm="1">
        <f t="array" ref="L1504">sentimentCategory(K1504)</f>
        <v>Positive</v>
      </c>
    </row>
    <row r="1505" spans="1:12" x14ac:dyDescent="0.25">
      <c r="A1505" t="s">
        <v>197</v>
      </c>
      <c r="B1505" t="s">
        <v>4288</v>
      </c>
      <c r="C1505" t="str" cm="1">
        <f t="array" ref="C1505">CleanText(B1505)</f>
        <v>i love barbie had a great childhood with them the film was just poorly written they seem to think women are stupid and men are useless and we should all be separateeveryone is sad in both barbie land and the real world and the sadness issue doesnt get resolvedthe only time the barbies and kens are in love and get along happy is during the patriarchy which is confusing because it gives the opposite message of what the film wantedbut the set and costume design were great aswell as the actors were entertainingthe this movie wasnt made for you comment still pending</v>
      </c>
      <c r="D1505">
        <v>0</v>
      </c>
      <c r="E1505">
        <v>0</v>
      </c>
      <c r="F1505" t="s">
        <v>10</v>
      </c>
      <c r="G1505" t="str" cm="1">
        <f t="array" ref="G1505">FindCountryName(F1505)</f>
        <v>None</v>
      </c>
      <c r="H1505" s="3">
        <v>45141.211226851854</v>
      </c>
      <c r="I1505" s="3">
        <v>45141.211226851854</v>
      </c>
      <c r="J1505" s="3">
        <v>42193.855810185189</v>
      </c>
      <c r="K1505" cm="1">
        <f t="array" ref="K1505">sentimentCalc(C1505)</f>
        <v>7</v>
      </c>
      <c r="L1505" t="str" cm="1">
        <f t="array" ref="L1505">sentimentCategory(K1505)</f>
        <v>Positive</v>
      </c>
    </row>
    <row r="1506" spans="1:12" x14ac:dyDescent="0.25">
      <c r="A1506" t="s">
        <v>1685</v>
      </c>
      <c r="B1506" t="s">
        <v>1686</v>
      </c>
      <c r="C1506" t="str" cm="1">
        <f t="array" ref="C1506">CleanText(B1506)</f>
        <v>i love barbie</v>
      </c>
      <c r="D1506">
        <v>0</v>
      </c>
      <c r="E1506">
        <v>0</v>
      </c>
      <c r="F1506" t="s">
        <v>10</v>
      </c>
      <c r="G1506" t="str" cm="1">
        <f t="array" ref="G1506">FindCountryName(F1506)</f>
        <v>None</v>
      </c>
      <c r="H1506" s="3">
        <v>45202.000057870369</v>
      </c>
      <c r="I1506" s="3">
        <v>45202.000057870369</v>
      </c>
      <c r="J1506" s="3">
        <v>44225.142835648148</v>
      </c>
      <c r="K1506" cm="1">
        <f t="array" ref="K1506">sentimentCalc(C1506)</f>
        <v>3</v>
      </c>
      <c r="L1506" t="str" cm="1">
        <f t="array" ref="L1506">sentimentCategory(K1506)</f>
        <v>Positive</v>
      </c>
    </row>
    <row r="1507" spans="1:12" x14ac:dyDescent="0.25">
      <c r="A1507" t="s">
        <v>1114</v>
      </c>
      <c r="B1507" t="s">
        <v>1600</v>
      </c>
      <c r="C1507" t="str" cm="1">
        <f t="array" ref="C1507">CleanText(B1507)</f>
        <v>i love barbies</v>
      </c>
      <c r="D1507">
        <v>0</v>
      </c>
      <c r="E1507">
        <v>0</v>
      </c>
      <c r="F1507" t="s">
        <v>10</v>
      </c>
      <c r="G1507" t="str" cm="1">
        <f t="array" ref="G1507">FindCountryName(F1507)</f>
        <v>None</v>
      </c>
      <c r="H1507" s="3">
        <v>45209.45585648148</v>
      </c>
      <c r="I1507" s="3">
        <v>45209.45585648148</v>
      </c>
      <c r="J1507" s="3">
        <v>41906.871898148151</v>
      </c>
      <c r="K1507" cm="1">
        <f t="array" ref="K1507">sentimentCalc(C1507)</f>
        <v>3</v>
      </c>
      <c r="L1507" t="str" cm="1">
        <f t="array" ref="L1507">sentimentCategory(K1507)</f>
        <v>Positive</v>
      </c>
    </row>
    <row r="1508" spans="1:12" x14ac:dyDescent="0.25">
      <c r="A1508" t="s">
        <v>1433</v>
      </c>
      <c r="B1508" t="s">
        <v>1856</v>
      </c>
      <c r="C1508" t="str" cm="1">
        <f t="array" ref="C1508">CleanText(B1508)</f>
        <v>i love barbies dreamland</v>
      </c>
      <c r="D1508">
        <v>1</v>
      </c>
      <c r="E1508">
        <v>0</v>
      </c>
      <c r="F1508" t="s">
        <v>10</v>
      </c>
      <c r="G1508" t="str" cm="1">
        <f t="array" ref="G1508">FindCountryName(F1508)</f>
        <v>None</v>
      </c>
      <c r="H1508" s="3">
        <v>45190.721134259256</v>
      </c>
      <c r="I1508" s="3">
        <v>45190.721134259256</v>
      </c>
      <c r="J1508" s="3">
        <v>44779.480416666665</v>
      </c>
      <c r="K1508" cm="1">
        <f t="array" ref="K1508">sentimentCalc(C1508)</f>
        <v>3</v>
      </c>
      <c r="L1508" t="str" cm="1">
        <f t="array" ref="L1508">sentimentCategory(K1508)</f>
        <v>Positive</v>
      </c>
    </row>
    <row r="1509" spans="1:12" x14ac:dyDescent="0.25">
      <c r="A1509" t="s">
        <v>45</v>
      </c>
      <c r="B1509" t="s">
        <v>53</v>
      </c>
      <c r="C1509" t="str" cm="1">
        <f t="array" ref="C1509">CleanText(B1509)</f>
        <v>i love barbie</v>
      </c>
      <c r="D1509">
        <v>0</v>
      </c>
      <c r="E1509">
        <v>0</v>
      </c>
      <c r="F1509" t="s">
        <v>10</v>
      </c>
      <c r="G1509" t="str" cm="1">
        <f t="array" ref="G1509">FindCountryName(F1509)</f>
        <v>None</v>
      </c>
      <c r="H1509" s="3">
        <v>45344.45385416667</v>
      </c>
      <c r="I1509" s="3">
        <v>45344.45385416667</v>
      </c>
      <c r="J1509" s="3">
        <v>45282.417013888888</v>
      </c>
      <c r="K1509" cm="1">
        <f t="array" ref="K1509">sentimentCalc(C1509)</f>
        <v>3</v>
      </c>
      <c r="L1509" t="str" cm="1">
        <f t="array" ref="L1509">sentimentCategory(K1509)</f>
        <v>Positive</v>
      </c>
    </row>
    <row r="1510" spans="1:12" x14ac:dyDescent="0.25">
      <c r="A1510" t="s">
        <v>2815</v>
      </c>
      <c r="B1510" t="s">
        <v>2816</v>
      </c>
      <c r="C1510" t="str" cm="1">
        <f t="array" ref="C1510">CleanText(B1510)</f>
        <v>i love barbie</v>
      </c>
      <c r="D1510">
        <v>0</v>
      </c>
      <c r="E1510">
        <v>0</v>
      </c>
      <c r="F1510" t="s">
        <v>10</v>
      </c>
      <c r="G1510" t="str" cm="1">
        <f t="array" ref="G1510">FindCountryName(F1510)</f>
        <v>None</v>
      </c>
      <c r="H1510" s="3">
        <v>45157.530543981484</v>
      </c>
      <c r="I1510" s="3">
        <v>45157.530532407407</v>
      </c>
      <c r="J1510" s="3">
        <v>44864.05773148148</v>
      </c>
      <c r="K1510" cm="1">
        <f t="array" ref="K1510">sentimentCalc(C1510)</f>
        <v>3</v>
      </c>
      <c r="L1510" t="str" cm="1">
        <f t="array" ref="L1510">sentimentCategory(K1510)</f>
        <v>Positive</v>
      </c>
    </row>
    <row r="1511" spans="1:12" x14ac:dyDescent="0.25">
      <c r="A1511" t="s">
        <v>1100</v>
      </c>
      <c r="B1511" t="s">
        <v>3025</v>
      </c>
      <c r="C1511" t="str" cm="1">
        <f t="array" ref="C1511">CleanText(B1511)</f>
        <v>i love how barbie asks everybody do u guys think of dying white dis show is  years plus</v>
      </c>
      <c r="D1511">
        <v>1</v>
      </c>
      <c r="E1511">
        <v>3</v>
      </c>
      <c r="F1511" t="s">
        <v>10</v>
      </c>
      <c r="G1511" t="str" cm="1">
        <f t="array" ref="G1511">FindCountryName(F1511)</f>
        <v>None</v>
      </c>
      <c r="H1511" s="3">
        <v>45154.353460648148</v>
      </c>
      <c r="I1511" s="3">
        <v>45154.353460648148</v>
      </c>
      <c r="J1511" s="3">
        <v>44422.324201388888</v>
      </c>
      <c r="K1511" cm="1">
        <f t="array" ref="K1511">sentimentCalc(C1511)</f>
        <v>3</v>
      </c>
      <c r="L1511" t="str" cm="1">
        <f t="array" ref="L1511">sentimentCategory(K1511)</f>
        <v>Positive</v>
      </c>
    </row>
    <row r="1512" spans="1:12" x14ac:dyDescent="0.25">
      <c r="A1512" t="s">
        <v>3229</v>
      </c>
      <c r="B1512" t="s">
        <v>3230</v>
      </c>
      <c r="C1512" t="str" cm="1">
        <f t="array" ref="C1512">CleanText(B1512)</f>
        <v>i love how much conservatives hate this movie</v>
      </c>
      <c r="D1512">
        <v>5</v>
      </c>
      <c r="E1512">
        <v>0</v>
      </c>
      <c r="F1512" t="s">
        <v>10</v>
      </c>
      <c r="G1512" t="str" cm="1">
        <f t="array" ref="G1512">FindCountryName(F1512)</f>
        <v>None</v>
      </c>
      <c r="H1512" s="3">
        <v>45151.507430555554</v>
      </c>
      <c r="I1512" s="3">
        <v>45151.507430555554</v>
      </c>
      <c r="J1512" s="3">
        <v>40876.827048611114</v>
      </c>
      <c r="K1512" cm="1">
        <f t="array" ref="K1512">sentimentCalc(C1512)</f>
        <v>0</v>
      </c>
      <c r="L1512" t="str" cm="1">
        <f t="array" ref="L1512">sentimentCategory(K1512)</f>
        <v>Neutral</v>
      </c>
    </row>
    <row r="1513" spans="1:12" x14ac:dyDescent="0.25">
      <c r="A1513" t="s">
        <v>1105</v>
      </c>
      <c r="B1513" t="s">
        <v>4146</v>
      </c>
      <c r="C1513" t="str" cm="1">
        <f t="array" ref="C1513">CleanText(B1513)</f>
        <v>i love how she just floats because no one used the stairs as a kid</v>
      </c>
      <c r="D1513">
        <v>5</v>
      </c>
      <c r="E1513">
        <v>2</v>
      </c>
      <c r="F1513" t="s">
        <v>10</v>
      </c>
      <c r="G1513" t="str" cm="1">
        <f t="array" ref="G1513">FindCountryName(F1513)</f>
        <v>None</v>
      </c>
      <c r="H1513" s="3">
        <v>45142.5625</v>
      </c>
      <c r="I1513" s="3">
        <v>45142.5625</v>
      </c>
      <c r="J1513" s="3">
        <v>45131.841724537036</v>
      </c>
      <c r="K1513" cm="1">
        <f t="array" ref="K1513">sentimentCalc(C1513)</f>
        <v>2</v>
      </c>
      <c r="L1513" t="str" cm="1">
        <f t="array" ref="L1513">sentimentCategory(K1513)</f>
        <v>Positive</v>
      </c>
    </row>
    <row r="1514" spans="1:12" x14ac:dyDescent="0.25">
      <c r="A1514" t="s">
        <v>400</v>
      </c>
      <c r="B1514" t="s">
        <v>4419</v>
      </c>
      <c r="C1514" t="str" cm="1">
        <f t="array" ref="C1514">CleanText(B1514)</f>
        <v>i love how the shower didnt turn on</v>
      </c>
      <c r="D1514">
        <v>0</v>
      </c>
      <c r="E1514">
        <v>0</v>
      </c>
      <c r="F1514" t="s">
        <v>10</v>
      </c>
      <c r="G1514" t="str" cm="1">
        <f t="array" ref="G1514">FindCountryName(F1514)</f>
        <v>None</v>
      </c>
      <c r="H1514" s="3">
        <v>45140.377500000002</v>
      </c>
      <c r="I1514" s="3">
        <v>45140.377500000002</v>
      </c>
      <c r="J1514" s="3">
        <v>44715.341377314813</v>
      </c>
      <c r="K1514" cm="1">
        <f t="array" ref="K1514">sentimentCalc(C1514)</f>
        <v>3</v>
      </c>
      <c r="L1514" t="str" cm="1">
        <f t="array" ref="L1514">sentimentCategory(K1514)</f>
        <v>Positive</v>
      </c>
    </row>
    <row r="1515" spans="1:12" x14ac:dyDescent="0.25">
      <c r="A1515" t="s">
        <v>263</v>
      </c>
      <c r="B1515" t="s">
        <v>264</v>
      </c>
      <c r="C1515" t="str" cm="1">
        <f t="array" ref="C1515">CleanText(B1515)</f>
        <v>i love how the whole movie is about how men get more credit and recognition than women and the top comment of this video is doing just that</v>
      </c>
      <c r="D1515">
        <v>1</v>
      </c>
      <c r="E1515">
        <v>0</v>
      </c>
      <c r="F1515" t="s">
        <v>10</v>
      </c>
      <c r="G1515" t="str" cm="1">
        <f t="array" ref="G1515">FindCountryName(F1515)</f>
        <v>None</v>
      </c>
      <c r="H1515" s="3">
        <v>45323.357824074075</v>
      </c>
      <c r="I1515" s="3">
        <v>45323.357824074075</v>
      </c>
      <c r="J1515" s="3">
        <v>44894.474502314813</v>
      </c>
      <c r="K1515" cm="1">
        <f t="array" ref="K1515">sentimentCalc(C1515)</f>
        <v>5</v>
      </c>
      <c r="L1515" t="str" cm="1">
        <f t="array" ref="L1515">sentimentCategory(K1515)</f>
        <v>Positive</v>
      </c>
    </row>
    <row r="1516" spans="1:12" x14ac:dyDescent="0.25">
      <c r="A1516" t="s">
        <v>1421</v>
      </c>
      <c r="B1516" t="s">
        <v>1422</v>
      </c>
      <c r="C1516" t="str" cm="1">
        <f t="array" ref="C1516">CleanText(B1516)</f>
        <v>i love it</v>
      </c>
      <c r="D1516">
        <v>0</v>
      </c>
      <c r="E1516">
        <v>0</v>
      </c>
      <c r="F1516" t="s">
        <v>10</v>
      </c>
      <c r="G1516" t="str" cm="1">
        <f t="array" ref="G1516">FindCountryName(F1516)</f>
        <v>None</v>
      </c>
      <c r="H1516" s="3">
        <v>45231.386006944442</v>
      </c>
      <c r="I1516" s="3">
        <v>45231.386006944442</v>
      </c>
      <c r="J1516" s="3">
        <v>45034.529652777775</v>
      </c>
      <c r="K1516" cm="1">
        <f t="array" ref="K1516">sentimentCalc(C1516)</f>
        <v>3</v>
      </c>
      <c r="L1516" t="str" cm="1">
        <f t="array" ref="L1516">sentimentCategory(K1516)</f>
        <v>Positive</v>
      </c>
    </row>
    <row r="1517" spans="1:12" x14ac:dyDescent="0.25">
      <c r="A1517" t="s">
        <v>282</v>
      </c>
      <c r="B1517" t="s">
        <v>1679</v>
      </c>
      <c r="C1517" t="str" cm="1">
        <f t="array" ref="C1517">CleanText(B1517)</f>
        <v>i love it that the ruskies love this fllicgreatest example of the free world hahamy aunt had a vett like that</v>
      </c>
      <c r="D1517">
        <v>0</v>
      </c>
      <c r="E1517">
        <v>0</v>
      </c>
      <c r="F1517" t="s">
        <v>10</v>
      </c>
      <c r="G1517" t="str" cm="1">
        <f t="array" ref="G1517">FindCountryName(F1517)</f>
        <v>None</v>
      </c>
      <c r="H1517" s="3">
        <v>45202.75540509259</v>
      </c>
      <c r="I1517" s="3">
        <v>45202.75540509259</v>
      </c>
      <c r="J1517" s="3">
        <v>39058.627025462964</v>
      </c>
      <c r="K1517" cm="1">
        <f t="array" ref="K1517">sentimentCalc(C1517)</f>
        <v>9</v>
      </c>
      <c r="L1517" t="str" cm="1">
        <f t="array" ref="L1517">sentimentCategory(K1517)</f>
        <v>Positive</v>
      </c>
    </row>
    <row r="1518" spans="1:12" x14ac:dyDescent="0.25">
      <c r="A1518" t="s">
        <v>137</v>
      </c>
      <c r="B1518" t="s">
        <v>138</v>
      </c>
      <c r="C1518" t="str" cm="1">
        <f t="array" ref="C1518">CleanText(B1518)</f>
        <v>i love it</v>
      </c>
      <c r="D1518">
        <v>0</v>
      </c>
      <c r="E1518">
        <v>0</v>
      </c>
      <c r="F1518" t="s">
        <v>139</v>
      </c>
      <c r="G1518" t="str" cm="1">
        <f t="array" ref="G1518">FindCountryName(F1518)</f>
        <v>Turkey</v>
      </c>
      <c r="H1518" s="3">
        <v>45337.461562500001</v>
      </c>
      <c r="I1518" s="3">
        <v>45337.461562500001</v>
      </c>
      <c r="J1518" s="3">
        <v>42311.498680555553</v>
      </c>
      <c r="K1518" cm="1">
        <f t="array" ref="K1518">sentimentCalc(C1518)</f>
        <v>3</v>
      </c>
      <c r="L1518" t="str" cm="1">
        <f t="array" ref="L1518">sentimentCategory(K1518)</f>
        <v>Positive</v>
      </c>
    </row>
    <row r="1519" spans="1:12" x14ac:dyDescent="0.25">
      <c r="A1519" t="s">
        <v>2824</v>
      </c>
      <c r="B1519" t="s">
        <v>2825</v>
      </c>
      <c r="C1519" t="str" cm="1">
        <f t="array" ref="C1519">CleanText(B1519)</f>
        <v>i love iti watch it again and again</v>
      </c>
      <c r="D1519">
        <v>9</v>
      </c>
      <c r="E1519">
        <v>0</v>
      </c>
      <c r="F1519" t="s">
        <v>10</v>
      </c>
      <c r="G1519" t="str" cm="1">
        <f t="array" ref="G1519">FindCountryName(F1519)</f>
        <v>None</v>
      </c>
      <c r="H1519" s="3">
        <v>45157.143043981479</v>
      </c>
      <c r="I1519" s="3">
        <v>45157.143043981479</v>
      </c>
      <c r="J1519" s="3">
        <v>44074.192835648151</v>
      </c>
      <c r="K1519" cm="1">
        <f t="array" ref="K1519">sentimentCalc(C1519)</f>
        <v>3</v>
      </c>
      <c r="L1519" t="str" cm="1">
        <f t="array" ref="L1519">sentimentCategory(K1519)</f>
        <v>Positive</v>
      </c>
    </row>
    <row r="1520" spans="1:12" x14ac:dyDescent="0.25">
      <c r="A1520" t="s">
        <v>537</v>
      </c>
      <c r="B1520" t="s">
        <v>4142</v>
      </c>
      <c r="C1520" t="str" cm="1">
        <f t="array" ref="C1520">CleanText(B1520)</f>
        <v>i love it</v>
      </c>
      <c r="D1520">
        <v>0</v>
      </c>
      <c r="E1520">
        <v>0</v>
      </c>
      <c r="F1520" t="s">
        <v>10</v>
      </c>
      <c r="G1520" t="str" cm="1">
        <f t="array" ref="G1520">FindCountryName(F1520)</f>
        <v>None</v>
      </c>
      <c r="H1520" s="3">
        <v>45142.576921296299</v>
      </c>
      <c r="I1520" s="3">
        <v>45142.576921296299</v>
      </c>
      <c r="J1520" s="3">
        <v>43069.959467592591</v>
      </c>
      <c r="K1520" cm="1">
        <f t="array" ref="K1520">sentimentCalc(C1520)</f>
        <v>3</v>
      </c>
      <c r="L1520" t="str" cm="1">
        <f t="array" ref="L1520">sentimentCategory(K1520)</f>
        <v>Positive</v>
      </c>
    </row>
    <row r="1521" spans="1:12" x14ac:dyDescent="0.25">
      <c r="A1521" t="s">
        <v>569</v>
      </c>
      <c r="B1521" t="s">
        <v>2780</v>
      </c>
      <c r="C1521" t="str" cm="1">
        <f t="array" ref="C1521">CleanText(B1521)</f>
        <v>i love it</v>
      </c>
      <c r="D1521">
        <v>0</v>
      </c>
      <c r="E1521">
        <v>0</v>
      </c>
      <c r="F1521" t="s">
        <v>10</v>
      </c>
      <c r="G1521" t="str" cm="1">
        <f t="array" ref="G1521">FindCountryName(F1521)</f>
        <v>None</v>
      </c>
      <c r="H1521" s="3">
        <v>45158.055104166669</v>
      </c>
      <c r="I1521" s="3">
        <v>45158.055104166669</v>
      </c>
      <c r="J1521" s="3">
        <v>42750.976018518515</v>
      </c>
      <c r="K1521" cm="1">
        <f t="array" ref="K1521">sentimentCalc(C1521)</f>
        <v>3</v>
      </c>
      <c r="L1521" t="str" cm="1">
        <f t="array" ref="L1521">sentimentCategory(K1521)</f>
        <v>Positive</v>
      </c>
    </row>
    <row r="1522" spans="1:12" x14ac:dyDescent="0.25">
      <c r="A1522" t="s">
        <v>56</v>
      </c>
      <c r="B1522" t="s">
        <v>1074</v>
      </c>
      <c r="C1522" t="str" cm="1">
        <f t="array" ref="C1522">CleanText(B1522)</f>
        <v>i love love love this movie new favorite movie</v>
      </c>
      <c r="D1522">
        <v>0</v>
      </c>
      <c r="E1522">
        <v>0</v>
      </c>
      <c r="F1522" t="s">
        <v>10</v>
      </c>
      <c r="G1522" t="str" cm="1">
        <f t="array" ref="G1522">FindCountryName(F1522)</f>
        <v>None</v>
      </c>
      <c r="H1522" s="3">
        <v>45293.363854166666</v>
      </c>
      <c r="I1522" s="3">
        <v>45293.363854166666</v>
      </c>
      <c r="J1522" s="3">
        <v>41579.457407407404</v>
      </c>
      <c r="K1522" cm="1">
        <f t="array" ref="K1522">sentimentCalc(C1522)</f>
        <v>11</v>
      </c>
      <c r="L1522" t="str" cm="1">
        <f t="array" ref="L1522">sentimentCategory(K1522)</f>
        <v>Positive</v>
      </c>
    </row>
    <row r="1523" spans="1:12" x14ac:dyDescent="0.25">
      <c r="A1523" t="s">
        <v>1202</v>
      </c>
      <c r="B1523" t="s">
        <v>2916</v>
      </c>
      <c r="C1523" t="str" cm="1">
        <f t="array" ref="C1523">CleanText(B1523)</f>
        <v>i love playing with my barbie dolls thats how i learnt to pull the heads off the real ones and set fire to them</v>
      </c>
      <c r="D1523">
        <v>0</v>
      </c>
      <c r="E1523">
        <v>2</v>
      </c>
      <c r="F1523" t="s">
        <v>10</v>
      </c>
      <c r="G1523" t="str" cm="1">
        <f t="array" ref="G1523">FindCountryName(F1523)</f>
        <v>None</v>
      </c>
      <c r="H1523" s="3">
        <v>45155.947118055556</v>
      </c>
      <c r="I1523" s="3">
        <v>45155.947118055556</v>
      </c>
      <c r="J1523" s="3">
        <v>44492.678888888891</v>
      </c>
      <c r="K1523" cm="1">
        <f t="array" ref="K1523">sentimentCalc(C1523)</f>
        <v>1</v>
      </c>
      <c r="L1523" t="str" cm="1">
        <f t="array" ref="L1523">sentimentCategory(K1523)</f>
        <v>Positive</v>
      </c>
    </row>
    <row r="1524" spans="1:12" x14ac:dyDescent="0.25">
      <c r="A1524" t="s">
        <v>1008</v>
      </c>
      <c r="B1524" t="s">
        <v>1976</v>
      </c>
      <c r="C1524" t="str" cm="1">
        <f t="array" ref="C1524">CleanText(B1524)</f>
        <v>i love the barbie movie</v>
      </c>
      <c r="D1524">
        <v>0</v>
      </c>
      <c r="E1524">
        <v>0</v>
      </c>
      <c r="F1524" t="s">
        <v>10</v>
      </c>
      <c r="G1524" t="str" cm="1">
        <f t="array" ref="G1524">FindCountryName(F1524)</f>
        <v>None</v>
      </c>
      <c r="H1524" s="3">
        <v>45185.549733796295</v>
      </c>
      <c r="I1524" s="3">
        <v>45185.549733796295</v>
      </c>
      <c r="J1524" s="3">
        <v>42843.455254629633</v>
      </c>
      <c r="K1524" cm="1">
        <f t="array" ref="K1524">sentimentCalc(C1524)</f>
        <v>3</v>
      </c>
      <c r="L1524" t="str" cm="1">
        <f t="array" ref="L1524">sentimentCategory(K1524)</f>
        <v>Positive</v>
      </c>
    </row>
    <row r="1525" spans="1:12" x14ac:dyDescent="0.25">
      <c r="A1525" t="s">
        <v>354</v>
      </c>
      <c r="B1525" t="s">
        <v>1299</v>
      </c>
      <c r="C1525" t="str" cm="1">
        <f t="array" ref="C1525">CleanText(B1525)</f>
        <v>i love the barbie movie and im gonna get the marget robbie barbie doll and the ryan gosling ken dolls at ebay</v>
      </c>
      <c r="D1525">
        <v>4</v>
      </c>
      <c r="E1525">
        <v>0</v>
      </c>
      <c r="F1525" t="s">
        <v>10</v>
      </c>
      <c r="G1525" t="str" cm="1">
        <f t="array" ref="G1525">FindCountryName(F1525)</f>
        <v>None</v>
      </c>
      <c r="H1525" s="3">
        <v>45255.018113425926</v>
      </c>
      <c r="I1525" s="3">
        <v>45255.018113425926</v>
      </c>
      <c r="J1525" s="3">
        <v>43463.009027777778</v>
      </c>
      <c r="K1525" cm="1">
        <f t="array" ref="K1525">sentimentCalc(C1525)</f>
        <v>3</v>
      </c>
      <c r="L1525" t="str" cm="1">
        <f t="array" ref="L1525">sentimentCategory(K1525)</f>
        <v>Positive</v>
      </c>
    </row>
    <row r="1526" spans="1:12" x14ac:dyDescent="0.25">
      <c r="A1526" t="s">
        <v>105</v>
      </c>
      <c r="B1526" t="s">
        <v>3788</v>
      </c>
      <c r="C1526" t="str" cm="1">
        <f t="array" ref="C1526">CleanText(B1526)</f>
        <v>i love the barbie movie i want the dolls soooooooooo much because i am a kid</v>
      </c>
      <c r="D1526">
        <v>0</v>
      </c>
      <c r="E1526">
        <v>0</v>
      </c>
      <c r="F1526" t="s">
        <v>10</v>
      </c>
      <c r="G1526" t="str" cm="1">
        <f t="array" ref="G1526">FindCountryName(F1526)</f>
        <v>None</v>
      </c>
      <c r="H1526" s="3">
        <v>45145.484537037039</v>
      </c>
      <c r="I1526" s="3">
        <v>45145.484537037039</v>
      </c>
      <c r="J1526" s="3">
        <v>45098.411990740744</v>
      </c>
      <c r="K1526" cm="1">
        <f t="array" ref="K1526">sentimentCalc(C1526)</f>
        <v>4</v>
      </c>
      <c r="L1526" t="str" cm="1">
        <f t="array" ref="L1526">sentimentCategory(K1526)</f>
        <v>Positive</v>
      </c>
    </row>
    <row r="1527" spans="1:12" x14ac:dyDescent="0.25">
      <c r="A1527" t="s">
        <v>3485</v>
      </c>
      <c r="B1527" t="s">
        <v>4020</v>
      </c>
      <c r="C1527" t="str" cm="1">
        <f t="array" ref="C1527">CleanText(B1527)</f>
        <v>i love the barbie movies meaning about how we are all enough or should i say kenough</v>
      </c>
      <c r="D1527">
        <v>1</v>
      </c>
      <c r="E1527">
        <v>1</v>
      </c>
      <c r="F1527" t="s">
        <v>10</v>
      </c>
      <c r="G1527" t="str" cm="1">
        <f t="array" ref="G1527">FindCountryName(F1527)</f>
        <v>None</v>
      </c>
      <c r="H1527" s="3">
        <v>45143.618310185186</v>
      </c>
      <c r="I1527" s="3">
        <v>45143.618310185186</v>
      </c>
      <c r="J1527" s="3">
        <v>43960.662534722222</v>
      </c>
      <c r="K1527" cm="1">
        <f t="array" ref="K1527">sentimentCalc(C1527)</f>
        <v>3</v>
      </c>
      <c r="L1527" t="str" cm="1">
        <f t="array" ref="L1527">sentimentCategory(K1527)</f>
        <v>Positive</v>
      </c>
    </row>
    <row r="1528" spans="1:12" x14ac:dyDescent="0.25">
      <c r="A1528" t="s">
        <v>245</v>
      </c>
      <c r="B1528" t="s">
        <v>2292</v>
      </c>
      <c r="C1528" t="str" cm="1">
        <f t="array" ref="C1528">CleanText(B1528)</f>
        <v>i love the line humans only have one ending ideas live forever really hits you right there especially if youve studied philosophy like me</v>
      </c>
      <c r="D1528">
        <v>103</v>
      </c>
      <c r="E1528">
        <v>8</v>
      </c>
      <c r="F1528" t="s">
        <v>227</v>
      </c>
      <c r="G1528" t="str" cm="1">
        <f t="array" ref="G1528">FindCountryName(F1528)</f>
        <v>United States of America (the)</v>
      </c>
      <c r="H1528" s="3">
        <v>45172.622314814813</v>
      </c>
      <c r="I1528" s="3">
        <v>45173.384155092594</v>
      </c>
      <c r="J1528" s="3">
        <v>40797.709814814814</v>
      </c>
      <c r="K1528" cm="1">
        <f t="array" ref="K1528">sentimentCalc(C1528)</f>
        <v>5</v>
      </c>
      <c r="L1528" t="str" cm="1">
        <f t="array" ref="L1528">sentimentCategory(K1528)</f>
        <v>Positive</v>
      </c>
    </row>
    <row r="1529" spans="1:12" x14ac:dyDescent="0.25">
      <c r="A1529" t="s">
        <v>2322</v>
      </c>
      <c r="B1529" t="s">
        <v>2421</v>
      </c>
      <c r="C1529" t="str" cm="1">
        <f t="array" ref="C1529">CleanText(B1529)</f>
        <v>i love the look of barbie world i hope theres a second movie where they return to the barbie world its sooo much better</v>
      </c>
      <c r="D1529">
        <v>11</v>
      </c>
      <c r="E1529">
        <v>0</v>
      </c>
      <c r="F1529" t="s">
        <v>10</v>
      </c>
      <c r="G1529" t="str" cm="1">
        <f t="array" ref="G1529">FindCountryName(F1529)</f>
        <v>None</v>
      </c>
      <c r="H1529" s="3">
        <v>45167.980844907404</v>
      </c>
      <c r="I1529" s="3">
        <v>45167.980844907404</v>
      </c>
      <c r="J1529" s="3">
        <v>41549.936539351853</v>
      </c>
      <c r="K1529" cm="1">
        <f t="array" ref="K1529">sentimentCalc(C1529)</f>
        <v>7</v>
      </c>
      <c r="L1529" t="str" cm="1">
        <f t="array" ref="L1529">sentimentCategory(K1529)</f>
        <v>Positive</v>
      </c>
    </row>
    <row r="1530" spans="1:12" x14ac:dyDescent="0.25">
      <c r="A1530" t="s">
        <v>15</v>
      </c>
      <c r="B1530" t="s">
        <v>2695</v>
      </c>
      <c r="C1530" t="str" cm="1">
        <f t="array" ref="C1530">CleanText(B1530)</f>
        <v>i love the movie</v>
      </c>
      <c r="D1530">
        <v>0</v>
      </c>
      <c r="E1530">
        <v>0</v>
      </c>
      <c r="F1530" t="s">
        <v>10</v>
      </c>
      <c r="G1530" t="str" cm="1">
        <f t="array" ref="G1530">FindCountryName(F1530)</f>
        <v>None</v>
      </c>
      <c r="H1530" s="3">
        <v>45159.757685185185</v>
      </c>
      <c r="I1530" s="3">
        <v>45159.757685185185</v>
      </c>
      <c r="J1530" s="3">
        <v>42890.54241898148</v>
      </c>
      <c r="K1530" cm="1">
        <f t="array" ref="K1530">sentimentCalc(C1530)</f>
        <v>3</v>
      </c>
      <c r="L1530" t="str" cm="1">
        <f t="array" ref="L1530">sentimentCategory(K1530)</f>
        <v>Positive</v>
      </c>
    </row>
    <row r="1531" spans="1:12" x14ac:dyDescent="0.25">
      <c r="A1531" t="s">
        <v>156</v>
      </c>
      <c r="B1531" t="s">
        <v>1811</v>
      </c>
      <c r="C1531" t="str" cm="1">
        <f t="array" ref="C1531">CleanText(B1531)</f>
        <v>i love the movie</v>
      </c>
      <c r="D1531">
        <v>1</v>
      </c>
      <c r="E1531">
        <v>0</v>
      </c>
      <c r="F1531" t="s">
        <v>10</v>
      </c>
      <c r="G1531" t="str" cm="1">
        <f t="array" ref="G1531">FindCountryName(F1531)</f>
        <v>None</v>
      </c>
      <c r="H1531" s="3">
        <v>45193.515243055554</v>
      </c>
      <c r="I1531" s="3">
        <v>45193.515243055554</v>
      </c>
      <c r="J1531" s="3">
        <v>43415.532037037039</v>
      </c>
      <c r="K1531" cm="1">
        <f t="array" ref="K1531">sentimentCalc(C1531)</f>
        <v>3</v>
      </c>
      <c r="L1531" t="str" cm="1">
        <f t="array" ref="L1531">sentimentCategory(K1531)</f>
        <v>Positive</v>
      </c>
    </row>
    <row r="1532" spans="1:12" x14ac:dyDescent="0.25">
      <c r="A1532" t="s">
        <v>1176</v>
      </c>
      <c r="B1532" t="s">
        <v>2331</v>
      </c>
      <c r="C1532" t="str" cm="1">
        <f t="array" ref="C1532">CleanText(B1532)</f>
        <v>i love the part when barbie said to the villain do you bleed you will  truly one of the epic movie moments</v>
      </c>
      <c r="D1532">
        <v>60</v>
      </c>
      <c r="E1532">
        <v>5</v>
      </c>
      <c r="F1532" t="s">
        <v>10</v>
      </c>
      <c r="G1532" t="str" cm="1">
        <f t="array" ref="G1532">FindCountryName(F1532)</f>
        <v>None</v>
      </c>
      <c r="H1532" s="3">
        <v>45171.786446759259</v>
      </c>
      <c r="I1532" s="3">
        <v>45171.786435185182</v>
      </c>
      <c r="J1532" s="3">
        <v>39504.319340277776</v>
      </c>
      <c r="K1532" cm="1">
        <f t="array" ref="K1532">sentimentCalc(C1532)</f>
        <v>3</v>
      </c>
      <c r="L1532" t="str" cm="1">
        <f t="array" ref="L1532">sentimentCategory(K1532)</f>
        <v>Positive</v>
      </c>
    </row>
    <row r="1533" spans="1:12" x14ac:dyDescent="0.25">
      <c r="A1533" t="s">
        <v>1160</v>
      </c>
      <c r="B1533" t="s">
        <v>1953</v>
      </c>
      <c r="C1533" t="str" cm="1">
        <f t="array" ref="C1533">CleanText(B1533)</f>
        <v>i love the part where oppenheimer said i have become death</v>
      </c>
      <c r="D1533">
        <v>2</v>
      </c>
      <c r="E1533">
        <v>0</v>
      </c>
      <c r="F1533" t="s">
        <v>10</v>
      </c>
      <c r="G1533" t="str" cm="1">
        <f t="array" ref="G1533">FindCountryName(F1533)</f>
        <v>None</v>
      </c>
      <c r="H1533" s="3">
        <v>45186.562638888892</v>
      </c>
      <c r="I1533" s="3">
        <v>45186.562638888892</v>
      </c>
      <c r="J1533" s="3">
        <v>44242.867060185185</v>
      </c>
      <c r="K1533" cm="1">
        <f t="array" ref="K1533">sentimentCalc(C1533)</f>
        <v>1</v>
      </c>
      <c r="L1533" t="str" cm="1">
        <f t="array" ref="L1533">sentimentCategory(K1533)</f>
        <v>Positive</v>
      </c>
    </row>
    <row r="1534" spans="1:12" x14ac:dyDescent="0.25">
      <c r="A1534" t="s">
        <v>993</v>
      </c>
      <c r="B1534" t="s">
        <v>994</v>
      </c>
      <c r="C1534" t="str" cm="1">
        <f t="array" ref="C1534">CleanText(B1534)</f>
        <v>i love this movie always</v>
      </c>
      <c r="D1534">
        <v>0</v>
      </c>
      <c r="E1534">
        <v>0</v>
      </c>
      <c r="F1534" t="s">
        <v>10</v>
      </c>
      <c r="G1534" t="str" cm="1">
        <f t="array" ref="G1534">FindCountryName(F1534)</f>
        <v>None</v>
      </c>
      <c r="H1534" s="3">
        <v>45299.252789351849</v>
      </c>
      <c r="I1534" s="3">
        <v>45299.252789351849</v>
      </c>
      <c r="J1534" s="3">
        <v>41786.518622685187</v>
      </c>
      <c r="K1534" cm="1">
        <f t="array" ref="K1534">sentimentCalc(C1534)</f>
        <v>3</v>
      </c>
      <c r="L1534" t="str" cm="1">
        <f t="array" ref="L1534">sentimentCategory(K1534)</f>
        <v>Positive</v>
      </c>
    </row>
    <row r="1535" spans="1:12" x14ac:dyDescent="0.25">
      <c r="A1535" t="s">
        <v>2140</v>
      </c>
      <c r="B1535" t="s">
        <v>2840</v>
      </c>
      <c r="C1535" t="str" cm="1">
        <f t="array" ref="C1535">CleanText(B1535)</f>
        <v>i love this movie barbara behind the scenes</v>
      </c>
      <c r="D1535">
        <v>1</v>
      </c>
      <c r="E1535">
        <v>0</v>
      </c>
      <c r="F1535" t="s">
        <v>10</v>
      </c>
      <c r="G1535" t="str" cm="1">
        <f t="array" ref="G1535">FindCountryName(F1535)</f>
        <v>None</v>
      </c>
      <c r="H1535" s="3">
        <v>45156.930567129632</v>
      </c>
      <c r="I1535" s="3">
        <v>45156.930555555555</v>
      </c>
      <c r="J1535" s="3">
        <v>45155.237488425926</v>
      </c>
      <c r="K1535" cm="1">
        <f t="array" ref="K1535">sentimentCalc(C1535)</f>
        <v>3</v>
      </c>
      <c r="L1535" t="str" cm="1">
        <f t="array" ref="L1535">sentimentCategory(K1535)</f>
        <v>Positive</v>
      </c>
    </row>
    <row r="1536" spans="1:12" x14ac:dyDescent="0.25">
      <c r="A1536" t="s">
        <v>2318</v>
      </c>
      <c r="B1536" t="s">
        <v>2319</v>
      </c>
      <c r="C1536" t="str" cm="1">
        <f t="array" ref="C1536">CleanText(B1536)</f>
        <v>i love this movie</v>
      </c>
      <c r="D1536">
        <v>0</v>
      </c>
      <c r="E1536">
        <v>0</v>
      </c>
      <c r="F1536" t="s">
        <v>10</v>
      </c>
      <c r="G1536" t="str" cm="1">
        <f t="array" ref="G1536">FindCountryName(F1536)</f>
        <v>None</v>
      </c>
      <c r="H1536" s="3">
        <v>45172.068703703706</v>
      </c>
      <c r="I1536" s="3">
        <v>45172.068703703706</v>
      </c>
      <c r="J1536" s="3">
        <v>41631.760266203702</v>
      </c>
      <c r="K1536" cm="1">
        <f t="array" ref="K1536">sentimentCalc(C1536)</f>
        <v>3</v>
      </c>
      <c r="L1536" t="str" cm="1">
        <f t="array" ref="L1536">sentimentCategory(K1536)</f>
        <v>Positive</v>
      </c>
    </row>
    <row r="1537" spans="1:12" x14ac:dyDescent="0.25">
      <c r="A1537" t="s">
        <v>3399</v>
      </c>
      <c r="B1537" t="s">
        <v>3400</v>
      </c>
      <c r="C1537" t="str" cm="1">
        <f t="array" ref="C1537">CleanText(B1537)</f>
        <v>i love this movie</v>
      </c>
      <c r="D1537">
        <v>3</v>
      </c>
      <c r="E1537">
        <v>0</v>
      </c>
      <c r="F1537" t="s">
        <v>10</v>
      </c>
      <c r="G1537" t="str" cm="1">
        <f t="array" ref="G1537">FindCountryName(F1537)</f>
        <v>None</v>
      </c>
      <c r="H1537" s="3">
        <v>45149.31082175926</v>
      </c>
      <c r="I1537" s="3">
        <v>45149.31082175926</v>
      </c>
      <c r="J1537" s="3">
        <v>45034.010682870372</v>
      </c>
      <c r="K1537" cm="1">
        <f t="array" ref="K1537">sentimentCalc(C1537)</f>
        <v>3</v>
      </c>
      <c r="L1537" t="str" cm="1">
        <f t="array" ref="L1537">sentimentCategory(K1537)</f>
        <v>Positive</v>
      </c>
    </row>
    <row r="1538" spans="1:12" x14ac:dyDescent="0.25">
      <c r="A1538" t="s">
        <v>223</v>
      </c>
      <c r="B1538" t="s">
        <v>1225</v>
      </c>
      <c r="C1538" t="str" cm="1">
        <f t="array" ref="C1538">CleanText(B1538)</f>
        <v>i love this movie even im a boy</v>
      </c>
      <c r="D1538">
        <v>2</v>
      </c>
      <c r="E1538">
        <v>0</v>
      </c>
      <c r="F1538" t="s">
        <v>10</v>
      </c>
      <c r="G1538" t="str" cm="1">
        <f t="array" ref="G1538">FindCountryName(F1538)</f>
        <v>None</v>
      </c>
      <c r="H1538" s="3">
        <v>45274.126863425925</v>
      </c>
      <c r="I1538" s="3">
        <v>45274.126863425925</v>
      </c>
      <c r="J1538" s="3">
        <v>43981.910104166665</v>
      </c>
      <c r="K1538" cm="1">
        <f t="array" ref="K1538">sentimentCalc(C1538)</f>
        <v>3</v>
      </c>
      <c r="L1538" t="str" cm="1">
        <f t="array" ref="L1538">sentimentCategory(K1538)</f>
        <v>Positive</v>
      </c>
    </row>
    <row r="1539" spans="1:12" x14ac:dyDescent="0.25">
      <c r="A1539" t="s">
        <v>453</v>
      </c>
      <c r="B1539" t="s">
        <v>2869</v>
      </c>
      <c r="C1539" t="str" cm="1">
        <f t="array" ref="C1539">CleanText(B1539)</f>
        <v>i love this movie i just watch that today</v>
      </c>
      <c r="D1539">
        <v>0</v>
      </c>
      <c r="E1539">
        <v>0</v>
      </c>
      <c r="F1539" t="s">
        <v>10</v>
      </c>
      <c r="G1539" t="str" cm="1">
        <f t="array" ref="G1539">FindCountryName(F1539)</f>
        <v>None</v>
      </c>
      <c r="H1539" s="3">
        <v>45156.628379629627</v>
      </c>
      <c r="I1539" s="3">
        <v>45156.628368055557</v>
      </c>
      <c r="J1539" s="3">
        <v>44891.468958333331</v>
      </c>
      <c r="K1539" cm="1">
        <f t="array" ref="K1539">sentimentCalc(C1539)</f>
        <v>3</v>
      </c>
      <c r="L1539" t="str" cm="1">
        <f t="array" ref="L1539">sentimentCategory(K1539)</f>
        <v>Positive</v>
      </c>
    </row>
    <row r="1540" spans="1:12" x14ac:dyDescent="0.25">
      <c r="A1540" t="s">
        <v>914</v>
      </c>
      <c r="B1540" t="s">
        <v>3336</v>
      </c>
      <c r="C1540" t="str" cm="1">
        <f t="array" ref="C1540">CleanText(B1540)</f>
        <v>i love this movie i watched it</v>
      </c>
      <c r="D1540">
        <v>2</v>
      </c>
      <c r="E1540">
        <v>0</v>
      </c>
      <c r="F1540" t="s">
        <v>10</v>
      </c>
      <c r="G1540" t="str" cm="1">
        <f t="array" ref="G1540">FindCountryName(F1540)</f>
        <v>None</v>
      </c>
      <c r="H1540" s="3">
        <v>45150.169131944444</v>
      </c>
      <c r="I1540" s="3">
        <v>45150.169120370374</v>
      </c>
      <c r="J1540" s="3">
        <v>45144.361296296294</v>
      </c>
      <c r="K1540" cm="1">
        <f t="array" ref="K1540">sentimentCalc(C1540)</f>
        <v>3</v>
      </c>
      <c r="L1540" t="str" cm="1">
        <f t="array" ref="L1540">sentimentCategory(K1540)</f>
        <v>Positive</v>
      </c>
    </row>
    <row r="1541" spans="1:12" x14ac:dyDescent="0.25">
      <c r="A1541" t="s">
        <v>2290</v>
      </c>
      <c r="B1541" t="s">
        <v>2291</v>
      </c>
      <c r="C1541" t="str" cm="1">
        <f t="array" ref="C1541">CleanText(B1541)</f>
        <v>i love this movie ive seen him twice</v>
      </c>
      <c r="D1541">
        <v>4</v>
      </c>
      <c r="E1541">
        <v>1</v>
      </c>
      <c r="F1541" t="s">
        <v>10</v>
      </c>
      <c r="G1541" t="str" cm="1">
        <f t="array" ref="G1541">FindCountryName(F1541)</f>
        <v>None</v>
      </c>
      <c r="H1541" s="3">
        <v>45172.637708333335</v>
      </c>
      <c r="I1541" s="3">
        <v>45172.637696759259</v>
      </c>
      <c r="J1541" s="3">
        <v>41633.144178240742</v>
      </c>
      <c r="K1541" cm="1">
        <f t="array" ref="K1541">sentimentCalc(C1541)</f>
        <v>3</v>
      </c>
      <c r="L1541" t="str" cm="1">
        <f t="array" ref="L1541">sentimentCategory(K1541)</f>
        <v>Positive</v>
      </c>
    </row>
    <row r="1542" spans="1:12" x14ac:dyDescent="0.25">
      <c r="A1542" t="s">
        <v>2157</v>
      </c>
      <c r="B1542" t="s">
        <v>2337</v>
      </c>
      <c r="C1542" t="str" cm="1">
        <f t="array" ref="C1542">CleanText(B1542)</f>
        <v>i love this movie so much definitely the best one of  seen it three times in the cinema and would still watch again</v>
      </c>
      <c r="D1542">
        <v>26</v>
      </c>
      <c r="E1542">
        <v>1</v>
      </c>
      <c r="F1542" t="s">
        <v>1151</v>
      </c>
      <c r="G1542" t="str" cm="1">
        <f t="array" ref="G1542">FindCountryName(F1542)</f>
        <v>United Kingdom of Great Britain and Northern Ireland (the)</v>
      </c>
      <c r="H1542" s="3">
        <v>45171.705868055556</v>
      </c>
      <c r="I1542" s="3">
        <v>45171.705868055556</v>
      </c>
      <c r="J1542" s="3">
        <v>40449.218668981484</v>
      </c>
      <c r="K1542" cm="1">
        <f t="array" ref="K1542">sentimentCalc(C1542)</f>
        <v>6</v>
      </c>
      <c r="L1542" t="str" cm="1">
        <f t="array" ref="L1542">sentimentCategory(K1542)</f>
        <v>Positive</v>
      </c>
    </row>
    <row r="1543" spans="1:12" x14ac:dyDescent="0.25">
      <c r="A1543" t="s">
        <v>1323</v>
      </c>
      <c r="B1543" t="s">
        <v>1527</v>
      </c>
      <c r="C1543" t="str" cm="1">
        <f t="array" ref="C1543">CleanText(B1543)</f>
        <v>i love this movie</v>
      </c>
      <c r="D1543">
        <v>2</v>
      </c>
      <c r="E1543">
        <v>1</v>
      </c>
      <c r="F1543" t="s">
        <v>10</v>
      </c>
      <c r="G1543" t="str" cm="1">
        <f t="array" ref="G1543">FindCountryName(F1543)</f>
        <v>None</v>
      </c>
      <c r="H1543" s="3">
        <v>45216.659363425926</v>
      </c>
      <c r="I1543" s="3">
        <v>45216.659363425926</v>
      </c>
      <c r="J1543" s="3">
        <v>44759.91165509259</v>
      </c>
      <c r="K1543" cm="1">
        <f t="array" ref="K1543">sentimentCalc(C1543)</f>
        <v>3</v>
      </c>
      <c r="L1543" t="str" cm="1">
        <f t="array" ref="L1543">sentimentCategory(K1543)</f>
        <v>Positive</v>
      </c>
    </row>
    <row r="1544" spans="1:12" x14ac:dyDescent="0.25">
      <c r="A1544" t="s">
        <v>49</v>
      </c>
      <c r="B1544" t="s">
        <v>2363</v>
      </c>
      <c r="C1544" t="str" cm="1">
        <f t="array" ref="C1544">CleanText(B1544)</f>
        <v>i love this trailer</v>
      </c>
      <c r="D1544">
        <v>0</v>
      </c>
      <c r="E1544">
        <v>0</v>
      </c>
      <c r="F1544" t="s">
        <v>10</v>
      </c>
      <c r="G1544" t="str" cm="1">
        <f t="array" ref="G1544">FindCountryName(F1544)</f>
        <v>None</v>
      </c>
      <c r="H1544" s="3">
        <v>45170.553993055553</v>
      </c>
      <c r="I1544" s="3">
        <v>45170.553993055553</v>
      </c>
      <c r="J1544" s="3">
        <v>45165.203923611109</v>
      </c>
      <c r="K1544" cm="1">
        <f t="array" ref="K1544">sentimentCalc(C1544)</f>
        <v>3</v>
      </c>
      <c r="L1544" t="str" cm="1">
        <f t="array" ref="L1544">sentimentCategory(K1544)</f>
        <v>Positive</v>
      </c>
    </row>
    <row r="1545" spans="1:12" x14ac:dyDescent="0.25">
      <c r="A1545" t="s">
        <v>2231</v>
      </c>
      <c r="B1545" t="s">
        <v>2232</v>
      </c>
      <c r="C1545" t="str" cm="1">
        <f t="array" ref="C1545">CleanText(B1545)</f>
        <v>i love u barbie</v>
      </c>
      <c r="D1545">
        <v>0</v>
      </c>
      <c r="E1545">
        <v>0</v>
      </c>
      <c r="F1545" t="s">
        <v>10</v>
      </c>
      <c r="G1545" t="str" cm="1">
        <f t="array" ref="G1545">FindCountryName(F1545)</f>
        <v>None</v>
      </c>
      <c r="H1545" s="3">
        <v>45175.302233796298</v>
      </c>
      <c r="I1545" s="3">
        <v>45175.302222222221</v>
      </c>
      <c r="J1545" s="3">
        <v>45039.060925925929</v>
      </c>
      <c r="K1545" cm="1">
        <f t="array" ref="K1545">sentimentCalc(C1545)</f>
        <v>3</v>
      </c>
      <c r="L1545" t="str" cm="1">
        <f t="array" ref="L1545">sentimentCategory(K1545)</f>
        <v>Positive</v>
      </c>
    </row>
    <row r="1546" spans="1:12" x14ac:dyDescent="0.25">
      <c r="A1546" t="s">
        <v>307</v>
      </c>
      <c r="B1546" t="s">
        <v>2905</v>
      </c>
      <c r="C1546" t="str" cm="1">
        <f t="array" ref="C1546">CleanText(B1546)</f>
        <v>i love weird barbies house</v>
      </c>
      <c r="D1546">
        <v>0</v>
      </c>
      <c r="E1546">
        <v>0</v>
      </c>
      <c r="F1546" t="s">
        <v>10</v>
      </c>
      <c r="G1546" t="str" cm="1">
        <f t="array" ref="G1546">FindCountryName(F1546)</f>
        <v>None</v>
      </c>
      <c r="H1546" s="3">
        <v>45156.09820601852</v>
      </c>
      <c r="I1546" s="3">
        <v>45156.09820601852</v>
      </c>
      <c r="J1546" s="3">
        <v>44855.777650462966</v>
      </c>
      <c r="K1546" cm="1">
        <f t="array" ref="K1546">sentimentCalc(C1546)</f>
        <v>1</v>
      </c>
      <c r="L1546" t="str" cm="1">
        <f t="array" ref="L1546">sentimentCategory(K1546)</f>
        <v>Positive</v>
      </c>
    </row>
    <row r="1547" spans="1:12" x14ac:dyDescent="0.25">
      <c r="A1547" t="s">
        <v>1692</v>
      </c>
      <c r="B1547" t="s">
        <v>1695</v>
      </c>
      <c r="C1547" t="str" cm="1">
        <f t="array" ref="C1547">CleanText(B1547)</f>
        <v>i love you</v>
      </c>
      <c r="D1547">
        <v>0</v>
      </c>
      <c r="E1547">
        <v>0</v>
      </c>
      <c r="F1547" t="s">
        <v>10</v>
      </c>
      <c r="G1547" t="str" cm="1">
        <f t="array" ref="G1547">FindCountryName(F1547)</f>
        <v>None</v>
      </c>
      <c r="H1547" s="3">
        <v>45201.34337962963</v>
      </c>
      <c r="I1547" s="3">
        <v>45201.34337962963</v>
      </c>
      <c r="J1547" s="3">
        <v>45197.171481481484</v>
      </c>
      <c r="K1547" cm="1">
        <f t="array" ref="K1547">sentimentCalc(C1547)</f>
        <v>3</v>
      </c>
      <c r="L1547" t="str" cm="1">
        <f t="array" ref="L1547">sentimentCategory(K1547)</f>
        <v>Positive</v>
      </c>
    </row>
    <row r="1548" spans="1:12" x14ac:dyDescent="0.25">
      <c r="A1548" t="s">
        <v>313</v>
      </c>
      <c r="B1548" t="s">
        <v>2534</v>
      </c>
      <c r="C1548" t="str" cm="1">
        <f t="array" ref="C1548">CleanText(B1548)</f>
        <v>i love you  barbi and freen</v>
      </c>
      <c r="D1548">
        <v>0</v>
      </c>
      <c r="E1548">
        <v>0</v>
      </c>
      <c r="F1548" t="s">
        <v>10</v>
      </c>
      <c r="G1548" t="str" cm="1">
        <f t="array" ref="G1548">FindCountryName(F1548)</f>
        <v>None</v>
      </c>
      <c r="H1548" s="3">
        <v>45163.980185185188</v>
      </c>
      <c r="I1548" s="3">
        <v>45163.980185185188</v>
      </c>
      <c r="J1548" s="3">
        <v>45142.167245370372</v>
      </c>
      <c r="K1548" cm="1">
        <f t="array" ref="K1548">sentimentCalc(C1548)</f>
        <v>3</v>
      </c>
      <c r="L1548" t="str" cm="1">
        <f t="array" ref="L1548">sentimentCategory(K1548)</f>
        <v>Positive</v>
      </c>
    </row>
    <row r="1549" spans="1:12" x14ac:dyDescent="0.25">
      <c r="A1549" t="s">
        <v>555</v>
      </c>
      <c r="B1549" t="s">
        <v>2781</v>
      </c>
      <c r="C1549" t="str" cm="1">
        <f t="array" ref="C1549">CleanText(B1549)</f>
        <v>i love you</v>
      </c>
      <c r="D1549">
        <v>0</v>
      </c>
      <c r="E1549">
        <v>0</v>
      </c>
      <c r="F1549" t="s">
        <v>10</v>
      </c>
      <c r="G1549" t="str" cm="1">
        <f t="array" ref="G1549">FindCountryName(F1549)</f>
        <v>None</v>
      </c>
      <c r="H1549" s="3">
        <v>45158.029918981483</v>
      </c>
      <c r="I1549" s="3">
        <v>45158.029918981483</v>
      </c>
      <c r="J1549" s="3">
        <v>44337.096886574072</v>
      </c>
      <c r="K1549" cm="1">
        <f t="array" ref="K1549">sentimentCalc(C1549)</f>
        <v>3</v>
      </c>
      <c r="L1549" t="str" cm="1">
        <f t="array" ref="L1549">sentimentCategory(K1549)</f>
        <v>Positive</v>
      </c>
    </row>
    <row r="1550" spans="1:12" x14ac:dyDescent="0.25">
      <c r="A1550" t="s">
        <v>205</v>
      </c>
      <c r="B1550" t="s">
        <v>1201</v>
      </c>
      <c r="C1550" t="str" cm="1">
        <f t="array" ref="C1550">CleanText(B1550)</f>
        <v>i love you barbie</v>
      </c>
      <c r="D1550">
        <v>3</v>
      </c>
      <c r="E1550">
        <v>0</v>
      </c>
      <c r="F1550" t="s">
        <v>10</v>
      </c>
      <c r="G1550" t="str" cm="1">
        <f t="array" ref="G1550">FindCountryName(F1550)</f>
        <v>None</v>
      </c>
      <c r="H1550" s="3">
        <v>45277.301041666666</v>
      </c>
      <c r="I1550" s="3">
        <v>45277.301041666666</v>
      </c>
      <c r="J1550" s="3">
        <v>44163.263564814813</v>
      </c>
      <c r="K1550" cm="1">
        <f t="array" ref="K1550">sentimentCalc(C1550)</f>
        <v>3</v>
      </c>
      <c r="L1550" t="str" cm="1">
        <f t="array" ref="L1550">sentimentCategory(K1550)</f>
        <v>Positive</v>
      </c>
    </row>
    <row r="1551" spans="1:12" x14ac:dyDescent="0.25">
      <c r="A1551" t="s">
        <v>60</v>
      </c>
      <c r="B1551" t="s">
        <v>2937</v>
      </c>
      <c r="C1551" t="str" cm="1">
        <f t="array" ref="C1551">CleanText(B1551)</f>
        <v>i love you barbie and ken</v>
      </c>
      <c r="D1551">
        <v>0</v>
      </c>
      <c r="E1551">
        <v>0</v>
      </c>
      <c r="F1551" t="s">
        <v>10</v>
      </c>
      <c r="G1551" t="str" cm="1">
        <f t="array" ref="G1551">FindCountryName(F1551)</f>
        <v>None</v>
      </c>
      <c r="H1551" s="3">
        <v>45155.671342592592</v>
      </c>
      <c r="I1551" s="3">
        <v>45155.671331018515</v>
      </c>
      <c r="J1551" s="3">
        <v>44115.641550925924</v>
      </c>
      <c r="K1551" cm="1">
        <f t="array" ref="K1551">sentimentCalc(C1551)</f>
        <v>3</v>
      </c>
      <c r="L1551" t="str" cm="1">
        <f t="array" ref="L1551">sentimentCategory(K1551)</f>
        <v>Positive</v>
      </c>
    </row>
    <row r="1552" spans="1:12" x14ac:dyDescent="0.25">
      <c r="A1552" t="s">
        <v>1148</v>
      </c>
      <c r="B1552" t="s">
        <v>1192</v>
      </c>
      <c r="C1552" t="str" cm="1">
        <f t="array" ref="C1552">CleanText(B1552)</f>
        <v>i love you barbie</v>
      </c>
      <c r="D1552">
        <v>6</v>
      </c>
      <c r="E1552">
        <v>0</v>
      </c>
      <c r="F1552" t="s">
        <v>10</v>
      </c>
      <c r="G1552" t="str" cm="1">
        <f t="array" ref="G1552">FindCountryName(F1552)</f>
        <v>None</v>
      </c>
      <c r="H1552" s="3">
        <v>45278.546064814815</v>
      </c>
      <c r="I1552" s="3">
        <v>45278.546064814815</v>
      </c>
      <c r="J1552" s="3">
        <v>45131.506956018522</v>
      </c>
      <c r="K1552" cm="1">
        <f t="array" ref="K1552">sentimentCalc(C1552)</f>
        <v>3</v>
      </c>
      <c r="L1552" t="str" cm="1">
        <f t="array" ref="L1552">sentimentCategory(K1552)</f>
        <v>Positive</v>
      </c>
    </row>
    <row r="1553" spans="1:12" x14ac:dyDescent="0.25">
      <c r="A1553" t="s">
        <v>178</v>
      </c>
      <c r="B1553" t="s">
        <v>3354</v>
      </c>
      <c r="C1553" t="str" cm="1">
        <f t="array" ref="C1553">CleanText(B1553)</f>
        <v>i love you ken woooooooooooooooo</v>
      </c>
      <c r="D1553">
        <v>0</v>
      </c>
      <c r="E1553">
        <v>0</v>
      </c>
      <c r="F1553" t="s">
        <v>10</v>
      </c>
      <c r="G1553" t="str" cm="1">
        <f t="array" ref="G1553">FindCountryName(F1553)</f>
        <v>None</v>
      </c>
      <c r="H1553" s="3">
        <v>45149.709641203706</v>
      </c>
      <c r="I1553" s="3">
        <v>45149.709641203706</v>
      </c>
      <c r="J1553" s="3">
        <v>43784.961458333331</v>
      </c>
      <c r="K1553" cm="1">
        <f t="array" ref="K1553">sentimentCalc(C1553)</f>
        <v>3</v>
      </c>
      <c r="L1553" t="str" cm="1">
        <f t="array" ref="L1553">sentimentCategory(K1553)</f>
        <v>Positive</v>
      </c>
    </row>
    <row r="1554" spans="1:12" x14ac:dyDescent="0.25">
      <c r="A1554" t="s">
        <v>173</v>
      </c>
      <c r="B1554" t="s">
        <v>3987</v>
      </c>
      <c r="C1554" t="str" cm="1">
        <f t="array" ref="C1554">CleanText(B1554)</f>
        <v>i love you</v>
      </c>
      <c r="D1554">
        <v>0</v>
      </c>
      <c r="E1554">
        <v>0</v>
      </c>
      <c r="F1554" t="s">
        <v>10</v>
      </c>
      <c r="G1554" t="str" cm="1">
        <f t="array" ref="G1554">FindCountryName(F1554)</f>
        <v>None</v>
      </c>
      <c r="H1554" s="3">
        <v>45143.954201388886</v>
      </c>
      <c r="I1554" s="3">
        <v>45143.954201388886</v>
      </c>
      <c r="J1554" s="3">
        <v>44716.552418981482</v>
      </c>
      <c r="K1554" cm="1">
        <f t="array" ref="K1554">sentimentCalc(C1554)</f>
        <v>3</v>
      </c>
      <c r="L1554" t="str" cm="1">
        <f t="array" ref="L1554">sentimentCategory(K1554)</f>
        <v>Positive</v>
      </c>
    </row>
    <row r="1555" spans="1:12" x14ac:dyDescent="0.25">
      <c r="A1555" t="s">
        <v>171</v>
      </c>
      <c r="B1555" t="s">
        <v>2431</v>
      </c>
      <c r="C1555" t="str" cm="1">
        <f t="array" ref="C1555">CleanText(B1555)</f>
        <v>i love you</v>
      </c>
      <c r="D1555">
        <v>0</v>
      </c>
      <c r="E1555">
        <v>0</v>
      </c>
      <c r="F1555" t="s">
        <v>10</v>
      </c>
      <c r="G1555" t="str" cm="1">
        <f t="array" ref="G1555">FindCountryName(F1555)</f>
        <v>None</v>
      </c>
      <c r="H1555" s="3">
        <v>45167.404722222222</v>
      </c>
      <c r="I1555" s="3">
        <v>45167.404722222222</v>
      </c>
      <c r="J1555" s="3">
        <v>45167.404699074075</v>
      </c>
      <c r="K1555" cm="1">
        <f t="array" ref="K1555">sentimentCalc(C1555)</f>
        <v>3</v>
      </c>
      <c r="L1555" t="str" cm="1">
        <f t="array" ref="L1555">sentimentCategory(K1555)</f>
        <v>Positive</v>
      </c>
    </row>
    <row r="1556" spans="1:12" x14ac:dyDescent="0.25">
      <c r="A1556" t="s">
        <v>2285</v>
      </c>
      <c r="B1556" t="s">
        <v>2286</v>
      </c>
      <c r="C1556" t="str" cm="1">
        <f t="array" ref="C1556">CleanText(B1556)</f>
        <v>i love your videos</v>
      </c>
      <c r="D1556">
        <v>1</v>
      </c>
      <c r="E1556">
        <v>0</v>
      </c>
      <c r="F1556" t="s">
        <v>10</v>
      </c>
      <c r="G1556" t="str" cm="1">
        <f t="array" ref="G1556">FindCountryName(F1556)</f>
        <v>None</v>
      </c>
      <c r="H1556" s="3">
        <v>45172.770289351851</v>
      </c>
      <c r="I1556" s="3">
        <v>45172.770289351851</v>
      </c>
      <c r="J1556" s="3">
        <v>45165.680694444447</v>
      </c>
      <c r="K1556" cm="1">
        <f t="array" ref="K1556">sentimentCalc(C1556)</f>
        <v>3</v>
      </c>
      <c r="L1556" t="str" cm="1">
        <f t="array" ref="L1556">sentimentCategory(K1556)</f>
        <v>Positive</v>
      </c>
    </row>
    <row r="1557" spans="1:12" x14ac:dyDescent="0.25">
      <c r="A1557" t="s">
        <v>329</v>
      </c>
      <c r="B1557" t="s">
        <v>816</v>
      </c>
      <c r="C1557" t="str" cm="1">
        <f t="array" ref="C1557">CleanText(B1557)</f>
        <v>i loved barbie growing up i had every barbie accessories houses cars stores etc couldnt get past the first five minutes of drilling feminism into little girls heads and seeing them bash baby dolls into the ground no thanks</v>
      </c>
      <c r="D1557">
        <v>0</v>
      </c>
      <c r="E1557">
        <v>1</v>
      </c>
      <c r="F1557" t="s">
        <v>10</v>
      </c>
      <c r="G1557" t="str" cm="1">
        <f t="array" ref="G1557">FindCountryName(F1557)</f>
        <v>None</v>
      </c>
      <c r="H1557" s="3">
        <v>45305.500034722223</v>
      </c>
      <c r="I1557" s="3">
        <v>45305.500914351855</v>
      </c>
      <c r="J1557" s="3">
        <v>44337.60015046296</v>
      </c>
      <c r="K1557" cm="1">
        <f t="array" ref="K1557">sentimentCalc(C1557)</f>
        <v>5</v>
      </c>
      <c r="L1557" t="str" cm="1">
        <f t="array" ref="L1557">sentimentCategory(K1557)</f>
        <v>Positive</v>
      </c>
    </row>
    <row r="1558" spans="1:12" x14ac:dyDescent="0.25">
      <c r="A1558" t="s">
        <v>98</v>
      </c>
      <c r="B1558" t="s">
        <v>3742</v>
      </c>
      <c r="C1558" t="str" cm="1">
        <f t="array" ref="C1558">CleanText(B1558)</f>
        <v>i loved how they portray oppies creation of the atomic bomb and the drama about his communist connection</v>
      </c>
      <c r="D1558">
        <v>0</v>
      </c>
      <c r="E1558">
        <v>0</v>
      </c>
      <c r="F1558" t="s">
        <v>10</v>
      </c>
      <c r="G1558" t="str" cm="1">
        <f t="array" ref="G1558">FindCountryName(F1558)</f>
        <v>None</v>
      </c>
      <c r="H1558" s="3">
        <v>45145.827106481483</v>
      </c>
      <c r="I1558" s="3">
        <v>45145.827106481483</v>
      </c>
      <c r="J1558" s="3">
        <v>44212.258900462963</v>
      </c>
      <c r="K1558" cm="1">
        <f t="array" ref="K1558">sentimentCalc(C1558)</f>
        <v>2</v>
      </c>
      <c r="L1558" t="str" cm="1">
        <f t="array" ref="L1558">sentimentCategory(K1558)</f>
        <v>Positive</v>
      </c>
    </row>
    <row r="1559" spans="1:12" x14ac:dyDescent="0.25">
      <c r="A1559" t="s">
        <v>2570</v>
      </c>
      <c r="B1559" t="s">
        <v>2571</v>
      </c>
      <c r="C1559" t="str" cm="1">
        <f t="array" ref="C1559">CleanText(B1559)</f>
        <v>i loved the matrix references</v>
      </c>
      <c r="D1559">
        <v>0</v>
      </c>
      <c r="E1559">
        <v>0</v>
      </c>
      <c r="F1559" t="s">
        <v>497</v>
      </c>
      <c r="G1559" t="str" cm="1">
        <f t="array" ref="G1559">FindCountryName(F1559)</f>
        <v>Sweden</v>
      </c>
      <c r="H1559" s="3">
        <v>45163.052187499998</v>
      </c>
      <c r="I1559" s="3">
        <v>45163.052187499998</v>
      </c>
      <c r="J1559" s="3">
        <v>41124.692569444444</v>
      </c>
      <c r="K1559" cm="1">
        <f t="array" ref="K1559">sentimentCalc(C1559)</f>
        <v>3</v>
      </c>
      <c r="L1559" t="str" cm="1">
        <f t="array" ref="L1559">sentimentCategory(K1559)</f>
        <v>Positive</v>
      </c>
    </row>
    <row r="1560" spans="1:12" x14ac:dyDescent="0.25">
      <c r="A1560" t="s">
        <v>2521</v>
      </c>
      <c r="B1560" t="s">
        <v>4434</v>
      </c>
      <c r="C1560" t="str" cm="1">
        <f t="array" ref="C1560">CleanText(B1560)</f>
        <v>i loved the part where ken took over the matriarchy in  day</v>
      </c>
      <c r="D1560">
        <v>0</v>
      </c>
      <c r="E1560">
        <v>0</v>
      </c>
      <c r="F1560" t="s">
        <v>10</v>
      </c>
      <c r="G1560" t="str" cm="1">
        <f t="array" ref="G1560">FindCountryName(F1560)</f>
        <v>None</v>
      </c>
      <c r="H1560" s="3">
        <v>45140.290312500001</v>
      </c>
      <c r="I1560" s="3">
        <v>45140.290312500001</v>
      </c>
      <c r="J1560" s="3">
        <v>44100.680613425924</v>
      </c>
      <c r="K1560" cm="1">
        <f t="array" ref="K1560">sentimentCalc(C1560)</f>
        <v>3</v>
      </c>
      <c r="L1560" t="str" cm="1">
        <f t="array" ref="L1560">sentimentCategory(K1560)</f>
        <v>Positive</v>
      </c>
    </row>
    <row r="1561" spans="1:12" x14ac:dyDescent="0.25">
      <c r="A1561" t="s">
        <v>633</v>
      </c>
      <c r="B1561" t="s">
        <v>1779</v>
      </c>
      <c r="C1561" t="str" cm="1">
        <f t="array" ref="C1561">CleanText(B1561)</f>
        <v>i loved this movie</v>
      </c>
      <c r="D1561">
        <v>2</v>
      </c>
      <c r="E1561">
        <v>0</v>
      </c>
      <c r="F1561" t="s">
        <v>10</v>
      </c>
      <c r="G1561" t="str" cm="1">
        <f t="array" ref="G1561">FindCountryName(F1561)</f>
        <v>None</v>
      </c>
      <c r="H1561" s="3">
        <v>45195.448460648149</v>
      </c>
      <c r="I1561" s="3">
        <v>45195.448460648149</v>
      </c>
      <c r="J1561" s="3">
        <v>41362.559907407405</v>
      </c>
      <c r="K1561" cm="1">
        <f t="array" ref="K1561">sentimentCalc(C1561)</f>
        <v>3</v>
      </c>
      <c r="L1561" t="str" cm="1">
        <f t="array" ref="L1561">sentimentCategory(K1561)</f>
        <v>Positive</v>
      </c>
    </row>
    <row r="1562" spans="1:12" x14ac:dyDescent="0.25">
      <c r="A1562" t="s">
        <v>571</v>
      </c>
      <c r="B1562" t="s">
        <v>3352</v>
      </c>
      <c r="C1562" t="str" cm="1">
        <f t="array" ref="C1562">CleanText(B1562)</f>
        <v>i loved this movie so muchbut i was sad when i left the theater that they didnt get together at the end not even a longdistance maybe boyfriendim still sadthis song is amazingim jenenough</v>
      </c>
      <c r="D1562">
        <v>0</v>
      </c>
      <c r="E1562">
        <v>0</v>
      </c>
      <c r="F1562" t="s">
        <v>227</v>
      </c>
      <c r="G1562" t="str" cm="1">
        <f t="array" ref="G1562">FindCountryName(F1562)</f>
        <v>United States of America (the)</v>
      </c>
      <c r="H1562" s="3">
        <v>45149.772800925923</v>
      </c>
      <c r="I1562" s="3">
        <v>45149.772800925923</v>
      </c>
      <c r="J1562" s="3">
        <v>43783.902245370373</v>
      </c>
      <c r="K1562" cm="1">
        <f t="array" ref="K1562">sentimentCalc(C1562)</f>
        <v>1</v>
      </c>
      <c r="L1562" t="str" cm="1">
        <f t="array" ref="L1562">sentimentCategory(K1562)</f>
        <v>Positive</v>
      </c>
    </row>
    <row r="1563" spans="1:12" x14ac:dyDescent="0.25">
      <c r="A1563" t="s">
        <v>1918</v>
      </c>
      <c r="B1563" t="s">
        <v>2243</v>
      </c>
      <c r="C1563" t="str" cm="1">
        <f t="array" ref="C1563">CleanText(B1563)</f>
        <v>i loved this movie so much</v>
      </c>
      <c r="D1563">
        <v>4</v>
      </c>
      <c r="E1563">
        <v>0</v>
      </c>
      <c r="F1563" t="s">
        <v>227</v>
      </c>
      <c r="G1563" t="str" cm="1">
        <f t="array" ref="G1563">FindCountryName(F1563)</f>
        <v>United States of America (the)</v>
      </c>
      <c r="H1563" s="3">
        <v>45174.525208333333</v>
      </c>
      <c r="I1563" s="3">
        <v>45174.525208333333</v>
      </c>
      <c r="J1563" s="3">
        <v>42806.481400462966</v>
      </c>
      <c r="K1563" cm="1">
        <f t="array" ref="K1563">sentimentCalc(C1563)</f>
        <v>3</v>
      </c>
      <c r="L1563" t="str" cm="1">
        <f t="array" ref="L1563">sentimentCategory(K1563)</f>
        <v>Positive</v>
      </c>
    </row>
    <row r="1564" spans="1:12" x14ac:dyDescent="0.25">
      <c r="A1564" t="s">
        <v>122</v>
      </c>
      <c r="B1564" t="s">
        <v>3936</v>
      </c>
      <c r="C1564" t="str" cm="1">
        <f t="array" ref="C1564">CleanText(B1564)</f>
        <v>i loved this movie i plan on seeing it again</v>
      </c>
      <c r="D1564">
        <v>13</v>
      </c>
      <c r="E1564">
        <v>4</v>
      </c>
      <c r="F1564" t="s">
        <v>10</v>
      </c>
      <c r="G1564" t="str" cm="1">
        <f t="array" ref="G1564">FindCountryName(F1564)</f>
        <v>None</v>
      </c>
      <c r="H1564" s="3">
        <v>45144.417951388888</v>
      </c>
      <c r="I1564" s="3">
        <v>45144.417951388888</v>
      </c>
      <c r="J1564" s="3">
        <v>38810.722349537034</v>
      </c>
      <c r="K1564" cm="1">
        <f t="array" ref="K1564">sentimentCalc(C1564)</f>
        <v>3</v>
      </c>
      <c r="L1564" t="str" cm="1">
        <f t="array" ref="L1564">sentimentCategory(K1564)</f>
        <v>Positive</v>
      </c>
    </row>
    <row r="1565" spans="1:12" x14ac:dyDescent="0.25">
      <c r="A1565" t="s">
        <v>1076</v>
      </c>
      <c r="B1565" t="s">
        <v>1077</v>
      </c>
      <c r="C1565" t="str" cm="1">
        <f t="array" ref="C1565">CleanText(B1565)</f>
        <v>i loved watching this film and i love barbie dolls and i wish they make nd film and still make it better like this one keep it up and i got the dvd and i watched over and over again</v>
      </c>
      <c r="D1565">
        <v>0</v>
      </c>
      <c r="E1565">
        <v>0</v>
      </c>
      <c r="F1565" t="s">
        <v>10</v>
      </c>
      <c r="G1565" t="str" cm="1">
        <f t="array" ref="G1565">FindCountryName(F1565)</f>
        <v>None</v>
      </c>
      <c r="H1565" s="3">
        <v>45292.582465277781</v>
      </c>
      <c r="I1565" s="3">
        <v>45292.582465277781</v>
      </c>
      <c r="J1565" s="3">
        <v>42523.788090277776</v>
      </c>
      <c r="K1565" cm="1">
        <f t="array" ref="K1565">sentimentCalc(C1565)</f>
        <v>11</v>
      </c>
      <c r="L1565" t="str" cm="1">
        <f t="array" ref="L1565">sentimentCategory(K1565)</f>
        <v>Positive</v>
      </c>
    </row>
    <row r="1566" spans="1:12" x14ac:dyDescent="0.25">
      <c r="A1566" t="s">
        <v>1123</v>
      </c>
      <c r="B1566" t="s">
        <v>2911</v>
      </c>
      <c r="C1566" t="str" cm="1">
        <f t="array" ref="C1566">CleanText(B1566)</f>
        <v>i made gi joe have relations with barbie like bill clinton and monica</v>
      </c>
      <c r="D1566">
        <v>0</v>
      </c>
      <c r="E1566">
        <v>0</v>
      </c>
      <c r="F1566" t="s">
        <v>10</v>
      </c>
      <c r="G1566" t="str" cm="1">
        <f t="array" ref="G1566">FindCountryName(F1566)</f>
        <v>None</v>
      </c>
      <c r="H1566" s="3">
        <v>45155.984166666669</v>
      </c>
      <c r="I1566" s="3">
        <v>45155.984166666669</v>
      </c>
      <c r="J1566" s="3">
        <v>42082.880266203705</v>
      </c>
      <c r="K1566" cm="1">
        <f t="array" ref="K1566">sentimentCalc(C1566)</f>
        <v>2</v>
      </c>
      <c r="L1566" t="str" cm="1">
        <f t="array" ref="L1566">sentimentCategory(K1566)</f>
        <v>Positive</v>
      </c>
    </row>
    <row r="1567" spans="1:12" x14ac:dyDescent="0.25">
      <c r="A1567" t="s">
        <v>1905</v>
      </c>
      <c r="B1567" t="s">
        <v>4212</v>
      </c>
      <c r="C1567" t="str" cm="1">
        <f t="array" ref="C1567">CleanText(B1567)</f>
        <v>i must admit i had no plans on watching this but after seeing all the outrage by conservatives i knew i had to check it out and all i have to say is its a good movie calling it great is a stretch but it is good and also whats up with all the conservatives loosing their minds over a movie about barbie they say liberal tears whilst crying about barbie all i have to say is with each passing day conservatives are looking more and more like the taliban</v>
      </c>
      <c r="D1567">
        <v>2</v>
      </c>
      <c r="E1567">
        <v>1</v>
      </c>
      <c r="F1567" t="s">
        <v>10</v>
      </c>
      <c r="G1567" t="str" cm="1">
        <f t="array" ref="G1567">FindCountryName(F1567)</f>
        <v>None</v>
      </c>
      <c r="H1567" s="3">
        <v>45141.869305555556</v>
      </c>
      <c r="I1567" s="3">
        <v>45141.869305555556</v>
      </c>
      <c r="J1567" s="3">
        <v>38827.500023148146</v>
      </c>
      <c r="K1567" cm="1">
        <f t="array" ref="K1567">sentimentCalc(C1567)</f>
        <v>2</v>
      </c>
      <c r="L1567" t="str" cm="1">
        <f t="array" ref="L1567">sentimentCategory(K1567)</f>
        <v>Positive</v>
      </c>
    </row>
    <row r="1568" spans="1:12" x14ac:dyDescent="0.25">
      <c r="A1568" t="s">
        <v>514</v>
      </c>
      <c r="B1568" t="s">
        <v>4205</v>
      </c>
      <c r="C1568" t="str" cm="1">
        <f t="array" ref="C1568">CleanText(B1568)</f>
        <v>i need barbie girl  so kuch</v>
      </c>
      <c r="D1568">
        <v>1</v>
      </c>
      <c r="E1568">
        <v>1</v>
      </c>
      <c r="F1568" t="s">
        <v>10</v>
      </c>
      <c r="G1568" t="str" cm="1">
        <f t="array" ref="G1568">FindCountryName(F1568)</f>
        <v>None</v>
      </c>
      <c r="H1568" s="3">
        <v>45141.946342592593</v>
      </c>
      <c r="I1568" s="3">
        <v>45141.946342592593</v>
      </c>
      <c r="J1568" s="3">
        <v>44102.964861111112</v>
      </c>
      <c r="K1568" cm="1">
        <f t="array" ref="K1568">sentimentCalc(C1568)</f>
        <v>0</v>
      </c>
      <c r="L1568" t="str" cm="1">
        <f t="array" ref="L1568">sentimentCategory(K1568)</f>
        <v>Neutral</v>
      </c>
    </row>
    <row r="1569" spans="1:12" x14ac:dyDescent="0.25">
      <c r="A1569" t="s">
        <v>154</v>
      </c>
      <c r="B1569" t="s">
        <v>3259</v>
      </c>
      <c r="C1569" t="str" cm="1">
        <f t="array" ref="C1569">CleanText(B1569)</f>
        <v>i need to wacth this</v>
      </c>
      <c r="D1569">
        <v>0</v>
      </c>
      <c r="E1569">
        <v>0</v>
      </c>
      <c r="F1569" t="s">
        <v>10</v>
      </c>
      <c r="G1569" t="str" cm="1">
        <f t="array" ref="G1569">FindCountryName(F1569)</f>
        <v>None</v>
      </c>
      <c r="H1569" s="3">
        <v>45151.295937499999</v>
      </c>
      <c r="I1569" s="3">
        <v>45151.295937499999</v>
      </c>
      <c r="J1569" s="3">
        <v>41339.925763888888</v>
      </c>
      <c r="K1569" cm="1">
        <f t="array" ref="K1569">sentimentCalc(C1569)</f>
        <v>0</v>
      </c>
      <c r="L1569" t="str" cm="1">
        <f t="array" ref="L1569">sentimentCategory(K1569)</f>
        <v>Neutral</v>
      </c>
    </row>
    <row r="1570" spans="1:12" x14ac:dyDescent="0.25">
      <c r="A1570" t="s">
        <v>77</v>
      </c>
      <c r="B1570" t="s">
        <v>3736</v>
      </c>
      <c r="C1570" t="str" cm="1">
        <f t="array" ref="C1570">CleanText(B1570)</f>
        <v>i never cried so hard after that speech of miss ferrera it envokes so many emotions that i never thought will hit me hard to the core and with billie eilish song at the end it broke me to pieces watch this i thought it will be a cheesy childish movie it wasnt it will definitely make you realize how difficult it is to be accepted beyond the color pinks in the movie theres a dark sadness that everyone of us experience if barbie found herself im still looking where i belong where i can be accepted without judgment</v>
      </c>
      <c r="D1570">
        <v>0</v>
      </c>
      <c r="E1570">
        <v>0</v>
      </c>
      <c r="F1570" t="s">
        <v>10</v>
      </c>
      <c r="G1570" t="str" cm="1">
        <f t="array" ref="G1570">FindCountryName(F1570)</f>
        <v>None</v>
      </c>
      <c r="H1570" s="3">
        <v>45145.909409722219</v>
      </c>
      <c r="I1570" s="3">
        <v>45145.909409722219</v>
      </c>
      <c r="J1570" s="3">
        <v>42871.817337962966</v>
      </c>
      <c r="K1570" cm="1">
        <f t="array" ref="K1570">sentimentCalc(C1570)</f>
        <v>-8</v>
      </c>
      <c r="L1570" t="str" cm="1">
        <f t="array" ref="L1570">sentimentCategory(K1570)</f>
        <v>Negative</v>
      </c>
    </row>
    <row r="1571" spans="1:12" x14ac:dyDescent="0.25">
      <c r="A1571" t="s">
        <v>838</v>
      </c>
      <c r="B1571" t="s">
        <v>2796</v>
      </c>
      <c r="C1571" t="str" cm="1">
        <f t="array" ref="C1571">CleanText(B1571)</f>
        <v>i never knew the struggle pretty white women have thankyou i am fully enlightened now</v>
      </c>
      <c r="D1571">
        <v>4</v>
      </c>
      <c r="E1571">
        <v>1</v>
      </c>
      <c r="F1571" t="s">
        <v>10</v>
      </c>
      <c r="G1571" t="str" cm="1">
        <f t="array" ref="G1571">FindCountryName(F1571)</f>
        <v>None</v>
      </c>
      <c r="H1571" s="3">
        <v>45157.783738425926</v>
      </c>
      <c r="I1571" s="3">
        <v>45157.783726851849</v>
      </c>
      <c r="J1571" s="3">
        <v>41442.676296296297</v>
      </c>
      <c r="K1571" cm="1">
        <f t="array" ref="K1571">sentimentCalc(C1571)</f>
        <v>1</v>
      </c>
      <c r="L1571" t="str" cm="1">
        <f t="array" ref="L1571">sentimentCategory(K1571)</f>
        <v>Positive</v>
      </c>
    </row>
    <row r="1572" spans="1:12" x14ac:dyDescent="0.25">
      <c r="A1572" t="s">
        <v>2461</v>
      </c>
      <c r="B1572" t="s">
        <v>2462</v>
      </c>
      <c r="C1572" t="str" cm="1">
        <f t="array" ref="C1572">CleanText(B1572)</f>
        <v>i never owned a barbie but always wanted to and its been ages this movie is released and i have not yet</v>
      </c>
      <c r="D1572">
        <v>1</v>
      </c>
      <c r="E1572">
        <v>0</v>
      </c>
      <c r="F1572" t="s">
        <v>10</v>
      </c>
      <c r="G1572" t="str" cm="1">
        <f t="array" ref="G1572">FindCountryName(F1572)</f>
        <v>None</v>
      </c>
      <c r="H1572" s="3">
        <v>45166.424930555557</v>
      </c>
      <c r="I1572" s="3">
        <v>45166.424930555557</v>
      </c>
      <c r="J1572" s="3">
        <v>40620.58488425926</v>
      </c>
      <c r="K1572" cm="1">
        <f t="array" ref="K1572">sentimentCalc(C1572)</f>
        <v>0</v>
      </c>
      <c r="L1572" t="str" cm="1">
        <f t="array" ref="L1572">sentimentCategory(K1572)</f>
        <v>Neutral</v>
      </c>
    </row>
    <row r="1573" spans="1:12" x14ac:dyDescent="0.25">
      <c r="A1573" t="s">
        <v>1119</v>
      </c>
      <c r="B1573" t="s">
        <v>1901</v>
      </c>
      <c r="C1573" t="str" cm="1">
        <f t="array" ref="C1573">CleanText(B1573)</f>
        <v>i never thought a barbie movie would lead to discussing existentialism it was like watching the matrix mixed with pinocchiothe way they added midge and weird versions like growing up skipper and sugar daddy ken was so funny my favorite part is the musical part with the kens it was so nice to watch ryan and simu and dont forget scott evans</v>
      </c>
      <c r="D1573">
        <v>0</v>
      </c>
      <c r="E1573">
        <v>0</v>
      </c>
      <c r="F1573" t="s">
        <v>10</v>
      </c>
      <c r="G1573" t="str" cm="1">
        <f t="array" ref="G1573">FindCountryName(F1573)</f>
        <v>None</v>
      </c>
      <c r="H1573" s="3">
        <v>45188.489895833336</v>
      </c>
      <c r="I1573" s="3">
        <v>45188.489895833336</v>
      </c>
      <c r="J1573" s="3">
        <v>41541.106678240743</v>
      </c>
      <c r="K1573" cm="1">
        <f t="array" ref="K1573">sentimentCalc(C1573)</f>
        <v>11</v>
      </c>
      <c r="L1573" t="str" cm="1">
        <f t="array" ref="L1573">sentimentCategory(K1573)</f>
        <v>Positive</v>
      </c>
    </row>
    <row r="1574" spans="1:12" x14ac:dyDescent="0.25">
      <c r="A1574" t="s">
        <v>2456</v>
      </c>
      <c r="B1574" t="s">
        <v>2457</v>
      </c>
      <c r="C1574" t="str" cm="1">
        <f t="array" ref="C1574">CleanText(B1574)</f>
        <v>i never thought i would be interested in a barbie movie other than to look at margot but this actually seems interesting i might have to see it</v>
      </c>
      <c r="D1574">
        <v>12</v>
      </c>
      <c r="E1574">
        <v>1</v>
      </c>
      <c r="F1574" t="s">
        <v>10</v>
      </c>
      <c r="G1574" t="str" cm="1">
        <f t="array" ref="G1574">FindCountryName(F1574)</f>
        <v>None</v>
      </c>
      <c r="H1574" s="3">
        <v>45166.452824074076</v>
      </c>
      <c r="I1574" s="3">
        <v>45166.452824074076</v>
      </c>
      <c r="J1574" s="3">
        <v>39521.788287037038</v>
      </c>
      <c r="K1574" cm="1">
        <f t="array" ref="K1574">sentimentCalc(C1574)</f>
        <v>4</v>
      </c>
      <c r="L1574" t="str" cm="1">
        <f t="array" ref="L1574">sentimentCategory(K1574)</f>
        <v>Positive</v>
      </c>
    </row>
    <row r="1575" spans="1:12" x14ac:dyDescent="0.25">
      <c r="A1575" t="s">
        <v>365</v>
      </c>
      <c r="B1575" t="s">
        <v>4204</v>
      </c>
      <c r="C1575" t="str" cm="1">
        <f t="array" ref="C1575">CleanText(B1575)</f>
        <v>i nikki should have played barbie</v>
      </c>
      <c r="D1575">
        <v>1</v>
      </c>
      <c r="E1575">
        <v>0</v>
      </c>
      <c r="F1575" t="s">
        <v>10</v>
      </c>
      <c r="G1575" t="str" cm="1">
        <f t="array" ref="G1575">FindCountryName(F1575)</f>
        <v>None</v>
      </c>
      <c r="H1575" s="3">
        <v>45141.957812499997</v>
      </c>
      <c r="I1575" s="3">
        <v>45141.957812499997</v>
      </c>
      <c r="J1575" s="3">
        <v>40839.35869212963</v>
      </c>
      <c r="K1575" cm="1">
        <f t="array" ref="K1575">sentimentCalc(C1575)</f>
        <v>0</v>
      </c>
      <c r="L1575" t="str" cm="1">
        <f t="array" ref="L1575">sentimentCategory(K1575)</f>
        <v>Neutral</v>
      </c>
    </row>
    <row r="1576" spans="1:12" x14ac:dyDescent="0.25">
      <c r="A1576" t="s">
        <v>22</v>
      </c>
      <c r="B1576" t="s">
        <v>64</v>
      </c>
      <c r="C1576" t="str" cm="1">
        <f t="array" ref="C1576">CleanText(B1576)</f>
        <v>i not love barbie not hate barbie but i like to see margot robie hail the quen</v>
      </c>
      <c r="D1576">
        <v>0</v>
      </c>
      <c r="E1576">
        <v>0</v>
      </c>
      <c r="F1576" t="s">
        <v>65</v>
      </c>
      <c r="G1576" t="str" cm="1">
        <f t="array" ref="G1576">FindCountryName(F1576)</f>
        <v>Indonesia</v>
      </c>
      <c r="H1576" s="3">
        <v>45343.023356481484</v>
      </c>
      <c r="I1576" s="3">
        <v>45343.023356481484</v>
      </c>
      <c r="J1576" s="3">
        <v>42206.248506944445</v>
      </c>
      <c r="K1576" cm="1">
        <f t="array" ref="K1576">sentimentCalc(C1576)</f>
        <v>4</v>
      </c>
      <c r="L1576" t="str" cm="1">
        <f t="array" ref="L1576">sentimentCategory(K1576)</f>
        <v>Positive</v>
      </c>
    </row>
    <row r="1577" spans="1:12" x14ac:dyDescent="0.25">
      <c r="A1577" t="s">
        <v>501</v>
      </c>
      <c r="B1577" t="s">
        <v>2435</v>
      </c>
      <c r="C1577" t="str" cm="1">
        <f t="array" ref="C1577">CleanText(B1577)</f>
        <v>i one be ken</v>
      </c>
      <c r="D1577">
        <v>0</v>
      </c>
      <c r="E1577">
        <v>0</v>
      </c>
      <c r="F1577" t="s">
        <v>10</v>
      </c>
      <c r="G1577" t="str" cm="1">
        <f t="array" ref="G1577">FindCountryName(F1577)</f>
        <v>None</v>
      </c>
      <c r="H1577" s="3">
        <v>45167.315775462965</v>
      </c>
      <c r="I1577" s="3">
        <v>45167.315775462965</v>
      </c>
      <c r="J1577" s="3">
        <v>45065.212175925924</v>
      </c>
      <c r="K1577" cm="1">
        <f t="array" ref="K1577">sentimentCalc(C1577)</f>
        <v>0</v>
      </c>
      <c r="L1577" t="str" cm="1">
        <f t="array" ref="L1577">sentimentCategory(K1577)</f>
        <v>Neutral</v>
      </c>
    </row>
    <row r="1578" spans="1:12" x14ac:dyDescent="0.25">
      <c r="A1578" t="s">
        <v>126</v>
      </c>
      <c r="B1578" t="s">
        <v>3131</v>
      </c>
      <c r="C1578" t="str" cm="1">
        <f t="array" ref="C1578">CleanText(B1578)</f>
        <v>i pray this movie is destroyed</v>
      </c>
      <c r="D1578">
        <v>5</v>
      </c>
      <c r="E1578">
        <v>3</v>
      </c>
      <c r="F1578" t="s">
        <v>10</v>
      </c>
      <c r="G1578" t="str" cm="1">
        <f t="array" ref="G1578">FindCountryName(F1578)</f>
        <v>None</v>
      </c>
      <c r="H1578" s="3">
        <v>45152.8746875</v>
      </c>
      <c r="I1578" s="3">
        <v>45152.8746875</v>
      </c>
      <c r="J1578" s="3">
        <v>41036.345925925925</v>
      </c>
      <c r="K1578" cm="1">
        <f t="array" ref="K1578">sentimentCalc(C1578)</f>
        <v>-2</v>
      </c>
      <c r="L1578" t="str" cm="1">
        <f t="array" ref="L1578">sentimentCategory(K1578)</f>
        <v>Negative</v>
      </c>
    </row>
    <row r="1579" spans="1:12" x14ac:dyDescent="0.25">
      <c r="A1579" t="s">
        <v>239</v>
      </c>
      <c r="B1579" t="s">
        <v>2215</v>
      </c>
      <c r="C1579" t="str" cm="1">
        <f t="array" ref="C1579">CleanText(B1579)</f>
        <v>i prefered sindy she was more outgoing didnt have a boyfriend friends with benefits get in my bedroom sindy</v>
      </c>
      <c r="D1579">
        <v>2</v>
      </c>
      <c r="E1579">
        <v>0</v>
      </c>
      <c r="F1579" t="s">
        <v>10</v>
      </c>
      <c r="G1579" t="str" cm="1">
        <f t="array" ref="G1579">FindCountryName(F1579)</f>
        <v>None</v>
      </c>
      <c r="H1579" s="3">
        <v>45175.583449074074</v>
      </c>
      <c r="I1579" s="3">
        <v>45175.583449074074</v>
      </c>
      <c r="J1579" s="3">
        <v>44029.656319444446</v>
      </c>
      <c r="K1579" cm="1">
        <f t="array" ref="K1579">sentimentCalc(C1579)</f>
        <v>2</v>
      </c>
      <c r="L1579" t="str" cm="1">
        <f t="array" ref="L1579">sentimentCategory(K1579)</f>
        <v>Positive</v>
      </c>
    </row>
    <row r="1580" spans="1:12" x14ac:dyDescent="0.25">
      <c r="A1580" t="s">
        <v>120</v>
      </c>
      <c r="B1580" t="s">
        <v>319</v>
      </c>
      <c r="C1580" t="str" cm="1">
        <f t="array" ref="C1580">CleanText(B1580)</f>
        <v>i put myself in barbie shoes its a really good movie</v>
      </c>
      <c r="D1580">
        <v>0</v>
      </c>
      <c r="E1580">
        <v>0</v>
      </c>
      <c r="F1580" t="s">
        <v>10</v>
      </c>
      <c r="G1580" t="str" cm="1">
        <f t="array" ref="G1580">FindCountryName(F1580)</f>
        <v>None</v>
      </c>
      <c r="H1580" s="3">
        <v>45322.315740740742</v>
      </c>
      <c r="I1580" s="3">
        <v>45322.315740740742</v>
      </c>
      <c r="J1580" s="3">
        <v>45322.309872685182</v>
      </c>
      <c r="K1580" cm="1">
        <f t="array" ref="K1580">sentimentCalc(C1580)</f>
        <v>3</v>
      </c>
      <c r="L1580" t="str" cm="1">
        <f t="array" ref="L1580">sentimentCategory(K1580)</f>
        <v>Positive</v>
      </c>
    </row>
    <row r="1581" spans="1:12" x14ac:dyDescent="0.25">
      <c r="A1581" t="s">
        <v>537</v>
      </c>
      <c r="B1581" t="s">
        <v>4155</v>
      </c>
      <c r="C1581" t="str" cm="1">
        <f t="array" ref="C1581">CleanText(B1581)</f>
        <v>i rather the barbie cartoons and og stuff this movie had wokism everywhere i just didnt like it</v>
      </c>
      <c r="D1581">
        <v>0</v>
      </c>
      <c r="E1581">
        <v>0</v>
      </c>
      <c r="F1581" t="s">
        <v>10</v>
      </c>
      <c r="G1581" t="str" cm="1">
        <f t="array" ref="G1581">FindCountryName(F1581)</f>
        <v>None</v>
      </c>
      <c r="H1581" s="3">
        <v>45142.48159722222</v>
      </c>
      <c r="I1581" s="3">
        <v>45142.48159722222</v>
      </c>
      <c r="J1581" s="3">
        <v>43928.427662037036</v>
      </c>
      <c r="K1581" cm="1">
        <f t="array" ref="K1581">sentimentCalc(C1581)</f>
        <v>2</v>
      </c>
      <c r="L1581" t="str" cm="1">
        <f t="array" ref="L1581">sentimentCategory(K1581)</f>
        <v>Positive</v>
      </c>
    </row>
    <row r="1582" spans="1:12" x14ac:dyDescent="0.25">
      <c r="A1582" t="s">
        <v>1756</v>
      </c>
      <c r="B1582" t="s">
        <v>1757</v>
      </c>
      <c r="C1582" t="str" cm="1">
        <f t="array" ref="C1582">CleanText(B1582)</f>
        <v>i really enjoyed this movie but anything with will ferrell and margot robbie in it is always fun to watch great job</v>
      </c>
      <c r="D1582">
        <v>3</v>
      </c>
      <c r="E1582">
        <v>0</v>
      </c>
      <c r="F1582" t="s">
        <v>10</v>
      </c>
      <c r="G1582" t="str" cm="1">
        <f t="array" ref="G1582">FindCountryName(F1582)</f>
        <v>None</v>
      </c>
      <c r="H1582" s="3">
        <v>45196.824050925927</v>
      </c>
      <c r="I1582" s="3">
        <v>45196.824050925927</v>
      </c>
      <c r="J1582" s="3">
        <v>44941.887476851851</v>
      </c>
      <c r="K1582" cm="1">
        <f t="array" ref="K1582">sentimentCalc(C1582)</f>
        <v>7</v>
      </c>
      <c r="L1582" t="str" cm="1">
        <f t="array" ref="L1582">sentimentCategory(K1582)</f>
        <v>Positive</v>
      </c>
    </row>
    <row r="1583" spans="1:12" x14ac:dyDescent="0.25">
      <c r="A1583" t="s">
        <v>362</v>
      </c>
      <c r="B1583" t="s">
        <v>363</v>
      </c>
      <c r="C1583" t="str" cm="1">
        <f t="array" ref="C1583">CleanText(B1583)</f>
        <v>i really enjoyed this movie successful actors are playing</v>
      </c>
      <c r="D1583">
        <v>0</v>
      </c>
      <c r="E1583">
        <v>0</v>
      </c>
      <c r="F1583" t="s">
        <v>10</v>
      </c>
      <c r="G1583" t="str" cm="1">
        <f t="array" ref="G1583">FindCountryName(F1583)</f>
        <v>None</v>
      </c>
      <c r="H1583" s="3">
        <v>45322.275393518517</v>
      </c>
      <c r="I1583" s="3">
        <v>45322.275393518517</v>
      </c>
      <c r="J1583" s="3">
        <v>43971.597754629627</v>
      </c>
      <c r="K1583" cm="1">
        <f t="array" ref="K1583">sentimentCalc(C1583)</f>
        <v>3</v>
      </c>
      <c r="L1583" t="str" cm="1">
        <f t="array" ref="L1583">sentimentCategory(K1583)</f>
        <v>Positive</v>
      </c>
    </row>
    <row r="1584" spans="1:12" x14ac:dyDescent="0.25">
      <c r="A1584" t="s">
        <v>25</v>
      </c>
      <c r="B1584" t="s">
        <v>27</v>
      </c>
      <c r="C1584" t="str" cm="1">
        <f t="array" ref="C1584">CleanText(B1584)</f>
        <v>i really expected more from this movie after all my daughter grew up on barbie dolls and we didnt care if she was white we just like the doll and people put too my emphasis on that fact especially when they were saying how come there arent any black barbie dolls barbie was created by her own who was white but we want to flip the script and make barbie all races really the movie really didnt cater to kids which i was hoping it would do it catered to body shamming and seemingly that women dont need men when god created the pair to live and work together yet we as women are the ones who are putting so much into looking perfect being perfect when nobody is perfect women do it to themselves not men for me it would be all about the kids imagination when making this movie my daughter still loves her barbie doll and it didnt take a professional barbie to make her a professional independent woman today</v>
      </c>
      <c r="D1584">
        <v>0</v>
      </c>
      <c r="E1584">
        <v>0</v>
      </c>
      <c r="F1584" t="s">
        <v>10</v>
      </c>
      <c r="G1584" t="str" cm="1">
        <f t="array" ref="G1584">FindCountryName(F1584)</f>
        <v>None</v>
      </c>
      <c r="H1584" s="3">
        <v>45348.327268518522</v>
      </c>
      <c r="I1584" s="3">
        <v>45348.327268518522</v>
      </c>
      <c r="J1584" s="3">
        <v>42895.280266203707</v>
      </c>
      <c r="K1584" cm="1">
        <f t="array" ref="K1584">sentimentCalc(C1584)</f>
        <v>17</v>
      </c>
      <c r="L1584" t="str" cm="1">
        <f t="array" ref="L1584">sentimentCategory(K1584)</f>
        <v>Positive</v>
      </c>
    </row>
    <row r="1585" spans="1:12" x14ac:dyDescent="0.25">
      <c r="A1585" t="s">
        <v>1279</v>
      </c>
      <c r="B1585" t="s">
        <v>1971</v>
      </c>
      <c r="C1585" t="str" cm="1">
        <f t="array" ref="C1585">CleanText(B1585)</f>
        <v>i really love barbie but why is she in the real world</v>
      </c>
      <c r="D1585">
        <v>1</v>
      </c>
      <c r="E1585">
        <v>1</v>
      </c>
      <c r="F1585" t="s">
        <v>10</v>
      </c>
      <c r="G1585" t="str" cm="1">
        <f t="array" ref="G1585">FindCountryName(F1585)</f>
        <v>None</v>
      </c>
      <c r="H1585" s="3">
        <v>45185.92591435185</v>
      </c>
      <c r="I1585" s="3">
        <v>45185.92591435185</v>
      </c>
      <c r="J1585" s="3">
        <v>45105.018645833334</v>
      </c>
      <c r="K1585" cm="1">
        <f t="array" ref="K1585">sentimentCalc(C1585)</f>
        <v>3</v>
      </c>
      <c r="L1585" t="str" cm="1">
        <f t="array" ref="L1585">sentimentCategory(K1585)</f>
        <v>Positive</v>
      </c>
    </row>
    <row r="1586" spans="1:12" x14ac:dyDescent="0.25">
      <c r="A1586" t="s">
        <v>2078</v>
      </c>
      <c r="B1586" t="s">
        <v>2079</v>
      </c>
      <c r="C1586" t="str" cm="1">
        <f t="array" ref="C1586">CleanText(B1586)</f>
        <v>i really need to see this movie part of me want to know what grown men from all over the world is so pissed of about this movie seems kitsch and great</v>
      </c>
      <c r="D1586">
        <v>1</v>
      </c>
      <c r="E1586">
        <v>3</v>
      </c>
      <c r="F1586" t="s">
        <v>10</v>
      </c>
      <c r="G1586" t="str" cm="1">
        <f t="array" ref="G1586">FindCountryName(F1586)</f>
        <v>None</v>
      </c>
      <c r="H1586" s="3">
        <v>45181.485752314817</v>
      </c>
      <c r="I1586" s="3">
        <v>45181.485752314817</v>
      </c>
      <c r="J1586" s="3">
        <v>39011.527025462965</v>
      </c>
      <c r="K1586" cm="1">
        <f t="array" ref="K1586">sentimentCalc(C1586)</f>
        <v>0</v>
      </c>
      <c r="L1586" t="str" cm="1">
        <f t="array" ref="L1586">sentimentCategory(K1586)</f>
        <v>Neutral</v>
      </c>
    </row>
    <row r="1587" spans="1:12" x14ac:dyDescent="0.25">
      <c r="A1587" t="s">
        <v>73</v>
      </c>
      <c r="B1587" t="s">
        <v>3784</v>
      </c>
      <c r="C1587" t="str" cm="1">
        <f t="array" ref="C1587">CleanText(B1587)</f>
        <v>i really really love barbie</v>
      </c>
      <c r="D1587">
        <v>0</v>
      </c>
      <c r="E1587">
        <v>0</v>
      </c>
      <c r="F1587" t="s">
        <v>10</v>
      </c>
      <c r="G1587" t="str" cm="1">
        <f t="array" ref="G1587">FindCountryName(F1587)</f>
        <v>None</v>
      </c>
      <c r="H1587" s="3">
        <v>45145.522812499999</v>
      </c>
      <c r="I1587" s="3">
        <v>45145.522812499999</v>
      </c>
      <c r="J1587" s="3">
        <v>40957.197569444441</v>
      </c>
      <c r="K1587" cm="1">
        <f t="array" ref="K1587">sentimentCalc(C1587)</f>
        <v>3</v>
      </c>
      <c r="L1587" t="str" cm="1">
        <f t="array" ref="L1587">sentimentCategory(K1587)</f>
        <v>Positive</v>
      </c>
    </row>
    <row r="1588" spans="1:12" x14ac:dyDescent="0.25">
      <c r="A1588" t="s">
        <v>3774</v>
      </c>
      <c r="B1588" t="s">
        <v>3775</v>
      </c>
      <c r="C1588" t="str" cm="1">
        <f t="array" ref="C1588">CleanText(B1588)</f>
        <v>i really tried to watch this movie i really tried but the third time already i almost puked i will rate this movie</v>
      </c>
      <c r="D1588">
        <v>1</v>
      </c>
      <c r="E1588">
        <v>0</v>
      </c>
      <c r="F1588" t="s">
        <v>10</v>
      </c>
      <c r="G1588" t="str" cm="1">
        <f t="array" ref="G1588">FindCountryName(F1588)</f>
        <v>None</v>
      </c>
      <c r="H1588" s="3">
        <v>45145.581620370373</v>
      </c>
      <c r="I1588" s="3">
        <v>45145.581620370373</v>
      </c>
      <c r="J1588" s="3">
        <v>39326.374988425923</v>
      </c>
      <c r="K1588" cm="1">
        <f t="array" ref="K1588">sentimentCalc(C1588)</f>
        <v>0</v>
      </c>
      <c r="L1588" t="str" cm="1">
        <f t="array" ref="L1588">sentimentCategory(K1588)</f>
        <v>Neutral</v>
      </c>
    </row>
    <row r="1589" spans="1:12" x14ac:dyDescent="0.25">
      <c r="A1589" t="s">
        <v>66</v>
      </c>
      <c r="B1589" t="s">
        <v>2533</v>
      </c>
      <c r="C1589" t="str" cm="1">
        <f t="array" ref="C1589">CleanText(B1589)</f>
        <v>i really want to watch this movie but im not allowed to</v>
      </c>
      <c r="D1589">
        <v>0</v>
      </c>
      <c r="E1589">
        <v>0</v>
      </c>
      <c r="F1589" t="s">
        <v>10</v>
      </c>
      <c r="G1589" t="str" cm="1">
        <f t="array" ref="G1589">FindCountryName(F1589)</f>
        <v>None</v>
      </c>
      <c r="H1589" s="3">
        <v>45164.142337962963</v>
      </c>
      <c r="I1589" s="3">
        <v>45164.142337962963</v>
      </c>
      <c r="J1589" s="3">
        <v>44934.452893518515</v>
      </c>
      <c r="K1589" cm="1">
        <f t="array" ref="K1589">sentimentCalc(C1589)</f>
        <v>1</v>
      </c>
      <c r="L1589" t="str" cm="1">
        <f t="array" ref="L1589">sentimentCategory(K1589)</f>
        <v>Positive</v>
      </c>
    </row>
    <row r="1590" spans="1:12" x14ac:dyDescent="0.25">
      <c r="A1590" t="s">
        <v>1908</v>
      </c>
      <c r="B1590" t="s">
        <v>1909</v>
      </c>
      <c r="C1590" t="str" cm="1">
        <f t="array" ref="C1590">CleanText(B1590)</f>
        <v>i really wanted to give it a chance but it just wasnt funny and i didnt like any of the portrayals not even ken super tedious maybe mainstream comedy just isnt for me</v>
      </c>
      <c r="D1590">
        <v>0</v>
      </c>
      <c r="E1590">
        <v>0</v>
      </c>
      <c r="F1590" t="s">
        <v>10</v>
      </c>
      <c r="G1590" t="str" cm="1">
        <f t="array" ref="G1590">FindCountryName(F1590)</f>
        <v>None</v>
      </c>
      <c r="H1590" s="3">
        <v>45188.31181712963</v>
      </c>
      <c r="I1590" s="3">
        <v>45188.31181712963</v>
      </c>
      <c r="J1590" s="3">
        <v>41624.156504629631</v>
      </c>
      <c r="K1590" cm="1">
        <f t="array" ref="K1590">sentimentCalc(C1590)</f>
        <v>12</v>
      </c>
      <c r="L1590" t="str" cm="1">
        <f t="array" ref="L1590">sentimentCategory(K1590)</f>
        <v>Positive</v>
      </c>
    </row>
    <row r="1591" spans="1:12" x14ac:dyDescent="0.25">
      <c r="A1591" t="s">
        <v>2365</v>
      </c>
      <c r="B1591" t="s">
        <v>2773</v>
      </c>
      <c r="C1591" t="str" cm="1">
        <f t="array" ref="C1591">CleanText(B1591)</f>
        <v>i reckon ryan goslings best movie is drive</v>
      </c>
      <c r="D1591">
        <v>0</v>
      </c>
      <c r="E1591">
        <v>0</v>
      </c>
      <c r="F1591" t="s">
        <v>10</v>
      </c>
      <c r="G1591" t="str" cm="1">
        <f t="array" ref="G1591">FindCountryName(F1591)</f>
        <v>None</v>
      </c>
      <c r="H1591" s="3">
        <v>45158.167581018519</v>
      </c>
      <c r="I1591" s="3">
        <v>45158.167581018519</v>
      </c>
      <c r="J1591" s="3">
        <v>45069.177789351852</v>
      </c>
      <c r="K1591" cm="1">
        <f t="array" ref="K1591">sentimentCalc(C1591)</f>
        <v>3</v>
      </c>
      <c r="L1591" t="str" cm="1">
        <f t="array" ref="L1591">sentimentCategory(K1591)</f>
        <v>Positive</v>
      </c>
    </row>
    <row r="1592" spans="1:12" x14ac:dyDescent="0.25">
      <c r="A1592" t="s">
        <v>1142</v>
      </c>
      <c r="B1592" t="s">
        <v>1144</v>
      </c>
      <c r="C1592" t="str" cm="1">
        <f t="array" ref="C1592">CleanText(B1592)</f>
        <v>i recommend the movie life sized with tyra banks and lindsey lohan better than this</v>
      </c>
      <c r="D1592">
        <v>2</v>
      </c>
      <c r="E1592">
        <v>0</v>
      </c>
      <c r="F1592" t="s">
        <v>10</v>
      </c>
      <c r="G1592" t="str" cm="1">
        <f t="array" ref="G1592">FindCountryName(F1592)</f>
        <v>None</v>
      </c>
      <c r="H1592" s="3">
        <v>45283.719074074077</v>
      </c>
      <c r="I1592" s="3">
        <v>45283.719074074077</v>
      </c>
      <c r="J1592" s="3">
        <v>40970.004189814812</v>
      </c>
      <c r="K1592" cm="1">
        <f t="array" ref="K1592">sentimentCalc(C1592)</f>
        <v>4</v>
      </c>
      <c r="L1592" t="str" cm="1">
        <f t="array" ref="L1592">sentimentCategory(K1592)</f>
        <v>Positive</v>
      </c>
    </row>
    <row r="1593" spans="1:12" x14ac:dyDescent="0.25">
      <c r="A1593" t="s">
        <v>1368</v>
      </c>
      <c r="B1593" t="s">
        <v>1369</v>
      </c>
      <c r="C1593" t="str" cm="1">
        <f t="array" ref="C1593">CleanText(B1593)</f>
        <v>i regret the time i lost on this movie a big pile of pink   the only good thing that kept me watching was ryan gosling acting  only time will tell if im right or wrong and i hope mattel will stay on the creation side like monster high masters of the universe  hot wheels and let this movie be the only one in their mistake path to greed for money  wb go revive the dcu or try to end some wars</v>
      </c>
      <c r="D1593">
        <v>3</v>
      </c>
      <c r="E1593">
        <v>1</v>
      </c>
      <c r="F1593" t="s">
        <v>10</v>
      </c>
      <c r="G1593" t="str" cm="1">
        <f t="array" ref="G1593">FindCountryName(F1593)</f>
        <v>None</v>
      </c>
      <c r="H1593" s="3">
        <v>45238.064131944448</v>
      </c>
      <c r="I1593" s="3">
        <v>45238.064131944448</v>
      </c>
      <c r="J1593" s="3">
        <v>38951.911157407405</v>
      </c>
      <c r="K1593" cm="1">
        <f t="array" ref="K1593">sentimentCalc(C1593)</f>
        <v>-2</v>
      </c>
      <c r="L1593" t="str" cm="1">
        <f t="array" ref="L1593">sentimentCategory(K1593)</f>
        <v>Negative</v>
      </c>
    </row>
    <row r="1594" spans="1:12" x14ac:dyDescent="0.25">
      <c r="A1594" t="s">
        <v>1683</v>
      </c>
      <c r="B1594" t="s">
        <v>1684</v>
      </c>
      <c r="C1594" t="str" cm="1">
        <f t="array" ref="C1594">CleanText(B1594)</f>
        <v>i remember ryan gosling guest starring in goosebumps and are you afraid of the dark in the s</v>
      </c>
      <c r="D1594">
        <v>0</v>
      </c>
      <c r="E1594">
        <v>0</v>
      </c>
      <c r="F1594" t="s">
        <v>227</v>
      </c>
      <c r="G1594" t="str" cm="1">
        <f t="array" ref="G1594">FindCountryName(F1594)</f>
        <v>United States of America (the)</v>
      </c>
      <c r="H1594" s="3">
        <v>45202.454560185186</v>
      </c>
      <c r="I1594" s="3">
        <v>45202.454560185186</v>
      </c>
      <c r="J1594" s="3">
        <v>42461.38863425926</v>
      </c>
      <c r="K1594" cm="1">
        <f t="array" ref="K1594">sentimentCalc(C1594)</f>
        <v>-2</v>
      </c>
      <c r="L1594" t="str" cm="1">
        <f t="array" ref="L1594">sentimentCategory(K1594)</f>
        <v>Negative</v>
      </c>
    </row>
    <row r="1595" spans="1:12" x14ac:dyDescent="0.25">
      <c r="A1595" t="s">
        <v>2519</v>
      </c>
      <c r="B1595" t="s">
        <v>2520</v>
      </c>
      <c r="C1595" t="str" cm="1">
        <f t="array" ref="C1595">CleanText(B1595)</f>
        <v>i saw it the nd day that it came out its  worth it trust me</v>
      </c>
      <c r="D1595">
        <v>1</v>
      </c>
      <c r="E1595">
        <v>0</v>
      </c>
      <c r="F1595" t="s">
        <v>10</v>
      </c>
      <c r="G1595" t="str" cm="1">
        <f t="array" ref="G1595">FindCountryName(F1595)</f>
        <v>None</v>
      </c>
      <c r="H1595" s="3">
        <v>45164.478217592594</v>
      </c>
      <c r="I1595" s="3">
        <v>45164.478217592594</v>
      </c>
      <c r="J1595" s="3">
        <v>45163.630856481483</v>
      </c>
      <c r="K1595" cm="1">
        <f t="array" ref="K1595">sentimentCalc(C1595)</f>
        <v>3</v>
      </c>
      <c r="L1595" t="str" cm="1">
        <f t="array" ref="L1595">sentimentCategory(K1595)</f>
        <v>Positive</v>
      </c>
    </row>
    <row r="1596" spans="1:12" x14ac:dyDescent="0.25">
      <c r="A1596" t="s">
        <v>405</v>
      </c>
      <c r="B1596" t="s">
        <v>2073</v>
      </c>
      <c r="C1596" t="str" cm="1">
        <f t="array" ref="C1596">CleanText(B1596)</f>
        <v>i saw it</v>
      </c>
      <c r="D1596">
        <v>0</v>
      </c>
      <c r="E1596">
        <v>0</v>
      </c>
      <c r="F1596" t="s">
        <v>10</v>
      </c>
      <c r="G1596" t="str" cm="1">
        <f t="array" ref="G1596">FindCountryName(F1596)</f>
        <v>None</v>
      </c>
      <c r="H1596" s="3">
        <v>45182.030752314815</v>
      </c>
      <c r="I1596" s="3">
        <v>45182.030752314815</v>
      </c>
      <c r="J1596" s="3">
        <v>45150.233946759261</v>
      </c>
      <c r="K1596" cm="1">
        <f t="array" ref="K1596">sentimentCalc(C1596)</f>
        <v>0</v>
      </c>
      <c r="L1596" t="str" cm="1">
        <f t="array" ref="L1596">sentimentCategory(K1596)</f>
        <v>Neutral</v>
      </c>
    </row>
    <row r="1597" spans="1:12" x14ac:dyDescent="0.25">
      <c r="A1597" t="s">
        <v>2324</v>
      </c>
      <c r="B1597" t="s">
        <v>2325</v>
      </c>
      <c r="C1597" t="str" cm="1">
        <f t="array" ref="C1597">CleanText(B1597)</f>
        <v>i saw like  days ago and it was nothing like i expected it was amazing</v>
      </c>
      <c r="D1597">
        <v>1</v>
      </c>
      <c r="E1597">
        <v>0</v>
      </c>
      <c r="F1597" t="s">
        <v>10</v>
      </c>
      <c r="G1597" t="str" cm="1">
        <f t="array" ref="G1597">FindCountryName(F1597)</f>
        <v>None</v>
      </c>
      <c r="H1597" s="3">
        <v>45171.940787037034</v>
      </c>
      <c r="I1597" s="3">
        <v>45171.940787037034</v>
      </c>
      <c r="J1597" s="3">
        <v>38839.509525462963</v>
      </c>
      <c r="K1597" cm="1">
        <f t="array" ref="K1597">sentimentCalc(C1597)</f>
        <v>8</v>
      </c>
      <c r="L1597" t="str" cm="1">
        <f t="array" ref="L1597">sentimentCategory(K1597)</f>
        <v>Positive</v>
      </c>
    </row>
    <row r="1598" spans="1:12" x14ac:dyDescent="0.25">
      <c r="A1598" t="s">
        <v>830</v>
      </c>
      <c r="B1598" t="s">
        <v>2588</v>
      </c>
      <c r="C1598" t="str" cm="1">
        <f t="array" ref="C1598">CleanText(B1598)</f>
        <v>i saw the film barbie thise is a great movie  i want to be a barbie i am so a fan from thise barbie movie</v>
      </c>
      <c r="D1598">
        <v>0</v>
      </c>
      <c r="E1598">
        <v>0</v>
      </c>
      <c r="F1598" t="s">
        <v>10</v>
      </c>
      <c r="G1598" t="str" cm="1">
        <f t="array" ref="G1598">FindCountryName(F1598)</f>
        <v>None</v>
      </c>
      <c r="H1598" s="3">
        <v>45162.441365740742</v>
      </c>
      <c r="I1598" s="3">
        <v>45162.441365740742</v>
      </c>
      <c r="J1598" s="3">
        <v>44637.575231481482</v>
      </c>
      <c r="K1598" cm="1">
        <f t="array" ref="K1598">sentimentCalc(C1598)</f>
        <v>7</v>
      </c>
      <c r="L1598" t="str" cm="1">
        <f t="array" ref="L1598">sentimentCategory(K1598)</f>
        <v>Positive</v>
      </c>
    </row>
    <row r="1599" spans="1:12" x14ac:dyDescent="0.25">
      <c r="A1599" t="s">
        <v>2872</v>
      </c>
      <c r="B1599" t="s">
        <v>3918</v>
      </c>
      <c r="C1599" t="str" cm="1">
        <f t="array" ref="C1599">CleanText(B1599)</f>
        <v>i saw the movie already</v>
      </c>
      <c r="D1599">
        <v>2</v>
      </c>
      <c r="E1599">
        <v>0</v>
      </c>
      <c r="F1599" t="s">
        <v>10</v>
      </c>
      <c r="G1599" t="str" cm="1">
        <f t="array" ref="G1599">FindCountryName(F1599)</f>
        <v>None</v>
      </c>
      <c r="H1599" s="3">
        <v>45144.496145833335</v>
      </c>
      <c r="I1599" s="3">
        <v>45144.496145833335</v>
      </c>
      <c r="J1599" s="3">
        <v>45100.234803240739</v>
      </c>
      <c r="K1599" cm="1">
        <f t="array" ref="K1599">sentimentCalc(C1599)</f>
        <v>0</v>
      </c>
      <c r="L1599" t="str" cm="1">
        <f t="array" ref="L1599">sentimentCategory(K1599)</f>
        <v>Neutral</v>
      </c>
    </row>
    <row r="1600" spans="1:12" x14ac:dyDescent="0.25">
      <c r="A1600" t="s">
        <v>1217</v>
      </c>
      <c r="B1600" t="s">
        <v>1218</v>
      </c>
      <c r="C1600" t="str" cm="1">
        <f t="array" ref="C1600">CleanText(B1600)</f>
        <v>i saw this movie and i absolutely adore it i love how it highlights that both sexes have their issues and omg its one of those movies you just have to see in order to understand</v>
      </c>
      <c r="D1600">
        <v>5</v>
      </c>
      <c r="E1600">
        <v>1</v>
      </c>
      <c r="F1600" t="s">
        <v>10</v>
      </c>
      <c r="G1600" t="str" cm="1">
        <f t="array" ref="G1600">FindCountryName(F1600)</f>
        <v>None</v>
      </c>
      <c r="H1600" s="3">
        <v>45275.394999999997</v>
      </c>
      <c r="I1600" s="3">
        <v>45275.394999999997</v>
      </c>
      <c r="J1600" s="3">
        <v>44648.917222222219</v>
      </c>
      <c r="K1600" cm="1">
        <f t="array" ref="K1600">sentimentCalc(C1600)</f>
        <v>6</v>
      </c>
      <c r="L1600" t="str" cm="1">
        <f t="array" ref="L1600">sentimentCategory(K1600)</f>
        <v>Positive</v>
      </c>
    </row>
    <row r="1601" spans="1:12" x14ac:dyDescent="0.25">
      <c r="A1601" t="s">
        <v>1598</v>
      </c>
      <c r="B1601" t="s">
        <v>1599</v>
      </c>
      <c r="C1601" t="str" cm="1">
        <f t="array" ref="C1601">CleanText(B1601)</f>
        <v>i saw this movie and knew what it ment it was so good</v>
      </c>
      <c r="D1601">
        <v>0</v>
      </c>
      <c r="E1601">
        <v>0</v>
      </c>
      <c r="F1601" t="s">
        <v>10</v>
      </c>
      <c r="G1601" t="str" cm="1">
        <f t="array" ref="G1601">FindCountryName(F1601)</f>
        <v>None</v>
      </c>
      <c r="H1601" s="3">
        <v>45209.765509259261</v>
      </c>
      <c r="I1601" s="3">
        <v>45209.765509259261</v>
      </c>
      <c r="J1601" s="3">
        <v>45123.782650462963</v>
      </c>
      <c r="K1601" cm="1">
        <f t="array" ref="K1601">sentimentCalc(C1601)</f>
        <v>3</v>
      </c>
      <c r="L1601" t="str" cm="1">
        <f t="array" ref="L1601">sentimentCategory(K1601)</f>
        <v>Positive</v>
      </c>
    </row>
    <row r="1602" spans="1:12" x14ac:dyDescent="0.25">
      <c r="A1602" t="s">
        <v>4337</v>
      </c>
      <c r="B1602" t="s">
        <v>4338</v>
      </c>
      <c r="C1602" t="str" cm="1">
        <f t="array" ref="C1602">CleanText(B1602)</f>
        <v>i saw this movie and was really disappointed im a fan of margot robbie so i will say shes the best thing about this movie but the writer left this movie unfinished and it was more like watching half a movie since the ending was just another beginning it should be a series on netflix not a movie</v>
      </c>
      <c r="D1602">
        <v>0</v>
      </c>
      <c r="E1602">
        <v>0</v>
      </c>
      <c r="F1602" t="s">
        <v>10</v>
      </c>
      <c r="G1602" t="str" cm="1">
        <f t="array" ref="G1602">FindCountryName(F1602)</f>
        <v>None</v>
      </c>
      <c r="H1602" s="3">
        <v>45140.837488425925</v>
      </c>
      <c r="I1602" s="3">
        <v>45140.837488425925</v>
      </c>
      <c r="J1602" s="3">
        <v>40937.80196759259</v>
      </c>
      <c r="K1602" cm="1">
        <f t="array" ref="K1602">sentimentCalc(C1602)</f>
        <v>6</v>
      </c>
      <c r="L1602" t="str" cm="1">
        <f t="array" ref="L1602">sentimentCategory(K1602)</f>
        <v>Positive</v>
      </c>
    </row>
    <row r="1603" spans="1:12" x14ac:dyDescent="0.25">
      <c r="A1603" t="s">
        <v>1112</v>
      </c>
      <c r="B1603" t="s">
        <v>1277</v>
      </c>
      <c r="C1603" t="str" cm="1">
        <f t="array" ref="C1603">CleanText(B1603)</f>
        <v>i saw this movie in the cinema and it was so fun</v>
      </c>
      <c r="D1603">
        <v>3</v>
      </c>
      <c r="E1603">
        <v>0</v>
      </c>
      <c r="F1603" t="s">
        <v>10</v>
      </c>
      <c r="G1603" t="str" cm="1">
        <f t="array" ref="G1603">FindCountryName(F1603)</f>
        <v>None</v>
      </c>
      <c r="H1603" s="3">
        <v>45259.245532407411</v>
      </c>
      <c r="I1603" s="3">
        <v>45259.245532407411</v>
      </c>
      <c r="J1603" s="3">
        <v>44246.701435185183</v>
      </c>
      <c r="K1603" cm="1">
        <f t="array" ref="K1603">sentimentCalc(C1603)</f>
        <v>4</v>
      </c>
      <c r="L1603" t="str" cm="1">
        <f t="array" ref="L1603">sentimentCategory(K1603)</f>
        <v>Positive</v>
      </c>
    </row>
    <row r="1604" spans="1:12" x14ac:dyDescent="0.25">
      <c r="A1604" t="s">
        <v>1998</v>
      </c>
      <c r="B1604" t="s">
        <v>4351</v>
      </c>
      <c r="C1604" t="str" cm="1">
        <f t="array" ref="C1604">CleanText(B1604)</f>
        <v>i saw this movie today and let me just say this movie is more than just silly jokes and singing it actually provokes a lot of emotions and it was x better than i expected it to be</v>
      </c>
      <c r="D1604">
        <v>2503</v>
      </c>
      <c r="E1604">
        <v>97</v>
      </c>
      <c r="F1604" t="s">
        <v>10</v>
      </c>
      <c r="G1604" t="str" cm="1">
        <f t="array" ref="G1604">FindCountryName(F1604)</f>
        <v>None</v>
      </c>
      <c r="H1604" s="3">
        <v>45140.72828703704</v>
      </c>
      <c r="I1604" s="3">
        <v>45140.72828703704</v>
      </c>
      <c r="J1604" s="3">
        <v>43795.75340277778</v>
      </c>
      <c r="K1604" cm="1">
        <f t="array" ref="K1604">sentimentCalc(C1604)</f>
        <v>2</v>
      </c>
      <c r="L1604" t="str" cm="1">
        <f t="array" ref="L1604">sentimentCategory(K1604)</f>
        <v>Positive</v>
      </c>
    </row>
    <row r="1605" spans="1:12" x14ac:dyDescent="0.25">
      <c r="A1605" t="s">
        <v>2005</v>
      </c>
      <c r="B1605" t="s">
        <v>2006</v>
      </c>
      <c r="C1605" t="str" cm="1">
        <f t="array" ref="C1605">CleanText(B1605)</f>
        <v>i saw this movie today it was full with inspiration i love it</v>
      </c>
      <c r="D1605">
        <v>0</v>
      </c>
      <c r="E1605">
        <v>0</v>
      </c>
      <c r="F1605" t="s">
        <v>10</v>
      </c>
      <c r="G1605" t="str" cm="1">
        <f t="array" ref="G1605">FindCountryName(F1605)</f>
        <v>None</v>
      </c>
      <c r="H1605" s="3">
        <v>45184.681331018517</v>
      </c>
      <c r="I1605" s="3">
        <v>45184.681319444448</v>
      </c>
      <c r="J1605" s="3">
        <v>45029.549178240741</v>
      </c>
      <c r="K1605" cm="1">
        <f t="array" ref="K1605">sentimentCalc(C1605)</f>
        <v>5</v>
      </c>
      <c r="L1605" t="str" cm="1">
        <f t="array" ref="L1605">sentimentCategory(K1605)</f>
        <v>Positive</v>
      </c>
    </row>
    <row r="1606" spans="1:12" x14ac:dyDescent="0.25">
      <c r="A1606" t="s">
        <v>1135</v>
      </c>
      <c r="B1606" t="s">
        <v>1136</v>
      </c>
      <c r="C1606" t="str" cm="1">
        <f t="array" ref="C1606">CleanText(B1606)</f>
        <v>i saw this movie yesterday while being baked and i still cant get over it this movie especially when it roles towards the end is to intens like a real eye opener i still cant get over it for some reason haha what a movie brilliant</v>
      </c>
      <c r="D1606">
        <v>6</v>
      </c>
      <c r="E1606">
        <v>2</v>
      </c>
      <c r="F1606" t="s">
        <v>10</v>
      </c>
      <c r="G1606" t="str" cm="1">
        <f t="array" ref="G1606">FindCountryName(F1606)</f>
        <v>None</v>
      </c>
      <c r="H1606" s="3">
        <v>45284.269768518519</v>
      </c>
      <c r="I1606" s="3">
        <v>45284.269768518519</v>
      </c>
      <c r="J1606" s="3">
        <v>39052.19085648148</v>
      </c>
      <c r="K1606" cm="1">
        <f t="array" ref="K1606">sentimentCalc(C1606)</f>
        <v>6</v>
      </c>
      <c r="L1606" t="str" cm="1">
        <f t="array" ref="L1606">sentimentCategory(K1606)</f>
        <v>Positive</v>
      </c>
    </row>
    <row r="1607" spans="1:12" x14ac:dyDescent="0.25">
      <c r="A1607" t="s">
        <v>4207</v>
      </c>
      <c r="B1607" t="s">
        <v>4208</v>
      </c>
      <c r="C1607" t="str" cm="1">
        <f t="array" ref="C1607">CleanText(B1607)</f>
        <v>i searched oppenheimer trailer and this showed up</v>
      </c>
      <c r="D1607">
        <v>1</v>
      </c>
      <c r="E1607">
        <v>0</v>
      </c>
      <c r="F1607" t="s">
        <v>10</v>
      </c>
      <c r="G1607" t="str" cm="1">
        <f t="array" ref="G1607">FindCountryName(F1607)</f>
        <v>None</v>
      </c>
      <c r="H1607" s="3">
        <v>45141.932615740741</v>
      </c>
      <c r="I1607" s="3">
        <v>45141.932615740741</v>
      </c>
      <c r="J1607" s="3">
        <v>44533.85297453704</v>
      </c>
      <c r="K1607" cm="1">
        <f t="array" ref="K1607">sentimentCalc(C1607)</f>
        <v>0</v>
      </c>
      <c r="L1607" t="str" cm="1">
        <f t="array" ref="L1607">sentimentCategory(K1607)</f>
        <v>Neutral</v>
      </c>
    </row>
    <row r="1608" spans="1:12" x14ac:dyDescent="0.25">
      <c r="A1608" t="s">
        <v>211</v>
      </c>
      <c r="B1608" t="s">
        <v>4046</v>
      </c>
      <c r="C1608" t="str" cm="1">
        <f t="array" ref="C1608">CleanText(B1608)</f>
        <v>i see nothing funny here bad acting and one funny fact its healthier to walk on your front feet when walking barefeet i dont like that movie but regardless i continue to respect everyone who watches this</v>
      </c>
      <c r="D1608">
        <v>0</v>
      </c>
      <c r="E1608">
        <v>0</v>
      </c>
      <c r="F1608" t="s">
        <v>10</v>
      </c>
      <c r="G1608" t="str" cm="1">
        <f t="array" ref="G1608">FindCountryName(F1608)</f>
        <v>None</v>
      </c>
      <c r="H1608" s="3">
        <v>45143.414050925923</v>
      </c>
      <c r="I1608" s="3">
        <v>45143.414050925923</v>
      </c>
      <c r="J1608" s="3">
        <v>43912.254479166666</v>
      </c>
      <c r="K1608" cm="1">
        <f t="array" ref="K1608">sentimentCalc(C1608)</f>
        <v>7</v>
      </c>
      <c r="L1608" t="str" cm="1">
        <f t="array" ref="L1608">sentimentCategory(K1608)</f>
        <v>Positive</v>
      </c>
    </row>
    <row r="1609" spans="1:12" x14ac:dyDescent="0.25">
      <c r="A1609" t="s">
        <v>365</v>
      </c>
      <c r="B1609" t="s">
        <v>2305</v>
      </c>
      <c r="C1609" t="str" cm="1">
        <f t="array" ref="C1609">CleanText(B1609)</f>
        <v>i see the barbie movie this great</v>
      </c>
      <c r="D1609">
        <v>0</v>
      </c>
      <c r="E1609">
        <v>0</v>
      </c>
      <c r="F1609" t="s">
        <v>10</v>
      </c>
      <c r="G1609" t="str" cm="1">
        <f t="array" ref="G1609">FindCountryName(F1609)</f>
        <v>None</v>
      </c>
      <c r="H1609" s="3">
        <v>45172.297152777777</v>
      </c>
      <c r="I1609" s="3">
        <v>45172.297152777777</v>
      </c>
      <c r="J1609" s="3">
        <v>43966.481921296298</v>
      </c>
      <c r="K1609" cm="1">
        <f t="array" ref="K1609">sentimentCalc(C1609)</f>
        <v>3</v>
      </c>
      <c r="L1609" t="str" cm="1">
        <f t="array" ref="L1609">sentimentCategory(K1609)</f>
        <v>Positive</v>
      </c>
    </row>
    <row r="1610" spans="1:12" x14ac:dyDescent="0.25">
      <c r="A1610" t="s">
        <v>1433</v>
      </c>
      <c r="B1610" t="s">
        <v>2464</v>
      </c>
      <c r="C1610" t="str" cm="1">
        <f t="array" ref="C1610">CleanText(B1610)</f>
        <v>i so lika barbie</v>
      </c>
      <c r="D1610">
        <v>0</v>
      </c>
      <c r="E1610">
        <v>0</v>
      </c>
      <c r="F1610" t="s">
        <v>10</v>
      </c>
      <c r="G1610" t="str" cm="1">
        <f t="array" ref="G1610">FindCountryName(F1610)</f>
        <v>None</v>
      </c>
      <c r="H1610" s="3">
        <v>45166.257800925923</v>
      </c>
      <c r="I1610" s="3">
        <v>45166.257800925923</v>
      </c>
      <c r="J1610" s="3">
        <v>44357.479155092595</v>
      </c>
      <c r="K1610" cm="1">
        <f t="array" ref="K1610">sentimentCalc(C1610)</f>
        <v>0</v>
      </c>
      <c r="L1610" t="str" cm="1">
        <f t="array" ref="L1610">sentimentCategory(K1610)</f>
        <v>Neutral</v>
      </c>
    </row>
    <row r="1611" spans="1:12" x14ac:dyDescent="0.25">
      <c r="A1611" t="s">
        <v>453</v>
      </c>
      <c r="B1611" t="s">
        <v>3449</v>
      </c>
      <c r="C1611" t="str" cm="1">
        <f t="array" ref="C1611">CleanText(B1611)</f>
        <v>i so loved that scene at the bus stop in the real world when barbie complimented that old lady her smile at her was so sweet and genuine</v>
      </c>
      <c r="D1611">
        <v>83</v>
      </c>
      <c r="E1611">
        <v>8</v>
      </c>
      <c r="F1611" t="s">
        <v>10</v>
      </c>
      <c r="G1611" t="str" cm="1">
        <f t="array" ref="G1611">FindCountryName(F1611)</f>
        <v>None</v>
      </c>
      <c r="H1611" s="3">
        <v>45148.72079861111</v>
      </c>
      <c r="I1611" s="3">
        <v>45148.721122685187</v>
      </c>
      <c r="J1611" s="3">
        <v>42064.399224537039</v>
      </c>
      <c r="K1611" cm="1">
        <f t="array" ref="K1611">sentimentCalc(C1611)</f>
        <v>6</v>
      </c>
      <c r="L1611" t="str" cm="1">
        <f t="array" ref="L1611">sentimentCategory(K1611)</f>
        <v>Positive</v>
      </c>
    </row>
    <row r="1612" spans="1:12" x14ac:dyDescent="0.25">
      <c r="A1612" t="s">
        <v>201</v>
      </c>
      <c r="B1612" t="s">
        <v>1689</v>
      </c>
      <c r="C1612" t="str" cm="1">
        <f t="array" ref="C1612">CleanText(B1612)</f>
        <v>i still have not seen the barbie movie</v>
      </c>
      <c r="D1612">
        <v>0</v>
      </c>
      <c r="E1612">
        <v>0</v>
      </c>
      <c r="F1612" t="s">
        <v>10</v>
      </c>
      <c r="G1612" t="str" cm="1">
        <f t="array" ref="G1612">FindCountryName(F1612)</f>
        <v>None</v>
      </c>
      <c r="H1612" s="3">
        <v>45201.678136574075</v>
      </c>
      <c r="I1612" s="3">
        <v>45201.678136574075</v>
      </c>
      <c r="J1612" s="3">
        <v>45070.00209490741</v>
      </c>
      <c r="K1612" cm="1">
        <f t="array" ref="K1612">sentimentCalc(C1612)</f>
        <v>0</v>
      </c>
      <c r="L1612" t="str" cm="1">
        <f t="array" ref="L1612">sentimentCategory(K1612)</f>
        <v>Neutral</v>
      </c>
    </row>
    <row r="1613" spans="1:12" x14ac:dyDescent="0.25">
      <c r="A1613" t="s">
        <v>1055</v>
      </c>
      <c r="B1613" t="s">
        <v>1242</v>
      </c>
      <c r="C1613" t="str" cm="1">
        <f t="array" ref="C1613">CleanText(B1613)</f>
        <v>i still remember when i watched this in summer i wish i could experience it all over again in the theaters</v>
      </c>
      <c r="D1613">
        <v>109</v>
      </c>
      <c r="E1613">
        <v>8</v>
      </c>
      <c r="F1613" t="s">
        <v>10</v>
      </c>
      <c r="G1613" t="str" cm="1">
        <f t="array" ref="G1613">FindCountryName(F1613)</f>
        <v>None</v>
      </c>
      <c r="H1613" s="3">
        <v>45269.9452662037</v>
      </c>
      <c r="I1613" s="3">
        <v>45269.9452662037</v>
      </c>
      <c r="J1613" s="3">
        <v>44379.65011574074</v>
      </c>
      <c r="K1613" cm="1">
        <f t="array" ref="K1613">sentimentCalc(C1613)</f>
        <v>1</v>
      </c>
      <c r="L1613" t="str" cm="1">
        <f t="array" ref="L1613">sentimentCategory(K1613)</f>
        <v>Positive</v>
      </c>
    </row>
    <row r="1614" spans="1:12" x14ac:dyDescent="0.25">
      <c r="A1614" t="s">
        <v>3478</v>
      </c>
      <c r="B1614" t="s">
        <v>3479</v>
      </c>
      <c r="C1614" t="str" cm="1">
        <f t="array" ref="C1614">CleanText(B1614)</f>
        <v>i swear everything i see is barbie barbie barbie ugggg  i see alots of cakes barbie and everything thats made for barbie  pray for me right now i didnt even know barbie is human but anyways this movie looks cool even tho im a boy tbh i dont wwnt to watch it but my bigger sister wants to lol  looks amazing tho</v>
      </c>
      <c r="D1614">
        <v>0</v>
      </c>
      <c r="E1614">
        <v>0</v>
      </c>
      <c r="F1614" t="s">
        <v>10</v>
      </c>
      <c r="G1614" t="str" cm="1">
        <f t="array" ref="G1614">FindCountryName(F1614)</f>
        <v>None</v>
      </c>
      <c r="H1614" s="3">
        <v>45148.489849537036</v>
      </c>
      <c r="I1614" s="3">
        <v>45148.489849537036</v>
      </c>
      <c r="J1614" s="3">
        <v>44748.865115740744</v>
      </c>
      <c r="K1614" cm="1">
        <f t="array" ref="K1614">sentimentCalc(C1614)</f>
        <v>4</v>
      </c>
      <c r="L1614" t="str" cm="1">
        <f t="array" ref="L1614">sentimentCategory(K1614)</f>
        <v>Positive</v>
      </c>
    </row>
    <row r="1615" spans="1:12" x14ac:dyDescent="0.25">
      <c r="A1615" t="s">
        <v>1366</v>
      </c>
      <c r="B1615" t="s">
        <v>4478</v>
      </c>
      <c r="C1615" t="str" cm="1">
        <f t="array" ref="C1615">CleanText(B1615)</f>
        <v>i swear is this antagonist dude the same guy who plays president business in the lego movie</v>
      </c>
      <c r="D1615">
        <v>0</v>
      </c>
      <c r="E1615">
        <v>0</v>
      </c>
      <c r="F1615" t="s">
        <v>10</v>
      </c>
      <c r="G1615" t="str" cm="1">
        <f t="array" ref="G1615">FindCountryName(F1615)</f>
        <v>None</v>
      </c>
      <c r="H1615" s="3">
        <v>45140.014641203707</v>
      </c>
      <c r="I1615" s="3">
        <v>45140.014641203707</v>
      </c>
      <c r="J1615" s="3">
        <v>44473.749409722222</v>
      </c>
      <c r="K1615" cm="1">
        <f t="array" ref="K1615">sentimentCalc(C1615)</f>
        <v>-2</v>
      </c>
      <c r="L1615" t="str" cm="1">
        <f t="array" ref="L1615">sentimentCategory(K1615)</f>
        <v>Negative</v>
      </c>
    </row>
    <row r="1616" spans="1:12" x14ac:dyDescent="0.25">
      <c r="A1616" t="s">
        <v>3403</v>
      </c>
      <c r="B1616" t="s">
        <v>4211</v>
      </c>
      <c r="C1616" t="str" cm="1">
        <f t="array" ref="C1616">CleanText(B1616)</f>
        <v>i think pink is playing a pretty good role in this movie as the leg spreaded barbie very good casting</v>
      </c>
      <c r="D1616">
        <v>70</v>
      </c>
      <c r="E1616">
        <v>0</v>
      </c>
      <c r="F1616" t="s">
        <v>10</v>
      </c>
      <c r="G1616" t="str" cm="1">
        <f t="array" ref="G1616">FindCountryName(F1616)</f>
        <v>None</v>
      </c>
      <c r="H1616" s="3">
        <v>45141.903229166666</v>
      </c>
      <c r="I1616" s="3">
        <v>45141.903229166666</v>
      </c>
      <c r="J1616" s="3">
        <v>40401.563796296294</v>
      </c>
      <c r="K1616" cm="1">
        <f t="array" ref="K1616">sentimentCalc(C1616)</f>
        <v>7</v>
      </c>
      <c r="L1616" t="str" cm="1">
        <f t="array" ref="L1616">sentimentCategory(K1616)</f>
        <v>Positive</v>
      </c>
    </row>
    <row r="1617" spans="1:12" x14ac:dyDescent="0.25">
      <c r="A1617" t="s">
        <v>2371</v>
      </c>
      <c r="B1617" t="s">
        <v>2372</v>
      </c>
      <c r="C1617" t="str" cm="1">
        <f t="array" ref="C1617">CleanText(B1617)</f>
        <v>i think emma stone would had made a better barbie margot robbie looks too psychopathic</v>
      </c>
      <c r="D1617">
        <v>2</v>
      </c>
      <c r="E1617">
        <v>0</v>
      </c>
      <c r="F1617" t="s">
        <v>227</v>
      </c>
      <c r="G1617" t="str" cm="1">
        <f t="array" ref="G1617">FindCountryName(F1617)</f>
        <v>United States of America (the)</v>
      </c>
      <c r="H1617" s="3">
        <v>45170.13863425926</v>
      </c>
      <c r="I1617" s="3">
        <v>45170.138761574075</v>
      </c>
      <c r="J1617" s="3">
        <v>40789.774687500001</v>
      </c>
      <c r="K1617" cm="1">
        <f t="array" ref="K1617">sentimentCalc(C1617)</f>
        <v>2</v>
      </c>
      <c r="L1617" t="str" cm="1">
        <f t="array" ref="L1617">sentimentCategory(K1617)</f>
        <v>Positive</v>
      </c>
    </row>
    <row r="1618" spans="1:12" x14ac:dyDescent="0.25">
      <c r="A1618" t="s">
        <v>173</v>
      </c>
      <c r="B1618" t="s">
        <v>711</v>
      </c>
      <c r="C1618" t="str" cm="1">
        <f t="array" ref="C1618">CleanText(B1618)</f>
        <v>i think i found matildas mother in the barbie movie</v>
      </c>
      <c r="D1618">
        <v>0</v>
      </c>
      <c r="E1618">
        <v>0</v>
      </c>
      <c r="F1618" t="s">
        <v>10</v>
      </c>
      <c r="G1618" t="str" cm="1">
        <f t="array" ref="G1618">FindCountryName(F1618)</f>
        <v>None</v>
      </c>
      <c r="H1618" s="3">
        <v>45311.610821759263</v>
      </c>
      <c r="I1618" s="3">
        <v>45311.610821759263</v>
      </c>
      <c r="J1618" s="3">
        <v>44575.706342592595</v>
      </c>
      <c r="K1618" cm="1">
        <f t="array" ref="K1618">sentimentCalc(C1618)</f>
        <v>0</v>
      </c>
      <c r="L1618" t="str" cm="1">
        <f t="array" ref="L1618">sentimentCategory(K1618)</f>
        <v>Neutral</v>
      </c>
    </row>
    <row r="1619" spans="1:12" x14ac:dyDescent="0.25">
      <c r="A1619" t="s">
        <v>43</v>
      </c>
      <c r="B1619" t="s">
        <v>3343</v>
      </c>
      <c r="C1619" t="str" cm="1">
        <f t="array" ref="C1619">CleanText(B1619)</f>
        <v>i think ill skip it</v>
      </c>
      <c r="D1619">
        <v>3</v>
      </c>
      <c r="E1619">
        <v>0</v>
      </c>
      <c r="F1619" t="s">
        <v>10</v>
      </c>
      <c r="G1619" t="str" cm="1">
        <f t="array" ref="G1619">FindCountryName(F1619)</f>
        <v>None</v>
      </c>
      <c r="H1619" s="3">
        <v>45149.955335648148</v>
      </c>
      <c r="I1619" s="3">
        <v>45149.955324074072</v>
      </c>
      <c r="J1619" s="3">
        <v>41857.81486111111</v>
      </c>
      <c r="K1619" cm="1">
        <f t="array" ref="K1619">sentimentCalc(C1619)</f>
        <v>-2</v>
      </c>
      <c r="L1619" t="str" cm="1">
        <f t="array" ref="L1619">sentimentCategory(K1619)</f>
        <v>Negative</v>
      </c>
    </row>
    <row r="1620" spans="1:12" x14ac:dyDescent="0.25">
      <c r="A1620" t="s">
        <v>400</v>
      </c>
      <c r="B1620" t="s">
        <v>2373</v>
      </c>
      <c r="C1620" t="str" cm="1">
        <f t="array" ref="C1620">CleanText(B1620)</f>
        <v>i think its funny this is the barbie movie but honestly ken is what made the movie good without him it would have crashed and burned</v>
      </c>
      <c r="D1620">
        <v>2</v>
      </c>
      <c r="E1620">
        <v>0</v>
      </c>
      <c r="F1620" t="s">
        <v>10</v>
      </c>
      <c r="G1620" t="str" cm="1">
        <f t="array" ref="G1620">FindCountryName(F1620)</f>
        <v>None</v>
      </c>
      <c r="H1620" s="3">
        <v>45169.985254629632</v>
      </c>
      <c r="I1620" s="3">
        <v>45169.985254629632</v>
      </c>
      <c r="J1620" s="3">
        <v>40819.701458333337</v>
      </c>
      <c r="K1620" cm="1">
        <f t="array" ref="K1620">sentimentCalc(C1620)</f>
        <v>7</v>
      </c>
      <c r="L1620" t="str" cm="1">
        <f t="array" ref="L1620">sentimentCategory(K1620)</f>
        <v>Positive</v>
      </c>
    </row>
    <row r="1621" spans="1:12" x14ac:dyDescent="0.25">
      <c r="A1621" t="s">
        <v>1940</v>
      </c>
      <c r="B1621" t="s">
        <v>1941</v>
      </c>
      <c r="C1621" t="str" cm="1">
        <f t="array" ref="C1621">CleanText(B1621)</f>
        <v>i think its more pink than expected</v>
      </c>
      <c r="D1621">
        <v>0</v>
      </c>
      <c r="E1621">
        <v>1</v>
      </c>
      <c r="F1621" t="s">
        <v>1942</v>
      </c>
      <c r="G1621" t="str" cm="1">
        <f t="array" ref="G1621">FindCountryName(F1621)</f>
        <v>Pakistan</v>
      </c>
      <c r="H1621" s="3">
        <v>45187.139641203707</v>
      </c>
      <c r="I1621" s="3">
        <v>45187.139641203707</v>
      </c>
      <c r="J1621" s="3">
        <v>41029.91715277778</v>
      </c>
      <c r="K1621" cm="1">
        <f t="array" ref="K1621">sentimentCalc(C1621)</f>
        <v>0</v>
      </c>
      <c r="L1621" t="str" cm="1">
        <f t="array" ref="L1621">sentimentCategory(K1621)</f>
        <v>Neutral</v>
      </c>
    </row>
    <row r="1622" spans="1:12" x14ac:dyDescent="0.25">
      <c r="A1622" t="s">
        <v>201</v>
      </c>
      <c r="B1622" t="s">
        <v>1816</v>
      </c>
      <c r="C1622" t="str" cm="1">
        <f t="array" ref="C1622">CleanText(B1622)</f>
        <v>i think paige spiranac should of got the barbie roleshe is so hotand liam hemswoth should of landed the ken doll roleno disrespect to margot robbie and ryan gosling but paige and liam are way more attractive</v>
      </c>
      <c r="D1622">
        <v>1</v>
      </c>
      <c r="E1622">
        <v>1</v>
      </c>
      <c r="F1622" t="s">
        <v>10</v>
      </c>
      <c r="G1622" t="str" cm="1">
        <f t="array" ref="G1622">FindCountryName(F1622)</f>
        <v>None</v>
      </c>
      <c r="H1622" s="3">
        <v>45193.076840277776</v>
      </c>
      <c r="I1622" s="3">
        <v>45193.082268518519</v>
      </c>
      <c r="J1622" s="3">
        <v>45168.389791666668</v>
      </c>
      <c r="K1622" cm="1">
        <f t="array" ref="K1622">sentimentCalc(C1622)</f>
        <v>-2</v>
      </c>
      <c r="L1622" t="str" cm="1">
        <f t="array" ref="L1622">sentimentCategory(K1622)</f>
        <v>Negative</v>
      </c>
    </row>
    <row r="1623" spans="1:12" x14ac:dyDescent="0.25">
      <c r="A1623" t="s">
        <v>1528</v>
      </c>
      <c r="B1623" t="s">
        <v>3807</v>
      </c>
      <c r="C1623" t="str" cm="1">
        <f t="array" ref="C1623">CleanText(B1623)</f>
        <v>i think probably no japanese person would want to watch this movie excluding those who dont realize that they are being insulted</v>
      </c>
      <c r="D1623">
        <v>3</v>
      </c>
      <c r="E1623">
        <v>1</v>
      </c>
      <c r="F1623" t="s">
        <v>10</v>
      </c>
      <c r="G1623" t="str" cm="1">
        <f t="array" ref="G1623">FindCountryName(F1623)</f>
        <v>None</v>
      </c>
      <c r="H1623" s="3">
        <v>45145.347800925927</v>
      </c>
      <c r="I1623" s="3">
        <v>45145.347800925927</v>
      </c>
      <c r="J1623" s="3">
        <v>40045.899664351855</v>
      </c>
      <c r="K1623" cm="1">
        <f t="array" ref="K1623">sentimentCalc(C1623)</f>
        <v>-2</v>
      </c>
      <c r="L1623" t="str" cm="1">
        <f t="array" ref="L1623">sentimentCategory(K1623)</f>
        <v>Negative</v>
      </c>
    </row>
    <row r="1624" spans="1:12" x14ac:dyDescent="0.25">
      <c r="A1624" t="s">
        <v>2200</v>
      </c>
      <c r="B1624" t="s">
        <v>3758</v>
      </c>
      <c r="C1624" t="str" cm="1">
        <f t="array" ref="C1624">CleanText(B1624)</f>
        <v>i think this is kind of trying to show the difference between reality and social media influencers who think they are barbie and ken but behind the scenes they are just the same as everyone else with over inflated egos</v>
      </c>
      <c r="D1624">
        <v>0</v>
      </c>
      <c r="E1624">
        <v>0</v>
      </c>
      <c r="F1624" t="s">
        <v>10</v>
      </c>
      <c r="G1624" t="str" cm="1">
        <f t="array" ref="G1624">FindCountryName(F1624)</f>
        <v>None</v>
      </c>
      <c r="H1624" s="3">
        <v>45145.691423611112</v>
      </c>
      <c r="I1624" s="3">
        <v>45145.691423611112</v>
      </c>
      <c r="J1624" s="3">
        <v>39198.31318287037</v>
      </c>
      <c r="K1624" cm="1">
        <f t="array" ref="K1624">sentimentCalc(C1624)</f>
        <v>2</v>
      </c>
      <c r="L1624" t="str" cm="1">
        <f t="array" ref="L1624">sentimentCategory(K1624)</f>
        <v>Positive</v>
      </c>
    </row>
    <row r="1625" spans="1:12" x14ac:dyDescent="0.25">
      <c r="A1625" t="s">
        <v>209</v>
      </c>
      <c r="B1625" t="s">
        <v>210</v>
      </c>
      <c r="C1625" t="str" cm="1">
        <f t="array" ref="C1625">CleanText(B1625)</f>
        <v>i think this movie is for stupid people and with that being said im ready for the public ban start</v>
      </c>
      <c r="D1625">
        <v>1</v>
      </c>
      <c r="E1625">
        <v>2</v>
      </c>
      <c r="F1625" t="s">
        <v>10</v>
      </c>
      <c r="G1625" t="str" cm="1">
        <f t="array" ref="G1625">FindCountryName(F1625)</f>
        <v>None</v>
      </c>
      <c r="H1625" s="3">
        <v>45333.212175925924</v>
      </c>
      <c r="I1625" s="3">
        <v>45333.212175925924</v>
      </c>
      <c r="J1625" s="3">
        <v>38989.558495370373</v>
      </c>
      <c r="K1625" cm="1">
        <f t="array" ref="K1625">sentimentCalc(C1625)</f>
        <v>-4</v>
      </c>
      <c r="L1625" t="str" cm="1">
        <f t="array" ref="L1625">sentimentCategory(K1625)</f>
        <v>Negative</v>
      </c>
    </row>
    <row r="1626" spans="1:12" x14ac:dyDescent="0.25">
      <c r="A1626" t="s">
        <v>1670</v>
      </c>
      <c r="B1626" t="s">
        <v>1671</v>
      </c>
      <c r="C1626" t="str" cm="1">
        <f t="array" ref="C1626">CleanText(B1626)</f>
        <v>i think we all wanted to be in this movie</v>
      </c>
      <c r="D1626">
        <v>0</v>
      </c>
      <c r="E1626">
        <v>0</v>
      </c>
      <c r="F1626" t="s">
        <v>10</v>
      </c>
      <c r="G1626" t="str" cm="1">
        <f t="array" ref="G1626">FindCountryName(F1626)</f>
        <v>None</v>
      </c>
      <c r="H1626" s="3">
        <v>45203.561701388891</v>
      </c>
      <c r="I1626" s="3">
        <v>45203.561701388891</v>
      </c>
      <c r="J1626" s="3">
        <v>44142.718657407408</v>
      </c>
      <c r="K1626" cm="1">
        <f t="array" ref="K1626">sentimentCalc(C1626)</f>
        <v>0</v>
      </c>
      <c r="L1626" t="str" cm="1">
        <f t="array" ref="L1626">sentimentCategory(K1626)</f>
        <v>Neutral</v>
      </c>
    </row>
    <row r="1627" spans="1:12" x14ac:dyDescent="0.25">
      <c r="A1627" t="s">
        <v>453</v>
      </c>
      <c r="B1627" t="s">
        <v>3916</v>
      </c>
      <c r="C1627" t="str" cm="1">
        <f t="array" ref="C1627">CleanText(B1627)</f>
        <v>i thought barbie  was supposed to be stunning bimbo  what went wrong with casting</v>
      </c>
      <c r="D1627">
        <v>0</v>
      </c>
      <c r="E1627">
        <v>1</v>
      </c>
      <c r="F1627" t="s">
        <v>10</v>
      </c>
      <c r="G1627" t="str" cm="1">
        <f t="array" ref="G1627">FindCountryName(F1627)</f>
        <v>None</v>
      </c>
      <c r="H1627" s="3">
        <v>45144.548831018517</v>
      </c>
      <c r="I1627" s="3">
        <v>45144.548831018517</v>
      </c>
      <c r="J1627" s="3">
        <v>44220.6565162037</v>
      </c>
      <c r="K1627" cm="1">
        <f t="array" ref="K1627">sentimentCalc(C1627)</f>
        <v>2</v>
      </c>
      <c r="L1627" t="str" cm="1">
        <f t="array" ref="L1627">sentimentCategory(K1627)</f>
        <v>Positive</v>
      </c>
    </row>
    <row r="1628" spans="1:12" x14ac:dyDescent="0.25">
      <c r="A1628" t="s">
        <v>472</v>
      </c>
      <c r="B1628" t="s">
        <v>1874</v>
      </c>
      <c r="C1628" t="str" cm="1">
        <f t="array" ref="C1628">CleanText(B1628)</f>
        <v>i thought barbie was cancelled cuz putting that hour glass figure in front of little girls set unrealistic standardsif barbie changed where is the overweight doll same sexists bs as always and the plebians are eating it up</v>
      </c>
      <c r="D1628">
        <v>0</v>
      </c>
      <c r="E1628">
        <v>5</v>
      </c>
      <c r="F1628" t="s">
        <v>10</v>
      </c>
      <c r="G1628" t="str" cm="1">
        <f t="array" ref="G1628">FindCountryName(F1628)</f>
        <v>None</v>
      </c>
      <c r="H1628" s="3">
        <v>45189.433206018519</v>
      </c>
      <c r="I1628" s="3">
        <v>45189.433194444442</v>
      </c>
      <c r="J1628" s="3">
        <v>44386.77134259259</v>
      </c>
      <c r="K1628" cm="1">
        <f t="array" ref="K1628">sentimentCalc(C1628)</f>
        <v>-2</v>
      </c>
      <c r="L1628" t="str" cm="1">
        <f t="array" ref="L1628">sentimentCategory(K1628)</f>
        <v>Negative</v>
      </c>
    </row>
    <row r="1629" spans="1:12" x14ac:dyDescent="0.25">
      <c r="A1629" t="s">
        <v>211</v>
      </c>
      <c r="B1629" t="s">
        <v>1132</v>
      </c>
      <c r="C1629" t="str" cm="1">
        <f t="array" ref="C1629">CleanText(B1629)</f>
        <v>i thought it was brilliant so many people seem to miss the point about this film the satire was very satisfying</v>
      </c>
      <c r="D1629">
        <v>8</v>
      </c>
      <c r="E1629">
        <v>0</v>
      </c>
      <c r="F1629" t="s">
        <v>1133</v>
      </c>
      <c r="G1629" t="str" cm="1">
        <f t="array" ref="G1629">FindCountryName(F1629)</f>
        <v>Netherlands (the)</v>
      </c>
      <c r="H1629" s="3">
        <v>45284.780590277776</v>
      </c>
      <c r="I1629" s="3">
        <v>45284.780590277776</v>
      </c>
      <c r="J1629" s="3">
        <v>41519.718356481484</v>
      </c>
      <c r="K1629" cm="1">
        <f t="array" ref="K1629">sentimentCalc(C1629)</f>
        <v>2</v>
      </c>
      <c r="L1629" t="str" cm="1">
        <f t="array" ref="L1629">sentimentCategory(K1629)</f>
        <v>Positive</v>
      </c>
    </row>
    <row r="1630" spans="1:12" x14ac:dyDescent="0.25">
      <c r="A1630" t="s">
        <v>201</v>
      </c>
      <c r="B1630" t="s">
        <v>3118</v>
      </c>
      <c r="C1630" t="str" cm="1">
        <f t="array" ref="C1630">CleanText(B1630)</f>
        <v>i thought this movie was going to be great because it portraits to be entertaining but instead it portraits men in a rather opinionated manner and stereotypes men in a way that is no longer real i get that this is a feminist movie and this political movement has its ulterior motives but i was hoping that at least this film would close gender gaps and gender discrimination the movie seems to just be a marketing plot because the final message is that in barbie world women have the power isnt that sexist it feels like they want to further perpetuate gender power differences why in our world dolls have to be for girls in the first place mattel wants to keep making toys for girls and toys for girls where in each of the worlds one gender is in power shouldnt both worlds be inclusive  in the real world by common sense and understanding men and women can hold any job position and can have any role they wish that is what we should pursue feminism is not the way</v>
      </c>
      <c r="D1630">
        <v>2</v>
      </c>
      <c r="E1630">
        <v>1</v>
      </c>
      <c r="F1630" t="s">
        <v>10</v>
      </c>
      <c r="G1630" t="str" cm="1">
        <f t="array" ref="G1630">FindCountryName(F1630)</f>
        <v>None</v>
      </c>
      <c r="H1630" s="3">
        <v>45153.170960648145</v>
      </c>
      <c r="I1630" s="3">
        <v>45153.170960648145</v>
      </c>
      <c r="J1630" s="3">
        <v>41545.21471064815</v>
      </c>
      <c r="K1630" cm="1">
        <f t="array" ref="K1630">sentimentCalc(C1630)</f>
        <v>10</v>
      </c>
      <c r="L1630" t="str" cm="1">
        <f t="array" ref="L1630">sentimentCategory(K1630)</f>
        <v>Positive</v>
      </c>
    </row>
    <row r="1631" spans="1:12" x14ac:dyDescent="0.25">
      <c r="A1631" t="s">
        <v>11</v>
      </c>
      <c r="B1631" t="s">
        <v>24</v>
      </c>
      <c r="C1631" t="str" cm="1">
        <f t="array" ref="C1631">CleanText(B1631)</f>
        <v>i thought this movie would be very bad at first but it is the best movie i have ever seen</v>
      </c>
      <c r="D1631">
        <v>0</v>
      </c>
      <c r="E1631">
        <v>0</v>
      </c>
      <c r="F1631" t="s">
        <v>10</v>
      </c>
      <c r="G1631" t="str" cm="1">
        <f t="array" ref="G1631">FindCountryName(F1631)</f>
        <v>None</v>
      </c>
      <c r="H1631" s="3">
        <v>45348.567129629628</v>
      </c>
      <c r="I1631" s="3">
        <v>45348.567129629628</v>
      </c>
      <c r="J1631" s="3">
        <v>45223.18377314815</v>
      </c>
      <c r="K1631" cm="1">
        <f t="array" ref="K1631">sentimentCalc(C1631)</f>
        <v>0</v>
      </c>
      <c r="L1631" t="str" cm="1">
        <f t="array" ref="L1631">sentimentCategory(K1631)</f>
        <v>Neutral</v>
      </c>
    </row>
    <row r="1632" spans="1:12" x14ac:dyDescent="0.25">
      <c r="A1632" t="s">
        <v>307</v>
      </c>
      <c r="B1632" t="s">
        <v>478</v>
      </c>
      <c r="C1632" t="str" cm="1">
        <f t="array" ref="C1632">CleanText(B1632)</f>
        <v>i tried</v>
      </c>
      <c r="D1632">
        <v>0</v>
      </c>
      <c r="E1632">
        <v>0</v>
      </c>
      <c r="F1632" t="s">
        <v>10</v>
      </c>
      <c r="G1632" t="str" cm="1">
        <f t="array" ref="G1632">FindCountryName(F1632)</f>
        <v>None</v>
      </c>
      <c r="H1632" s="3">
        <v>45320.284224537034</v>
      </c>
      <c r="I1632" s="3">
        <v>45320.284224537034</v>
      </c>
      <c r="J1632" s="3">
        <v>40510.740543981483</v>
      </c>
      <c r="K1632" cm="1">
        <f t="array" ref="K1632">sentimentCalc(C1632)</f>
        <v>0</v>
      </c>
      <c r="L1632" t="str" cm="1">
        <f t="array" ref="L1632">sentimentCategory(K1632)</f>
        <v>Neutral</v>
      </c>
    </row>
    <row r="1633" spans="1:12" x14ac:dyDescent="0.25">
      <c r="A1633" t="s">
        <v>36</v>
      </c>
      <c r="B1633" t="s">
        <v>2487</v>
      </c>
      <c r="C1633" t="str" cm="1">
        <f t="array" ref="C1633">CleanText(B1633)</f>
        <v>i used to floatnow i just fall down</v>
      </c>
      <c r="D1633">
        <v>0</v>
      </c>
      <c r="E1633">
        <v>0</v>
      </c>
      <c r="F1633" t="s">
        <v>10</v>
      </c>
      <c r="G1633" t="str" cm="1">
        <f t="array" ref="G1633">FindCountryName(F1633)</f>
        <v>None</v>
      </c>
      <c r="H1633" s="3">
        <v>45165.356030092589</v>
      </c>
      <c r="I1633" s="3">
        <v>45165.356030092589</v>
      </c>
      <c r="J1633" s="3">
        <v>44769.791203703702</v>
      </c>
      <c r="K1633" cm="1">
        <f t="array" ref="K1633">sentimentCalc(C1633)</f>
        <v>0</v>
      </c>
      <c r="L1633" t="str" cm="1">
        <f t="array" ref="L1633">sentimentCategory(K1633)</f>
        <v>Neutral</v>
      </c>
    </row>
    <row r="1634" spans="1:12" x14ac:dyDescent="0.25">
      <c r="A1634" t="s">
        <v>3063</v>
      </c>
      <c r="B1634" t="s">
        <v>3064</v>
      </c>
      <c r="C1634" t="str" cm="1">
        <f t="array" ref="C1634">CleanText(B1634)</f>
        <v>i very recently got done with a  month favor for a friend dog sitting a hyperactive adorable but strong af pitbull btw and i off handedly mentioned to my sister that after spiderverse theres nothing i absolutely wanted to see i could be talked into seeing oppenheimer maybemy sister said not even barbie and i got so confusedwhy on earth would i want to go see barbieand her response was because its barbiewhat is this movie and why are ppl obsessed with it</v>
      </c>
      <c r="D1634">
        <v>0</v>
      </c>
      <c r="E1634">
        <v>2</v>
      </c>
      <c r="F1634" t="s">
        <v>10</v>
      </c>
      <c r="G1634" t="str" cm="1">
        <f t="array" ref="G1634">FindCountryName(F1634)</f>
        <v>None</v>
      </c>
      <c r="H1634" s="3">
        <v>45153.791921296295</v>
      </c>
      <c r="I1634" s="3">
        <v>45153.791921296295</v>
      </c>
      <c r="J1634" s="3">
        <v>40684.698877314811</v>
      </c>
      <c r="K1634" cm="1">
        <f t="array" ref="K1634">sentimentCalc(C1634)</f>
        <v>10</v>
      </c>
      <c r="L1634" t="str" cm="1">
        <f t="array" ref="L1634">sentimentCategory(K1634)</f>
        <v>Positive</v>
      </c>
    </row>
    <row r="1635" spans="1:12" x14ac:dyDescent="0.25">
      <c r="A1635" t="s">
        <v>2261</v>
      </c>
      <c r="B1635" t="s">
        <v>2262</v>
      </c>
      <c r="C1635" t="str" cm="1">
        <f t="array" ref="C1635">CleanText(B1635)</f>
        <v>i wachs this movie in the cinma</v>
      </c>
      <c r="D1635">
        <v>0</v>
      </c>
      <c r="E1635">
        <v>0</v>
      </c>
      <c r="F1635" t="s">
        <v>10</v>
      </c>
      <c r="G1635" t="str" cm="1">
        <f t="array" ref="G1635">FindCountryName(F1635)</f>
        <v>None</v>
      </c>
      <c r="H1635" s="3">
        <v>45173.626643518517</v>
      </c>
      <c r="I1635" s="3">
        <v>45173.626643518517</v>
      </c>
      <c r="J1635" s="3">
        <v>44936.544999999998</v>
      </c>
      <c r="K1635" cm="1">
        <f t="array" ref="K1635">sentimentCalc(C1635)</f>
        <v>0</v>
      </c>
      <c r="L1635" t="str" cm="1">
        <f t="array" ref="L1635">sentimentCategory(K1635)</f>
        <v>Neutral</v>
      </c>
    </row>
    <row r="1636" spans="1:12" x14ac:dyDescent="0.25">
      <c r="A1636" t="s">
        <v>3307</v>
      </c>
      <c r="B1636" t="s">
        <v>3308</v>
      </c>
      <c r="C1636" t="str" cm="1">
        <f t="array" ref="C1636">CleanText(B1636)</f>
        <v>i wacthed that i love it</v>
      </c>
      <c r="D1636">
        <v>2</v>
      </c>
      <c r="E1636">
        <v>0</v>
      </c>
      <c r="F1636" t="s">
        <v>10</v>
      </c>
      <c r="G1636" t="str" cm="1">
        <f t="array" ref="G1636">FindCountryName(F1636)</f>
        <v>None</v>
      </c>
      <c r="H1636" s="3">
        <v>45150.474502314813</v>
      </c>
      <c r="I1636" s="3">
        <v>45150.474502314813</v>
      </c>
      <c r="J1636" s="3">
        <v>45082.425520833334</v>
      </c>
      <c r="K1636" cm="1">
        <f t="array" ref="K1636">sentimentCalc(C1636)</f>
        <v>3</v>
      </c>
      <c r="L1636" t="str" cm="1">
        <f t="array" ref="L1636">sentimentCategory(K1636)</f>
        <v>Positive</v>
      </c>
    </row>
    <row r="1637" spans="1:12" x14ac:dyDescent="0.25">
      <c r="A1637" t="s">
        <v>2669</v>
      </c>
      <c r="B1637" t="s">
        <v>2670</v>
      </c>
      <c r="C1637" t="str" cm="1">
        <f t="array" ref="C1637">CleanText(B1637)</f>
        <v>i wad nearly dying because of you</v>
      </c>
      <c r="D1637">
        <v>1</v>
      </c>
      <c r="E1637">
        <v>0</v>
      </c>
      <c r="F1637" t="s">
        <v>10</v>
      </c>
      <c r="G1637" t="str" cm="1">
        <f t="array" ref="G1637">FindCountryName(F1637)</f>
        <v>None</v>
      </c>
      <c r="H1637" s="3">
        <v>45160.412685185183</v>
      </c>
      <c r="I1637" s="3">
        <v>45160.412685185183</v>
      </c>
      <c r="J1637" s="3">
        <v>41635.263032407405</v>
      </c>
      <c r="K1637" cm="1">
        <f t="array" ref="K1637">sentimentCalc(C1637)</f>
        <v>0</v>
      </c>
      <c r="L1637" t="str" cm="1">
        <f t="array" ref="L1637">sentimentCategory(K1637)</f>
        <v>Neutral</v>
      </c>
    </row>
    <row r="1638" spans="1:12" x14ac:dyDescent="0.25">
      <c r="A1638" t="s">
        <v>2835</v>
      </c>
      <c r="B1638" t="s">
        <v>2836</v>
      </c>
      <c r="C1638" t="str" cm="1">
        <f t="array" ref="C1638">CleanText(B1638)</f>
        <v>i wanna see this movie so bad</v>
      </c>
      <c r="D1638">
        <v>2</v>
      </c>
      <c r="E1638">
        <v>0</v>
      </c>
      <c r="F1638" t="s">
        <v>10</v>
      </c>
      <c r="G1638" t="str" cm="1">
        <f t="array" ref="G1638">FindCountryName(F1638)</f>
        <v>None</v>
      </c>
      <c r="H1638" s="3">
        <v>45156.968136574076</v>
      </c>
      <c r="I1638" s="3">
        <v>45156.968136574076</v>
      </c>
      <c r="J1638" s="3">
        <v>45148.486516203702</v>
      </c>
      <c r="K1638" cm="1">
        <f t="array" ref="K1638">sentimentCalc(C1638)</f>
        <v>-3</v>
      </c>
      <c r="L1638" t="str" cm="1">
        <f t="array" ref="L1638">sentimentCategory(K1638)</f>
        <v>Negative</v>
      </c>
    </row>
    <row r="1639" spans="1:12" x14ac:dyDescent="0.25">
      <c r="A1639" t="s">
        <v>4130</v>
      </c>
      <c r="B1639" t="s">
        <v>4131</v>
      </c>
      <c r="C1639" t="str" cm="1">
        <f t="array" ref="C1639">CleanText(B1639)</f>
        <v>i wanna watch it so bad but in the movies its so expensive</v>
      </c>
      <c r="D1639">
        <v>0</v>
      </c>
      <c r="E1639">
        <v>0</v>
      </c>
      <c r="F1639" t="s">
        <v>10</v>
      </c>
      <c r="G1639" t="str" cm="1">
        <f t="array" ref="G1639">FindCountryName(F1639)</f>
        <v>None</v>
      </c>
      <c r="H1639" s="3">
        <v>45142.629351851851</v>
      </c>
      <c r="I1639" s="3">
        <v>45142.629351851851</v>
      </c>
      <c r="J1639" s="3">
        <v>43391.483506944445</v>
      </c>
      <c r="K1639" cm="1">
        <f t="array" ref="K1639">sentimentCalc(C1639)</f>
        <v>-3</v>
      </c>
      <c r="L1639" t="str" cm="1">
        <f t="array" ref="L1639">sentimentCategory(K1639)</f>
        <v>Negative</v>
      </c>
    </row>
    <row r="1640" spans="1:12" x14ac:dyDescent="0.25">
      <c r="A1640" t="s">
        <v>81</v>
      </c>
      <c r="B1640" t="s">
        <v>3523</v>
      </c>
      <c r="C1640" t="str" cm="1">
        <f t="array" ref="C1640">CleanText(B1640)</f>
        <v>i wanna watch the barbie movie</v>
      </c>
      <c r="D1640">
        <v>0</v>
      </c>
      <c r="E1640">
        <v>0</v>
      </c>
      <c r="F1640" t="s">
        <v>10</v>
      </c>
      <c r="G1640" t="str" cm="1">
        <f t="array" ref="G1640">FindCountryName(F1640)</f>
        <v>None</v>
      </c>
      <c r="H1640" s="3">
        <v>45147.863206018519</v>
      </c>
      <c r="I1640" s="3">
        <v>45147.863194444442</v>
      </c>
      <c r="J1640" s="3">
        <v>40393.185034722221</v>
      </c>
      <c r="K1640" cm="1">
        <f t="array" ref="K1640">sentimentCalc(C1640)</f>
        <v>0</v>
      </c>
      <c r="L1640" t="str" cm="1">
        <f t="array" ref="L1640">sentimentCategory(K1640)</f>
        <v>Neutral</v>
      </c>
    </row>
    <row r="1641" spans="1:12" x14ac:dyDescent="0.25">
      <c r="A1641" t="s">
        <v>2697</v>
      </c>
      <c r="B1641" t="s">
        <v>2698</v>
      </c>
      <c r="C1641" t="str" cm="1">
        <f t="array" ref="C1641">CleanText(B1641)</f>
        <v>i want a ken like him in my life</v>
      </c>
      <c r="D1641">
        <v>0</v>
      </c>
      <c r="E1641">
        <v>0</v>
      </c>
      <c r="F1641" t="s">
        <v>10</v>
      </c>
      <c r="G1641" t="str" cm="1">
        <f t="array" ref="G1641">FindCountryName(F1641)</f>
        <v>None</v>
      </c>
      <c r="H1641" s="3">
        <v>45159.739270833335</v>
      </c>
      <c r="I1641" s="3">
        <v>45159.739270833335</v>
      </c>
      <c r="J1641" s="3">
        <v>40907.461944444447</v>
      </c>
      <c r="K1641" cm="1">
        <f t="array" ref="K1641">sentimentCalc(C1641)</f>
        <v>3</v>
      </c>
      <c r="L1641" t="str" cm="1">
        <f t="array" ref="L1641">sentimentCategory(K1641)</f>
        <v>Positive</v>
      </c>
    </row>
    <row r="1642" spans="1:12" x14ac:dyDescent="0.25">
      <c r="A1642" t="s">
        <v>105</v>
      </c>
      <c r="B1642" t="s">
        <v>3787</v>
      </c>
      <c r="C1642" t="str" cm="1">
        <f t="array" ref="C1642">CleanText(B1642)</f>
        <v>i want all the barbie dolls sooooooooo much</v>
      </c>
      <c r="D1642">
        <v>0</v>
      </c>
      <c r="E1642">
        <v>0</v>
      </c>
      <c r="F1642" t="s">
        <v>10</v>
      </c>
      <c r="G1642" t="str" cm="1">
        <f t="array" ref="G1642">FindCountryName(F1642)</f>
        <v>None</v>
      </c>
      <c r="H1642" s="3">
        <v>45145.485011574077</v>
      </c>
      <c r="I1642" s="3">
        <v>45145.485011574077</v>
      </c>
      <c r="J1642" s="3">
        <v>45098.411990740744</v>
      </c>
      <c r="K1642" cm="1">
        <f t="array" ref="K1642">sentimentCalc(C1642)</f>
        <v>1</v>
      </c>
      <c r="L1642" t="str" cm="1">
        <f t="array" ref="L1642">sentimentCategory(K1642)</f>
        <v>Positive</v>
      </c>
    </row>
    <row r="1643" spans="1:12" x14ac:dyDescent="0.25">
      <c r="A1643" t="s">
        <v>307</v>
      </c>
      <c r="B1643" t="s">
        <v>1200</v>
      </c>
      <c r="C1643" t="str" cm="1">
        <f t="array" ref="C1643">CleanText(B1643)</f>
        <v>i want barbie</v>
      </c>
      <c r="D1643">
        <v>2</v>
      </c>
      <c r="E1643">
        <v>0</v>
      </c>
      <c r="F1643" t="s">
        <v>10</v>
      </c>
      <c r="G1643" t="str" cm="1">
        <f t="array" ref="G1643">FindCountryName(F1643)</f>
        <v>None</v>
      </c>
      <c r="H1643" s="3">
        <v>45277.515972222223</v>
      </c>
      <c r="I1643" s="3">
        <v>45277.515972222223</v>
      </c>
      <c r="J1643" s="3">
        <v>43878.379467592589</v>
      </c>
      <c r="K1643" cm="1">
        <f t="array" ref="K1643">sentimentCalc(C1643)</f>
        <v>1</v>
      </c>
      <c r="L1643" t="str" cm="1">
        <f t="array" ref="L1643">sentimentCategory(K1643)</f>
        <v>Positive</v>
      </c>
    </row>
    <row r="1644" spans="1:12" x14ac:dyDescent="0.25">
      <c r="A1644" t="s">
        <v>3630</v>
      </c>
      <c r="B1644" t="s">
        <v>3631</v>
      </c>
      <c r="C1644" t="str" cm="1">
        <f t="array" ref="C1644">CleanText(B1644)</f>
        <v>i want to  live in the barbie world</v>
      </c>
      <c r="D1644">
        <v>1</v>
      </c>
      <c r="E1644">
        <v>0</v>
      </c>
      <c r="F1644" t="s">
        <v>10</v>
      </c>
      <c r="G1644" t="str" cm="1">
        <f t="array" ref="G1644">FindCountryName(F1644)</f>
        <v>None</v>
      </c>
      <c r="H1644" s="3">
        <v>45146.978449074071</v>
      </c>
      <c r="I1644" s="3">
        <v>45146.978437500002</v>
      </c>
      <c r="J1644" s="3">
        <v>40791.222905092596</v>
      </c>
      <c r="K1644" cm="1">
        <f t="array" ref="K1644">sentimentCalc(C1644)</f>
        <v>1</v>
      </c>
      <c r="L1644" t="str" cm="1">
        <f t="array" ref="L1644">sentimentCategory(K1644)</f>
        <v>Positive</v>
      </c>
    </row>
    <row r="1645" spans="1:12" x14ac:dyDescent="0.25">
      <c r="A1645" t="s">
        <v>2339</v>
      </c>
      <c r="B1645" t="s">
        <v>2764</v>
      </c>
      <c r="C1645" t="str" cm="1">
        <f t="array" ref="C1645">CleanText(B1645)</f>
        <v>i want to go to barbieland</v>
      </c>
      <c r="D1645">
        <v>1</v>
      </c>
      <c r="E1645">
        <v>0</v>
      </c>
      <c r="F1645" t="s">
        <v>10</v>
      </c>
      <c r="G1645" t="str" cm="1">
        <f t="array" ref="G1645">FindCountryName(F1645)</f>
        <v>None</v>
      </c>
      <c r="H1645" s="3">
        <v>45158.370324074072</v>
      </c>
      <c r="I1645" s="3">
        <v>45158.370324074072</v>
      </c>
      <c r="J1645" s="3">
        <v>44999.651226851849</v>
      </c>
      <c r="K1645" cm="1">
        <f t="array" ref="K1645">sentimentCalc(C1645)</f>
        <v>1</v>
      </c>
      <c r="L1645" t="str" cm="1">
        <f t="array" ref="L1645">sentimentCategory(K1645)</f>
        <v>Positive</v>
      </c>
    </row>
    <row r="1646" spans="1:12" x14ac:dyDescent="0.25">
      <c r="A1646" t="s">
        <v>307</v>
      </c>
      <c r="B1646" t="s">
        <v>607</v>
      </c>
      <c r="C1646" t="str" cm="1">
        <f t="array" ref="C1646">CleanText(B1646)</f>
        <v>i want to write that its january  and i was just reading online that for academy awards  ryan gosling got nominated for an oscar for his role as ken in the barbie film but margot robbie was snubbed and wasnt nominated for an oscar for barbie herself</v>
      </c>
      <c r="D1646">
        <v>0</v>
      </c>
      <c r="E1646">
        <v>0</v>
      </c>
      <c r="F1646" t="s">
        <v>10</v>
      </c>
      <c r="G1646" t="str" cm="1">
        <f t="array" ref="G1646">FindCountryName(F1646)</f>
        <v>None</v>
      </c>
      <c r="H1646" s="3">
        <v>45315.766701388886</v>
      </c>
      <c r="I1646" s="3">
        <v>45315.766701388886</v>
      </c>
      <c r="J1646" s="3">
        <v>44386.734050925923</v>
      </c>
      <c r="K1646" cm="1">
        <f t="array" ref="K1646">sentimentCalc(C1646)</f>
        <v>2</v>
      </c>
      <c r="L1646" t="str" cm="1">
        <f t="array" ref="L1646">sentimentCategory(K1646)</f>
        <v>Positive</v>
      </c>
    </row>
    <row r="1647" spans="1:12" x14ac:dyDescent="0.25">
      <c r="A1647" t="s">
        <v>2944</v>
      </c>
      <c r="B1647" t="s">
        <v>2945</v>
      </c>
      <c r="C1647" t="str" cm="1">
        <f t="array" ref="C1647">CleanText(B1647)</f>
        <v>i want watch that</v>
      </c>
      <c r="D1647">
        <v>0</v>
      </c>
      <c r="E1647">
        <v>0</v>
      </c>
      <c r="F1647" t="s">
        <v>10</v>
      </c>
      <c r="G1647" t="str" cm="1">
        <f t="array" ref="G1647">FindCountryName(F1647)</f>
        <v>None</v>
      </c>
      <c r="H1647" s="3">
        <v>45155.592719907407</v>
      </c>
      <c r="I1647" s="3">
        <v>45155.592719907407</v>
      </c>
      <c r="J1647" s="3">
        <v>41396.156597222223</v>
      </c>
      <c r="K1647" cm="1">
        <f t="array" ref="K1647">sentimentCalc(C1647)</f>
        <v>1</v>
      </c>
      <c r="L1647" t="str" cm="1">
        <f t="array" ref="L1647">sentimentCategory(K1647)</f>
        <v>Positive</v>
      </c>
    </row>
    <row r="1648" spans="1:12" x14ac:dyDescent="0.25">
      <c r="A1648" t="s">
        <v>311</v>
      </c>
      <c r="B1648" t="s">
        <v>1205</v>
      </c>
      <c r="C1648" t="str" cm="1">
        <f t="array" ref="C1648">CleanText(B1648)</f>
        <v>i wanted to be barbie since i was a kid and going to search in google how do i become an barbie</v>
      </c>
      <c r="D1648">
        <v>1</v>
      </c>
      <c r="E1648">
        <v>0</v>
      </c>
      <c r="F1648" t="s">
        <v>10</v>
      </c>
      <c r="G1648" t="str" cm="1">
        <f t="array" ref="G1648">FindCountryName(F1648)</f>
        <v>None</v>
      </c>
      <c r="H1648" s="3">
        <v>45276.587592592594</v>
      </c>
      <c r="I1648" s="3">
        <v>45276.587592592594</v>
      </c>
      <c r="J1648" s="3">
        <v>42377.807291666664</v>
      </c>
      <c r="K1648" cm="1">
        <f t="array" ref="K1648">sentimentCalc(C1648)</f>
        <v>0</v>
      </c>
      <c r="L1648" t="str" cm="1">
        <f t="array" ref="L1648">sentimentCategory(K1648)</f>
        <v>Neutral</v>
      </c>
    </row>
    <row r="1649" spans="1:12" x14ac:dyDescent="0.25">
      <c r="A1649" t="s">
        <v>1112</v>
      </c>
      <c r="B1649" t="s">
        <v>3253</v>
      </c>
      <c r="C1649" t="str" cm="1">
        <f t="array" ref="C1649">CleanText(B1649)</f>
        <v>i wanted to watch the movie bcz of ryan and it looked fun on the trailer but the actual movie is horribly ruined by politics and all so i will try to stay positive and say it was bad</v>
      </c>
      <c r="D1649">
        <v>1</v>
      </c>
      <c r="E1649">
        <v>0</v>
      </c>
      <c r="F1649" t="s">
        <v>10</v>
      </c>
      <c r="G1649" t="str" cm="1">
        <f t="array" ref="G1649">FindCountryName(F1649)</f>
        <v>None</v>
      </c>
      <c r="H1649" s="3">
        <v>45151.354120370372</v>
      </c>
      <c r="I1649" s="3">
        <v>45151.354120370372</v>
      </c>
      <c r="J1649" s="3">
        <v>44867.550381944442</v>
      </c>
      <c r="K1649" cm="1">
        <f t="array" ref="K1649">sentimentCalc(C1649)</f>
        <v>1</v>
      </c>
      <c r="L1649" t="str" cm="1">
        <f t="array" ref="L1649">sentimentCategory(K1649)</f>
        <v>Positive</v>
      </c>
    </row>
    <row r="1650" spans="1:12" x14ac:dyDescent="0.25">
      <c r="A1650" t="s">
        <v>83</v>
      </c>
      <c r="B1650" t="s">
        <v>530</v>
      </c>
      <c r="C1650" t="str" cm="1">
        <f t="array" ref="C1650">CleanText(B1650)</f>
        <v>i was always in love with barbie products and found the movie really good as well</v>
      </c>
      <c r="D1650">
        <v>0</v>
      </c>
      <c r="E1650">
        <v>0</v>
      </c>
      <c r="F1650" t="s">
        <v>10</v>
      </c>
      <c r="G1650" t="str" cm="1">
        <f t="array" ref="G1650">FindCountryName(F1650)</f>
        <v>None</v>
      </c>
      <c r="H1650" s="3">
        <v>45317.290347222224</v>
      </c>
      <c r="I1650" s="3">
        <v>45317.290347222224</v>
      </c>
      <c r="J1650" s="3">
        <v>44292.170856481483</v>
      </c>
      <c r="K1650" cm="1">
        <f t="array" ref="K1650">sentimentCalc(C1650)</f>
        <v>6</v>
      </c>
      <c r="L1650" t="str" cm="1">
        <f t="array" ref="L1650">sentimentCategory(K1650)</f>
        <v>Positive</v>
      </c>
    </row>
    <row r="1651" spans="1:12" x14ac:dyDescent="0.25">
      <c r="A1651" t="s">
        <v>783</v>
      </c>
      <c r="B1651" t="s">
        <v>2142</v>
      </c>
      <c r="C1651" t="str" cm="1">
        <f t="array" ref="C1651">CleanText(B1651)</f>
        <v>i was disappointed with the movie its not very good and the message is an immature sexist one its not about equality</v>
      </c>
      <c r="D1651">
        <v>1</v>
      </c>
      <c r="E1651">
        <v>1</v>
      </c>
      <c r="F1651" t="s">
        <v>10</v>
      </c>
      <c r="G1651" t="str" cm="1">
        <f t="array" ref="G1651">FindCountryName(F1651)</f>
        <v>None</v>
      </c>
      <c r="H1651" s="3">
        <v>45178.707696759258</v>
      </c>
      <c r="I1651" s="3">
        <v>45178.707685185182</v>
      </c>
      <c r="J1651" s="3">
        <v>38859.565104166664</v>
      </c>
      <c r="K1651" cm="1">
        <f t="array" ref="K1651">sentimentCalc(C1651)</f>
        <v>1</v>
      </c>
      <c r="L1651" t="str" cm="1">
        <f t="array" ref="L1651">sentimentCategory(K1651)</f>
        <v>Positive</v>
      </c>
    </row>
    <row r="1652" spans="1:12" x14ac:dyDescent="0.25">
      <c r="A1652" t="s">
        <v>762</v>
      </c>
      <c r="B1652" t="s">
        <v>763</v>
      </c>
      <c r="C1652" t="str" cm="1">
        <f t="array" ref="C1652">CleanText(B1652)</f>
        <v>i was flying back to japan and i watched barbie it was so much fun and i found the actors really good billie eilish song make me always cry</v>
      </c>
      <c r="D1652">
        <v>14</v>
      </c>
      <c r="E1652">
        <v>0</v>
      </c>
      <c r="F1652" t="s">
        <v>10</v>
      </c>
      <c r="G1652" t="str" cm="1">
        <f t="array" ref="G1652">FindCountryName(F1652)</f>
        <v>None</v>
      </c>
      <c r="H1652" s="3">
        <v>45309.521134259259</v>
      </c>
      <c r="I1652" s="3">
        <v>45320.099317129629</v>
      </c>
      <c r="J1652" s="3">
        <v>40178.617291666669</v>
      </c>
      <c r="K1652" cm="1">
        <f t="array" ref="K1652">sentimentCalc(C1652)</f>
        <v>6</v>
      </c>
      <c r="L1652" t="str" cm="1">
        <f t="array" ref="L1652">sentimentCategory(K1652)</f>
        <v>Positive</v>
      </c>
    </row>
    <row r="1653" spans="1:12" x14ac:dyDescent="0.25">
      <c r="A1653" t="s">
        <v>400</v>
      </c>
      <c r="B1653" t="s">
        <v>3818</v>
      </c>
      <c r="C1653" t="str" cm="1">
        <f t="array" ref="C1653">CleanText(B1653)</f>
        <v>i was interested in the part of the movie where little girls destroy old toys because something new has appeared on the marketthis is a beautiful example of a consumer society</v>
      </c>
      <c r="D1653">
        <v>0</v>
      </c>
      <c r="E1653">
        <v>0</v>
      </c>
      <c r="F1653" t="s">
        <v>10</v>
      </c>
      <c r="G1653" t="str" cm="1">
        <f t="array" ref="G1653">FindCountryName(F1653)</f>
        <v>None</v>
      </c>
      <c r="H1653" s="3">
        <v>45145.291145833333</v>
      </c>
      <c r="I1653" s="3">
        <v>45145.291400462964</v>
      </c>
      <c r="J1653" s="3">
        <v>44351.238020833334</v>
      </c>
      <c r="K1653" cm="1">
        <f t="array" ref="K1653">sentimentCalc(C1653)</f>
        <v>2</v>
      </c>
      <c r="L1653" t="str" cm="1">
        <f t="array" ref="L1653">sentimentCategory(K1653)</f>
        <v>Positive</v>
      </c>
    </row>
    <row r="1654" spans="1:12" x14ac:dyDescent="0.25">
      <c r="A1654" t="s">
        <v>2250</v>
      </c>
      <c r="B1654" t="s">
        <v>2251</v>
      </c>
      <c r="C1654" t="str" cm="1">
        <f t="array" ref="C1654">CleanText(B1654)</f>
        <v>i was never really interested in barbie but after i watched this i was pretty surprised the acting was amazing</v>
      </c>
      <c r="D1654">
        <v>8</v>
      </c>
      <c r="E1654">
        <v>0</v>
      </c>
      <c r="F1654" t="s">
        <v>10</v>
      </c>
      <c r="G1654" t="str" cm="1">
        <f t="array" ref="G1654">FindCountryName(F1654)</f>
        <v>None</v>
      </c>
      <c r="H1654" s="3">
        <v>45173.916550925926</v>
      </c>
      <c r="I1654" s="3">
        <v>45173.916550925926</v>
      </c>
      <c r="J1654" s="3">
        <v>45137.662523148145</v>
      </c>
      <c r="K1654" cm="1">
        <f t="array" ref="K1654">sentimentCalc(C1654)</f>
        <v>7</v>
      </c>
      <c r="L1654" t="str" cm="1">
        <f t="array" ref="L1654">sentimentCategory(K1654)</f>
        <v>Positive</v>
      </c>
    </row>
    <row r="1655" spans="1:12" x14ac:dyDescent="0.25">
      <c r="A1655" t="s">
        <v>447</v>
      </c>
      <c r="B1655" t="s">
        <v>2665</v>
      </c>
      <c r="C1655" t="str" cm="1">
        <f t="array" ref="C1655">CleanText(B1655)</f>
        <v>i was skeptical of ryan gosling playing ken id never seen him in a comedic role before i was pleasantly surprised he was perfect in this</v>
      </c>
      <c r="D1655">
        <v>230</v>
      </c>
      <c r="E1655">
        <v>10</v>
      </c>
      <c r="F1655" t="s">
        <v>10</v>
      </c>
      <c r="G1655" t="str" cm="1">
        <f t="array" ref="G1655">FindCountryName(F1655)</f>
        <v>None</v>
      </c>
      <c r="H1655" s="3">
        <v>45160.487592592595</v>
      </c>
      <c r="I1655" s="3">
        <v>45160.487592592595</v>
      </c>
      <c r="J1655" s="3">
        <v>41126.057025462964</v>
      </c>
      <c r="K1655" cm="1">
        <f t="array" ref="K1655">sentimentCalc(C1655)</f>
        <v>1</v>
      </c>
      <c r="L1655" t="str" cm="1">
        <f t="array" ref="L1655">sentimentCategory(K1655)</f>
        <v>Positive</v>
      </c>
    </row>
    <row r="1656" spans="1:12" x14ac:dyDescent="0.25">
      <c r="A1656" t="s">
        <v>1244</v>
      </c>
      <c r="B1656" t="s">
        <v>2284</v>
      </c>
      <c r="C1656" t="str" cm="1">
        <f t="array" ref="C1656">CleanText(B1656)</f>
        <v>i watch it already in the movie im actually barbie</v>
      </c>
      <c r="D1656">
        <v>0</v>
      </c>
      <c r="E1656">
        <v>0</v>
      </c>
      <c r="F1656" t="s">
        <v>10</v>
      </c>
      <c r="G1656" t="str" cm="1">
        <f t="array" ref="G1656">FindCountryName(F1656)</f>
        <v>None</v>
      </c>
      <c r="H1656" s="3">
        <v>45172.807627314818</v>
      </c>
      <c r="I1656" s="3">
        <v>45172.807615740741</v>
      </c>
      <c r="J1656" s="3">
        <v>44872.69</v>
      </c>
      <c r="K1656" cm="1">
        <f t="array" ref="K1656">sentimentCalc(C1656)</f>
        <v>0</v>
      </c>
      <c r="L1656" t="str" cm="1">
        <f t="array" ref="L1656">sentimentCategory(K1656)</f>
        <v>Neutral</v>
      </c>
    </row>
    <row r="1657" spans="1:12" x14ac:dyDescent="0.25">
      <c r="A1657" t="s">
        <v>122</v>
      </c>
      <c r="B1657" t="s">
        <v>3572</v>
      </c>
      <c r="C1657" t="str" cm="1">
        <f t="array" ref="C1657">CleanText(B1657)</f>
        <v>i watch it today</v>
      </c>
      <c r="D1657">
        <v>0</v>
      </c>
      <c r="E1657">
        <v>0</v>
      </c>
      <c r="F1657" t="s">
        <v>10</v>
      </c>
      <c r="G1657" t="str" cm="1">
        <f t="array" ref="G1657">FindCountryName(F1657)</f>
        <v>None</v>
      </c>
      <c r="H1657" s="3">
        <v>45147.47210648148</v>
      </c>
      <c r="I1657" s="3">
        <v>45147.47210648148</v>
      </c>
      <c r="J1657" s="3">
        <v>44148.175856481481</v>
      </c>
      <c r="K1657" cm="1">
        <f t="array" ref="K1657">sentimentCalc(C1657)</f>
        <v>0</v>
      </c>
      <c r="L1657" t="str" cm="1">
        <f t="array" ref="L1657">sentimentCategory(K1657)</f>
        <v>Neutral</v>
      </c>
    </row>
    <row r="1658" spans="1:12" x14ac:dyDescent="0.25">
      <c r="A1658" t="s">
        <v>555</v>
      </c>
      <c r="B1658" t="s">
        <v>4323</v>
      </c>
      <c r="C1658" t="str" cm="1">
        <f t="array" ref="C1658">CleanText(B1658)</f>
        <v>i watch the new barbie movie just two minutes ago i got back but the movie were so good the movie gone are the two hours i watch it at the movie theaters you guys should go i know it was movie with like three weeks ago but its good</v>
      </c>
      <c r="D1658">
        <v>0</v>
      </c>
      <c r="E1658">
        <v>1</v>
      </c>
      <c r="F1658" t="s">
        <v>10</v>
      </c>
      <c r="G1658" t="str" cm="1">
        <f t="array" ref="G1658">FindCountryName(F1658)</f>
        <v>None</v>
      </c>
      <c r="H1658" s="3">
        <v>45140.951944444445</v>
      </c>
      <c r="I1658" s="3">
        <v>45140.951944444445</v>
      </c>
      <c r="J1658" s="3">
        <v>42131.084004629629</v>
      </c>
      <c r="K1658" cm="1">
        <f t="array" ref="K1658">sentimentCalc(C1658)</f>
        <v>8</v>
      </c>
      <c r="L1658" t="str" cm="1">
        <f t="array" ref="L1658">sentimentCategory(K1658)</f>
        <v>Positive</v>
      </c>
    </row>
    <row r="1659" spans="1:12" x14ac:dyDescent="0.25">
      <c r="A1659" t="s">
        <v>986</v>
      </c>
      <c r="B1659" t="s">
        <v>3594</v>
      </c>
      <c r="C1659" t="str" cm="1">
        <f t="array" ref="C1659">CleanText(B1659)</f>
        <v>i watch the new barbie</v>
      </c>
      <c r="D1659">
        <v>1</v>
      </c>
      <c r="E1659">
        <v>0</v>
      </c>
      <c r="F1659" t="s">
        <v>10</v>
      </c>
      <c r="G1659" t="str" cm="1">
        <f t="array" ref="G1659">FindCountryName(F1659)</f>
        <v>None</v>
      </c>
      <c r="H1659" s="3">
        <v>45147.316006944442</v>
      </c>
      <c r="I1659" s="3">
        <v>45147.316006944442</v>
      </c>
      <c r="J1659" s="3">
        <v>41310.950729166667</v>
      </c>
      <c r="K1659" cm="1">
        <f t="array" ref="K1659">sentimentCalc(C1659)</f>
        <v>0</v>
      </c>
      <c r="L1659" t="str" cm="1">
        <f t="array" ref="L1659">sentimentCategory(K1659)</f>
        <v>Neutral</v>
      </c>
    </row>
    <row r="1660" spans="1:12" x14ac:dyDescent="0.25">
      <c r="A1660" t="s">
        <v>152</v>
      </c>
      <c r="B1660" t="s">
        <v>3801</v>
      </c>
      <c r="C1660" t="str" cm="1">
        <f t="array" ref="C1660">CleanText(B1660)</f>
        <v>i watch this movie this is so super</v>
      </c>
      <c r="D1660">
        <v>1</v>
      </c>
      <c r="E1660">
        <v>0</v>
      </c>
      <c r="F1660" t="s">
        <v>10</v>
      </c>
      <c r="G1660" t="str" cm="1">
        <f t="array" ref="G1660">FindCountryName(F1660)</f>
        <v>None</v>
      </c>
      <c r="H1660" s="3">
        <v>45145.388229166667</v>
      </c>
      <c r="I1660" s="3">
        <v>45145.388229166667</v>
      </c>
      <c r="J1660" s="3">
        <v>44594.303622685184</v>
      </c>
      <c r="K1660" cm="1">
        <f t="array" ref="K1660">sentimentCalc(C1660)</f>
        <v>3</v>
      </c>
      <c r="L1660" t="str" cm="1">
        <f t="array" ref="L1660">sentimentCategory(K1660)</f>
        <v>Positive</v>
      </c>
    </row>
    <row r="1661" spans="1:12" x14ac:dyDescent="0.25">
      <c r="A1661" t="s">
        <v>2221</v>
      </c>
      <c r="B1661" t="s">
        <v>4324</v>
      </c>
      <c r="C1661" t="str" cm="1">
        <f t="array" ref="C1661">CleanText(B1661)</f>
        <v>i watched at the cinema sm light</v>
      </c>
      <c r="D1661">
        <v>0</v>
      </c>
      <c r="E1661">
        <v>0</v>
      </c>
      <c r="F1661" t="s">
        <v>10</v>
      </c>
      <c r="G1661" t="str" cm="1">
        <f t="array" ref="G1661">FindCountryName(F1661)</f>
        <v>None</v>
      </c>
      <c r="H1661" s="3">
        <v>45140.946076388886</v>
      </c>
      <c r="I1661" s="3">
        <v>45140.946076388886</v>
      </c>
      <c r="J1661" s="3">
        <v>41314.943807870368</v>
      </c>
      <c r="K1661" cm="1">
        <f t="array" ref="K1661">sentimentCalc(C1661)</f>
        <v>0</v>
      </c>
      <c r="L1661" t="str" cm="1">
        <f t="array" ref="L1661">sentimentCategory(K1661)</f>
        <v>Neutral</v>
      </c>
    </row>
    <row r="1662" spans="1:12" x14ac:dyDescent="0.25">
      <c r="A1662" t="s">
        <v>4005</v>
      </c>
      <c r="B1662" t="s">
        <v>4006</v>
      </c>
      <c r="C1662" t="str" cm="1">
        <f t="array" ref="C1662">CleanText(B1662)</f>
        <v>i watched barbie at the movies at silverburn it was so good</v>
      </c>
      <c r="D1662">
        <v>0</v>
      </c>
      <c r="E1662">
        <v>0</v>
      </c>
      <c r="F1662" t="s">
        <v>10</v>
      </c>
      <c r="G1662" t="str" cm="1">
        <f t="array" ref="G1662">FindCountryName(F1662)</f>
        <v>None</v>
      </c>
      <c r="H1662" s="3">
        <v>45143.787893518522</v>
      </c>
      <c r="I1662" s="3">
        <v>45143.787893518522</v>
      </c>
      <c r="J1662" s="3">
        <v>42483.173657407409</v>
      </c>
      <c r="K1662" cm="1">
        <f t="array" ref="K1662">sentimentCalc(C1662)</f>
        <v>3</v>
      </c>
      <c r="L1662" t="str" cm="1">
        <f t="array" ref="L1662">sentimentCategory(K1662)</f>
        <v>Positive</v>
      </c>
    </row>
    <row r="1663" spans="1:12" x14ac:dyDescent="0.25">
      <c r="A1663" t="s">
        <v>3330</v>
      </c>
      <c r="B1663" t="s">
        <v>3477</v>
      </c>
      <c r="C1663" t="str" cm="1">
        <f t="array" ref="C1663">CleanText(B1663)</f>
        <v>i watched barbie movie twice its my favourite favourite movie now of all time i loved allan  weird barbie and america ferrera so much as well  margot robbie is a real barbie to me  and ryan gosling is amazing too as all other ken actors and dancers i am so happy to be alive in  to see barbie phenomenon movie because its so important to me i cried  times during the movie  its so touching and beautifulthank you warner bros for this wonderful film  waiting for a sequel</v>
      </c>
      <c r="D1663">
        <v>0</v>
      </c>
      <c r="E1663">
        <v>0</v>
      </c>
      <c r="F1663" t="s">
        <v>147</v>
      </c>
      <c r="G1663" t="str" cm="1">
        <f t="array" ref="G1663">FindCountryName(F1663)</f>
        <v>France</v>
      </c>
      <c r="H1663" s="3">
        <v>45148.514004629629</v>
      </c>
      <c r="I1663" s="3">
        <v>45148.513993055552</v>
      </c>
      <c r="J1663" s="3">
        <v>42832.250092592592</v>
      </c>
      <c r="K1663" cm="1">
        <f t="array" ref="K1663">sentimentCalc(C1663)</f>
        <v>13</v>
      </c>
      <c r="L1663" t="str" cm="1">
        <f t="array" ref="L1663">sentimentCategory(K1663)</f>
        <v>Positive</v>
      </c>
    </row>
    <row r="1664" spans="1:12" x14ac:dyDescent="0.25">
      <c r="A1664" t="s">
        <v>2608</v>
      </c>
      <c r="B1664" t="s">
        <v>2609</v>
      </c>
      <c r="C1664" t="str" cm="1">
        <f t="array" ref="C1664">CleanText(B1664)</f>
        <v>i watched it and it was amazing loved it</v>
      </c>
      <c r="D1664">
        <v>5</v>
      </c>
      <c r="E1664">
        <v>0</v>
      </c>
      <c r="F1664" t="s">
        <v>10</v>
      </c>
      <c r="G1664" t="str" cm="1">
        <f t="array" ref="G1664">FindCountryName(F1664)</f>
        <v>None</v>
      </c>
      <c r="H1664" s="3">
        <v>45162.100497685184</v>
      </c>
      <c r="I1664" s="3">
        <v>45162.100497685184</v>
      </c>
      <c r="J1664" s="3">
        <v>45024.04178240741</v>
      </c>
      <c r="K1664" cm="1">
        <f t="array" ref="K1664">sentimentCalc(C1664)</f>
        <v>7</v>
      </c>
      <c r="L1664" t="str" cm="1">
        <f t="array" ref="L1664">sentimentCategory(K1664)</f>
        <v>Positive</v>
      </c>
    </row>
    <row r="1665" spans="1:12" x14ac:dyDescent="0.25">
      <c r="A1665" t="s">
        <v>1114</v>
      </c>
      <c r="B1665" t="s">
        <v>2508</v>
      </c>
      <c r="C1665" t="str" cm="1">
        <f t="array" ref="C1665">CleanText(B1665)</f>
        <v>i watched it and it was very very boring it was made for young educated women who in a kind of obsessivecompulsive disorder have to satisfy their identitarian needs despite already being permanently pampered by the defining public discourses of the day</v>
      </c>
      <c r="D1665">
        <v>1</v>
      </c>
      <c r="E1665">
        <v>0</v>
      </c>
      <c r="F1665" t="s">
        <v>10</v>
      </c>
      <c r="G1665" t="str" cm="1">
        <f t="array" ref="G1665">FindCountryName(F1665)</f>
        <v>None</v>
      </c>
      <c r="H1665" s="3">
        <v>45164.80097222222</v>
      </c>
      <c r="I1665" s="3">
        <v>45164.80097222222</v>
      </c>
      <c r="J1665" s="3">
        <v>41883.306759259256</v>
      </c>
      <c r="K1665" cm="1">
        <f t="array" ref="K1665">sentimentCalc(C1665)</f>
        <v>-3</v>
      </c>
      <c r="L1665" t="str" cm="1">
        <f t="array" ref="L1665">sentimentCategory(K1665)</f>
        <v>Negative</v>
      </c>
    </row>
    <row r="1666" spans="1:12" x14ac:dyDescent="0.25">
      <c r="A1666" t="s">
        <v>290</v>
      </c>
      <c r="B1666" t="s">
        <v>4051</v>
      </c>
      <c r="C1666" t="str" cm="1">
        <f t="array" ref="C1666">CleanText(B1666)</f>
        <v>i watched it yesterday</v>
      </c>
      <c r="D1666">
        <v>0</v>
      </c>
      <c r="E1666">
        <v>0</v>
      </c>
      <c r="F1666" t="s">
        <v>10</v>
      </c>
      <c r="G1666" t="str" cm="1">
        <f t="array" ref="G1666">FindCountryName(F1666)</f>
        <v>None</v>
      </c>
      <c r="H1666" s="3">
        <v>45143.389884259261</v>
      </c>
      <c r="I1666" s="3">
        <v>45143.389884259261</v>
      </c>
      <c r="J1666" s="3">
        <v>43462.475543981483</v>
      </c>
      <c r="K1666" cm="1">
        <f t="array" ref="K1666">sentimentCalc(C1666)</f>
        <v>0</v>
      </c>
      <c r="L1666" t="str" cm="1">
        <f t="array" ref="L1666">sentimentCategory(K1666)</f>
        <v>Neutral</v>
      </c>
    </row>
    <row r="1667" spans="1:12" x14ac:dyDescent="0.25">
      <c r="A1667" t="s">
        <v>1965</v>
      </c>
      <c r="B1667" t="s">
        <v>1966</v>
      </c>
      <c r="C1667" t="str" cm="1">
        <f t="array" ref="C1667">CleanText(B1667)</f>
        <v>i watched it yesterday and it was so good</v>
      </c>
      <c r="D1667">
        <v>2</v>
      </c>
      <c r="E1667">
        <v>0</v>
      </c>
      <c r="F1667" t="s">
        <v>10</v>
      </c>
      <c r="G1667" t="str" cm="1">
        <f t="array" ref="G1667">FindCountryName(F1667)</f>
        <v>None</v>
      </c>
      <c r="H1667" s="3">
        <v>45186.309247685182</v>
      </c>
      <c r="I1667" s="3">
        <v>45186.309236111112</v>
      </c>
      <c r="J1667" s="3">
        <v>45104.73715277778</v>
      </c>
      <c r="K1667" cm="1">
        <f t="array" ref="K1667">sentimentCalc(C1667)</f>
        <v>3</v>
      </c>
      <c r="L1667" t="str" cm="1">
        <f t="array" ref="L1667">sentimentCategory(K1667)</f>
        <v>Positive</v>
      </c>
    </row>
    <row r="1668" spans="1:12" x14ac:dyDescent="0.25">
      <c r="A1668" t="s">
        <v>824</v>
      </c>
      <c r="B1668" t="s">
        <v>825</v>
      </c>
      <c r="C1668" t="str" cm="1">
        <f t="array" ref="C1668">CleanText(B1668)</f>
        <v>i watched it im amazed that actors of what i consider high caliber denigrated themselves in this may i say stupid movie</v>
      </c>
      <c r="D1668">
        <v>2</v>
      </c>
      <c r="E1668">
        <v>1</v>
      </c>
      <c r="F1668" t="s">
        <v>10</v>
      </c>
      <c r="G1668" t="str" cm="1">
        <f t="array" ref="G1668">FindCountryName(F1668)</f>
        <v>None</v>
      </c>
      <c r="H1668" s="3">
        <v>45304.628680555557</v>
      </c>
      <c r="I1668" s="3">
        <v>45304.628680555557</v>
      </c>
      <c r="J1668" s="3">
        <v>44702.804178240738</v>
      </c>
      <c r="K1668" cm="1">
        <f t="array" ref="K1668">sentimentCalc(C1668)</f>
        <v>0</v>
      </c>
      <c r="L1668" t="str" cm="1">
        <f t="array" ref="L1668">sentimentCategory(K1668)</f>
        <v>Neutral</v>
      </c>
    </row>
    <row r="1669" spans="1:12" x14ac:dyDescent="0.25">
      <c r="A1669" t="s">
        <v>1654</v>
      </c>
      <c r="B1669" t="s">
        <v>1655</v>
      </c>
      <c r="C1669" t="str" cm="1">
        <f t="array" ref="C1669">CleanText(B1669)</f>
        <v>i watched itloved it</v>
      </c>
      <c r="D1669">
        <v>1</v>
      </c>
      <c r="E1669">
        <v>0</v>
      </c>
      <c r="F1669" t="s">
        <v>845</v>
      </c>
      <c r="G1669" t="str" cm="1">
        <f t="array" ref="G1669">FindCountryName(F1669)</f>
        <v>Australia</v>
      </c>
      <c r="H1669" s="3">
        <v>45205.090474537035</v>
      </c>
      <c r="I1669" s="3">
        <v>45205.090474537035</v>
      </c>
      <c r="J1669" s="3">
        <v>45080.069490740738</v>
      </c>
      <c r="K1669" cm="1">
        <f t="array" ref="K1669">sentimentCalc(C1669)</f>
        <v>0</v>
      </c>
      <c r="L1669" t="str" cm="1">
        <f t="array" ref="L1669">sentimentCategory(K1669)</f>
        <v>Neutral</v>
      </c>
    </row>
    <row r="1670" spans="1:12" x14ac:dyDescent="0.25">
      <c r="A1670" t="s">
        <v>1206</v>
      </c>
      <c r="B1670" t="s">
        <v>1207</v>
      </c>
      <c r="C1670" t="str" cm="1">
        <f t="array" ref="C1670">CleanText(B1670)</f>
        <v>i watched oppenheimer last night might watch this later also have mario and the creator i have all on my pc in hdr and other  films</v>
      </c>
      <c r="D1670">
        <v>0</v>
      </c>
      <c r="E1670">
        <v>0</v>
      </c>
      <c r="F1670" t="s">
        <v>1151</v>
      </c>
      <c r="G1670" t="str" cm="1">
        <f t="array" ref="G1670">FindCountryName(F1670)</f>
        <v>United Kingdom of Great Britain and Northern Ireland (the)</v>
      </c>
      <c r="H1670" s="3">
        <v>45276.557013888887</v>
      </c>
      <c r="I1670" s="3">
        <v>45276.557013888887</v>
      </c>
      <c r="J1670" s="3">
        <v>40176.299074074072</v>
      </c>
      <c r="K1670" cm="1">
        <f t="array" ref="K1670">sentimentCalc(C1670)</f>
        <v>0</v>
      </c>
      <c r="L1670" t="str" cm="1">
        <f t="array" ref="L1670">sentimentCategory(K1670)</f>
        <v>Neutral</v>
      </c>
    </row>
    <row r="1671" spans="1:12" x14ac:dyDescent="0.25">
      <c r="A1671" t="s">
        <v>1647</v>
      </c>
      <c r="B1671" t="s">
        <v>1648</v>
      </c>
      <c r="C1671" t="str" cm="1">
        <f t="array" ref="C1671">CleanText(B1671)</f>
        <v>i watched the barbie movie in the cinemas and i love it</v>
      </c>
      <c r="D1671">
        <v>1</v>
      </c>
      <c r="E1671">
        <v>1</v>
      </c>
      <c r="F1671" t="s">
        <v>10</v>
      </c>
      <c r="G1671" t="str" cm="1">
        <f t="array" ref="G1671">FindCountryName(F1671)</f>
        <v>None</v>
      </c>
      <c r="H1671" s="3">
        <v>45205.436793981484</v>
      </c>
      <c r="I1671" s="3">
        <v>45205.436793981484</v>
      </c>
      <c r="J1671" s="3">
        <v>42356.036215277774</v>
      </c>
      <c r="K1671" cm="1">
        <f t="array" ref="K1671">sentimentCalc(C1671)</f>
        <v>3</v>
      </c>
      <c r="L1671" t="str" cm="1">
        <f t="array" ref="L1671">sentimentCategory(K1671)</f>
        <v>Positive</v>
      </c>
    </row>
    <row r="1672" spans="1:12" x14ac:dyDescent="0.25">
      <c r="A1672" t="s">
        <v>1078</v>
      </c>
      <c r="B1672" t="s">
        <v>3167</v>
      </c>
      <c r="C1672" t="str" cm="1">
        <f t="array" ref="C1672">CleanText(B1672)</f>
        <v>i watched the barbie movie it was so good</v>
      </c>
      <c r="D1672">
        <v>4</v>
      </c>
      <c r="E1672">
        <v>0</v>
      </c>
      <c r="F1672" t="s">
        <v>10</v>
      </c>
      <c r="G1672" t="str" cm="1">
        <f t="array" ref="G1672">FindCountryName(F1672)</f>
        <v>None</v>
      </c>
      <c r="H1672" s="3">
        <v>45152.496990740743</v>
      </c>
      <c r="I1672" s="3">
        <v>45152.496990740743</v>
      </c>
      <c r="J1672" s="3">
        <v>42239.633275462962</v>
      </c>
      <c r="K1672" cm="1">
        <f t="array" ref="K1672">sentimentCalc(C1672)</f>
        <v>3</v>
      </c>
      <c r="L1672" t="str" cm="1">
        <f t="array" ref="L1672">sentimentCategory(K1672)</f>
        <v>Positive</v>
      </c>
    </row>
    <row r="1673" spans="1:12" x14ac:dyDescent="0.25">
      <c r="A1673" t="s">
        <v>158</v>
      </c>
      <c r="B1673" t="s">
        <v>3312</v>
      </c>
      <c r="C1673" t="str" cm="1">
        <f t="array" ref="C1673">CleanText(B1673)</f>
        <v>i watched the barbie movie its so cool you should watch it d</v>
      </c>
      <c r="D1673">
        <v>1</v>
      </c>
      <c r="E1673">
        <v>0</v>
      </c>
      <c r="F1673" t="s">
        <v>10</v>
      </c>
      <c r="G1673" t="str" cm="1">
        <f t="array" ref="G1673">FindCountryName(F1673)</f>
        <v>None</v>
      </c>
      <c r="H1673" s="3">
        <v>45150.444490740738</v>
      </c>
      <c r="I1673" s="3">
        <v>45150.444490740738</v>
      </c>
      <c r="J1673" s="3">
        <v>41036.330208333333</v>
      </c>
      <c r="K1673" cm="1">
        <f t="array" ref="K1673">sentimentCalc(C1673)</f>
        <v>1</v>
      </c>
      <c r="L1673" t="str" cm="1">
        <f t="array" ref="L1673">sentimentCategory(K1673)</f>
        <v>Positive</v>
      </c>
    </row>
    <row r="1674" spans="1:12" x14ac:dyDescent="0.25">
      <c r="A1674" t="s">
        <v>1107</v>
      </c>
      <c r="B1674" t="s">
        <v>1437</v>
      </c>
      <c r="C1674" t="str" cm="1">
        <f t="array" ref="C1674">CleanText(B1674)</f>
        <v>i watched the barbie movie last night bc i got the dvd i loved it</v>
      </c>
      <c r="D1674">
        <v>5</v>
      </c>
      <c r="E1674">
        <v>0</v>
      </c>
      <c r="F1674" t="s">
        <v>10</v>
      </c>
      <c r="G1674" t="str" cm="1">
        <f t="array" ref="G1674">FindCountryName(F1674)</f>
        <v>None</v>
      </c>
      <c r="H1674" s="3">
        <v>45227.293437499997</v>
      </c>
      <c r="I1674" s="3">
        <v>45227.293437499997</v>
      </c>
      <c r="J1674" s="3">
        <v>44318.078113425923</v>
      </c>
      <c r="K1674" cm="1">
        <f t="array" ref="K1674">sentimentCalc(C1674)</f>
        <v>3</v>
      </c>
      <c r="L1674" t="str" cm="1">
        <f t="array" ref="L1674">sentimentCategory(K1674)</f>
        <v>Positive</v>
      </c>
    </row>
    <row r="1675" spans="1:12" x14ac:dyDescent="0.25">
      <c r="A1675" t="s">
        <v>4390</v>
      </c>
      <c r="B1675" t="s">
        <v>4391</v>
      </c>
      <c r="C1675" t="str" cm="1">
        <f t="array" ref="C1675">CleanText(B1675)</f>
        <v>i watched the barbie movie yesterday andhumans only have one ending ideas live forever</v>
      </c>
      <c r="D1675">
        <v>288</v>
      </c>
      <c r="E1675">
        <v>7</v>
      </c>
      <c r="F1675" t="s">
        <v>10</v>
      </c>
      <c r="G1675" t="str" cm="1">
        <f t="array" ref="G1675">FindCountryName(F1675)</f>
        <v>None</v>
      </c>
      <c r="H1675" s="3">
        <v>45140.496458333335</v>
      </c>
      <c r="I1675" s="3">
        <v>45140.497546296298</v>
      </c>
      <c r="J1675" s="3">
        <v>43293.64539351852</v>
      </c>
      <c r="K1675" cm="1">
        <f t="array" ref="K1675">sentimentCalc(C1675)</f>
        <v>0</v>
      </c>
      <c r="L1675" t="str" cm="1">
        <f t="array" ref="L1675">sentimentCategory(K1675)</f>
        <v>Neutral</v>
      </c>
    </row>
    <row r="1676" spans="1:12" x14ac:dyDescent="0.25">
      <c r="A1676" t="s">
        <v>3678</v>
      </c>
      <c r="B1676" t="s">
        <v>3679</v>
      </c>
      <c r="C1676" t="str" cm="1">
        <f t="array" ref="C1676">CleanText(B1676)</f>
        <v>i watched the full movie its amazing and funny and weird lol</v>
      </c>
      <c r="D1676">
        <v>1</v>
      </c>
      <c r="E1676">
        <v>0</v>
      </c>
      <c r="F1676" t="s">
        <v>10</v>
      </c>
      <c r="G1676" t="str" cm="1">
        <f t="array" ref="G1676">FindCountryName(F1676)</f>
        <v>None</v>
      </c>
      <c r="H1676" s="3">
        <v>45146.528587962966</v>
      </c>
      <c r="I1676" s="3">
        <v>45146.528587962966</v>
      </c>
      <c r="J1676" s="3">
        <v>39627.970983796295</v>
      </c>
      <c r="K1676" cm="1">
        <f t="array" ref="K1676">sentimentCalc(C1676)</f>
        <v>6</v>
      </c>
      <c r="L1676" t="str" cm="1">
        <f t="array" ref="L1676">sentimentCategory(K1676)</f>
        <v>Positive</v>
      </c>
    </row>
    <row r="1677" spans="1:12" x14ac:dyDescent="0.25">
      <c r="A1677" t="s">
        <v>1641</v>
      </c>
      <c r="B1677" t="s">
        <v>1642</v>
      </c>
      <c r="C1677" t="str" cm="1">
        <f t="array" ref="C1677">CleanText(B1677)</f>
        <v>i watched the movie at the cinemas with my mum and at the end my mum was like what song is this and i was like idk and my mum was like  then we left and she said nothing and i was like</v>
      </c>
      <c r="D1677">
        <v>0</v>
      </c>
      <c r="E1677">
        <v>0</v>
      </c>
      <c r="F1677" t="s">
        <v>10</v>
      </c>
      <c r="G1677" t="str" cm="1">
        <f t="array" ref="G1677">FindCountryName(F1677)</f>
        <v>None</v>
      </c>
      <c r="H1677" s="3">
        <v>45206.463263888887</v>
      </c>
      <c r="I1677" s="3">
        <v>45206.463263888887</v>
      </c>
      <c r="J1677" s="3">
        <v>45030.355150462965</v>
      </c>
      <c r="K1677" cm="1">
        <f t="array" ref="K1677">sentimentCalc(C1677)</f>
        <v>8</v>
      </c>
      <c r="L1677" t="str" cm="1">
        <f t="array" ref="L1677">sentimentCategory(K1677)</f>
        <v>Positive</v>
      </c>
    </row>
    <row r="1678" spans="1:12" x14ac:dyDescent="0.25">
      <c r="A1678" t="s">
        <v>2047</v>
      </c>
      <c r="B1678" t="s">
        <v>4276</v>
      </c>
      <c r="C1678" t="str" cm="1">
        <f t="array" ref="C1678">CleanText(B1678)</f>
        <v>i watched the movie but everyone says they dont like it like why</v>
      </c>
      <c r="D1678">
        <v>3</v>
      </c>
      <c r="E1678">
        <v>0</v>
      </c>
      <c r="F1678" t="s">
        <v>10</v>
      </c>
      <c r="G1678" t="str" cm="1">
        <f t="array" ref="G1678">FindCountryName(F1678)</f>
        <v>None</v>
      </c>
      <c r="H1678" s="3">
        <v>45141.280115740738</v>
      </c>
      <c r="I1678" s="3">
        <v>45141.280115740738</v>
      </c>
      <c r="J1678" s="3">
        <v>44474.248854166668</v>
      </c>
      <c r="K1678" cm="1">
        <f t="array" ref="K1678">sentimentCalc(C1678)</f>
        <v>4</v>
      </c>
      <c r="L1678" t="str" cm="1">
        <f t="array" ref="L1678">sentimentCategory(K1678)</f>
        <v>Positive</v>
      </c>
    </row>
    <row r="1679" spans="1:12" x14ac:dyDescent="0.25">
      <c r="A1679" t="s">
        <v>2766</v>
      </c>
      <c r="B1679" t="s">
        <v>2767</v>
      </c>
      <c r="C1679" t="str" cm="1">
        <f t="array" ref="C1679">CleanText(B1679)</f>
        <v>i watched the movie finally and it was amazing</v>
      </c>
      <c r="D1679">
        <v>4</v>
      </c>
      <c r="E1679">
        <v>3</v>
      </c>
      <c r="F1679" t="s">
        <v>10</v>
      </c>
      <c r="G1679" t="str" cm="1">
        <f t="array" ref="G1679">FindCountryName(F1679)</f>
        <v>None</v>
      </c>
      <c r="H1679" s="3">
        <v>45158.255381944444</v>
      </c>
      <c r="I1679" s="3">
        <v>45158.255381944444</v>
      </c>
      <c r="J1679" s="3">
        <v>43594.726087962961</v>
      </c>
      <c r="K1679" cm="1">
        <f t="array" ref="K1679">sentimentCalc(C1679)</f>
        <v>4</v>
      </c>
      <c r="L1679" t="str" cm="1">
        <f t="array" ref="L1679">sentimentCategory(K1679)</f>
        <v>Positive</v>
      </c>
    </row>
    <row r="1680" spans="1:12" x14ac:dyDescent="0.25">
      <c r="A1680" t="s">
        <v>3586</v>
      </c>
      <c r="B1680" t="s">
        <v>3877</v>
      </c>
      <c r="C1680" t="str" cm="1">
        <f t="array" ref="C1680">CleanText(B1680)</f>
        <v>i watched the trailer again and again for the song in last few seconds im looking for barblady to join me to watch that film and ill come with you to watch ken too</v>
      </c>
      <c r="D1680">
        <v>0</v>
      </c>
      <c r="E1680">
        <v>0</v>
      </c>
      <c r="F1680" t="s">
        <v>10</v>
      </c>
      <c r="G1680" t="str" cm="1">
        <f t="array" ref="G1680">FindCountryName(F1680)</f>
        <v>None</v>
      </c>
      <c r="H1680" s="3">
        <v>45144.78052083333</v>
      </c>
      <c r="I1680" s="3">
        <v>45144.78052083333</v>
      </c>
      <c r="J1680" s="3">
        <v>40406.598275462966</v>
      </c>
      <c r="K1680" cm="1">
        <f t="array" ref="K1680">sentimentCalc(C1680)</f>
        <v>-1</v>
      </c>
      <c r="L1680" t="str" cm="1">
        <f t="array" ref="L1680">sentimentCategory(K1680)</f>
        <v>Negative</v>
      </c>
    </row>
    <row r="1681" spans="1:12" x14ac:dyDescent="0.25">
      <c r="A1681" t="s">
        <v>859</v>
      </c>
      <c r="B1681" t="s">
        <v>4327</v>
      </c>
      <c r="C1681" t="str" cm="1">
        <f t="array" ref="C1681">CleanText(B1681)</f>
        <v>i watched the whole movie in the movie theater and it was so fun</v>
      </c>
      <c r="D1681">
        <v>1</v>
      </c>
      <c r="E1681">
        <v>3</v>
      </c>
      <c r="F1681" t="s">
        <v>227</v>
      </c>
      <c r="G1681" t="str" cm="1">
        <f t="array" ref="G1681">FindCountryName(F1681)</f>
        <v>United States of America (the)</v>
      </c>
      <c r="H1681" s="3">
        <v>45140.931168981479</v>
      </c>
      <c r="I1681" s="3">
        <v>45140.931168981479</v>
      </c>
      <c r="J1681" s="3">
        <v>40288.829062500001</v>
      </c>
      <c r="K1681" cm="1">
        <f t="array" ref="K1681">sentimentCalc(C1681)</f>
        <v>4</v>
      </c>
      <c r="L1681" t="str" cm="1">
        <f t="array" ref="L1681">sentimentCategory(K1681)</f>
        <v>Positive</v>
      </c>
    </row>
    <row r="1682" spans="1:12" x14ac:dyDescent="0.25">
      <c r="A1682" t="s">
        <v>1561</v>
      </c>
      <c r="B1682" t="s">
        <v>4168</v>
      </c>
      <c r="C1682" t="str" cm="1">
        <f t="array" ref="C1682">CleanText(B1682)</f>
        <v>i watched this and it is absolutely amazing iwould watch it over and over again if i had the chance its definitely a unique movie but its so good</v>
      </c>
      <c r="D1682">
        <v>97</v>
      </c>
      <c r="E1682">
        <v>7</v>
      </c>
      <c r="F1682" t="s">
        <v>10</v>
      </c>
      <c r="G1682" t="str" cm="1">
        <f t="array" ref="G1682">FindCountryName(F1682)</f>
        <v>None</v>
      </c>
      <c r="H1682" s="3">
        <v>45142.371203703704</v>
      </c>
      <c r="I1682" s="3">
        <v>45142.371203703704</v>
      </c>
      <c r="J1682" s="3">
        <v>44990.059201388889</v>
      </c>
      <c r="K1682" cm="1">
        <f t="array" ref="K1682">sentimentCalc(C1682)</f>
        <v>9</v>
      </c>
      <c r="L1682" t="str" cm="1">
        <f t="array" ref="L1682">sentimentCategory(K1682)</f>
        <v>Positive</v>
      </c>
    </row>
    <row r="1683" spans="1:12" x14ac:dyDescent="0.25">
      <c r="A1683" t="s">
        <v>156</v>
      </c>
      <c r="B1683" t="s">
        <v>4036</v>
      </c>
      <c r="C1683" t="str" cm="1">
        <f t="array" ref="C1683">CleanText(B1683)</f>
        <v>i watched this last night fantastic movie</v>
      </c>
      <c r="D1683">
        <v>1</v>
      </c>
      <c r="E1683">
        <v>0</v>
      </c>
      <c r="F1683" t="s">
        <v>10</v>
      </c>
      <c r="G1683" t="str" cm="1">
        <f t="array" ref="G1683">FindCountryName(F1683)</f>
        <v>None</v>
      </c>
      <c r="H1683" s="3">
        <v>45143.487812500003</v>
      </c>
      <c r="I1683" s="3">
        <v>45143.487812500003</v>
      </c>
      <c r="J1683" s="3">
        <v>42226.986134259256</v>
      </c>
      <c r="K1683" cm="1">
        <f t="array" ref="K1683">sentimentCalc(C1683)</f>
        <v>4</v>
      </c>
      <c r="L1683" t="str" cm="1">
        <f t="array" ref="L1683">sentimentCategory(K1683)</f>
        <v>Positive</v>
      </c>
    </row>
    <row r="1684" spans="1:12" x14ac:dyDescent="0.25">
      <c r="A1684" t="s">
        <v>228</v>
      </c>
      <c r="B1684" t="s">
        <v>229</v>
      </c>
      <c r="C1684" t="str" cm="1">
        <f t="array" ref="C1684">CleanText(B1684)</f>
        <v>i watched this last night sorry to say it but i didnt like the movie but that is me i can see other movies to be made that this one is just the first of many</v>
      </c>
      <c r="D1684">
        <v>0</v>
      </c>
      <c r="E1684">
        <v>0</v>
      </c>
      <c r="F1684" t="s">
        <v>10</v>
      </c>
      <c r="G1684" t="str" cm="1">
        <f t="array" ref="G1684">FindCountryName(F1684)</f>
        <v>None</v>
      </c>
      <c r="H1684" s="3">
        <v>45328.88989583333</v>
      </c>
      <c r="I1684" s="3">
        <v>45328.88989583333</v>
      </c>
      <c r="J1684" s="3">
        <v>45328.889884259261</v>
      </c>
      <c r="K1684" cm="1">
        <f t="array" ref="K1684">sentimentCalc(C1684)</f>
        <v>1</v>
      </c>
      <c r="L1684" t="str" cm="1">
        <f t="array" ref="L1684">sentimentCategory(K1684)</f>
        <v>Positive</v>
      </c>
    </row>
    <row r="1685" spans="1:12" x14ac:dyDescent="0.25">
      <c r="A1685" t="s">
        <v>4194</v>
      </c>
      <c r="B1685" t="s">
        <v>4195</v>
      </c>
      <c r="C1685" t="str" cm="1">
        <f t="array" ref="C1685">CleanText(B1685)</f>
        <v>i watched this movie and i have to say it has a reslly strong message and is actually more emotionally touching than it seems</v>
      </c>
      <c r="D1685">
        <v>25</v>
      </c>
      <c r="E1685">
        <v>1</v>
      </c>
      <c r="F1685" t="s">
        <v>227</v>
      </c>
      <c r="G1685" t="str" cm="1">
        <f t="array" ref="G1685">FindCountryName(F1685)</f>
        <v>United States of America (the)</v>
      </c>
      <c r="H1685" s="3">
        <v>45142.105868055558</v>
      </c>
      <c r="I1685" s="3">
        <v>45142.105868055558</v>
      </c>
      <c r="J1685" s="3">
        <v>43986.818391203706</v>
      </c>
      <c r="K1685" cm="1">
        <f t="array" ref="K1685">sentimentCalc(C1685)</f>
        <v>2</v>
      </c>
      <c r="L1685" t="str" cm="1">
        <f t="array" ref="L1685">sentimentCategory(K1685)</f>
        <v>Positive</v>
      </c>
    </row>
    <row r="1686" spans="1:12" x14ac:dyDescent="0.25">
      <c r="A1686" t="s">
        <v>2032</v>
      </c>
      <c r="B1686" t="s">
        <v>2033</v>
      </c>
      <c r="C1686" t="str" cm="1">
        <f t="array" ref="C1686">CleanText(B1686)</f>
        <v>i watched this movie today nope never again</v>
      </c>
      <c r="D1686">
        <v>3</v>
      </c>
      <c r="E1686">
        <v>1</v>
      </c>
      <c r="F1686" t="s">
        <v>10</v>
      </c>
      <c r="G1686" t="str" cm="1">
        <f t="array" ref="G1686">FindCountryName(F1686)</f>
        <v>None</v>
      </c>
      <c r="H1686" s="3">
        <v>45183.506296296298</v>
      </c>
      <c r="I1686" s="3">
        <v>45183.506296296298</v>
      </c>
      <c r="J1686" s="3">
        <v>44869.560798611114</v>
      </c>
      <c r="K1686" cm="1">
        <f t="array" ref="K1686">sentimentCalc(C1686)</f>
        <v>0</v>
      </c>
      <c r="L1686" t="str" cm="1">
        <f t="array" ref="L1686">sentimentCategory(K1686)</f>
        <v>Neutral</v>
      </c>
    </row>
    <row r="1687" spans="1:12" x14ac:dyDescent="0.25">
      <c r="A1687" t="s">
        <v>358</v>
      </c>
      <c r="B1687" t="s">
        <v>2342</v>
      </c>
      <c r="C1687" t="str" cm="1">
        <f t="array" ref="C1687">CleanText(B1687)</f>
        <v>i watched this trailer at least  times or more its amazing the best trailer ive seen</v>
      </c>
      <c r="D1687">
        <v>7</v>
      </c>
      <c r="E1687">
        <v>0</v>
      </c>
      <c r="F1687" t="s">
        <v>10</v>
      </c>
      <c r="G1687" t="str" cm="1">
        <f t="array" ref="G1687">FindCountryName(F1687)</f>
        <v>None</v>
      </c>
      <c r="H1687" s="3">
        <v>45171.530486111114</v>
      </c>
      <c r="I1687" s="3">
        <v>45171.530474537038</v>
      </c>
      <c r="J1687" s="3">
        <v>44557.451608796298</v>
      </c>
      <c r="K1687" cm="1">
        <f t="array" ref="K1687">sentimentCalc(C1687)</f>
        <v>7</v>
      </c>
      <c r="L1687" t="str" cm="1">
        <f t="array" ref="L1687">sentimentCategory(K1687)</f>
        <v>Positive</v>
      </c>
    </row>
    <row r="1688" spans="1:12" x14ac:dyDescent="0.25">
      <c r="A1688" t="s">
        <v>197</v>
      </c>
      <c r="B1688" t="s">
        <v>3341</v>
      </c>
      <c r="C1688" t="str" cm="1">
        <f t="array" ref="C1688">CleanText(B1688)</f>
        <v>i wathed it yesterday on bioand it is now  of my new fav movie</v>
      </c>
      <c r="D1688">
        <v>0</v>
      </c>
      <c r="E1688">
        <v>0</v>
      </c>
      <c r="F1688" t="s">
        <v>10</v>
      </c>
      <c r="G1688" t="str" cm="1">
        <f t="array" ref="G1688">FindCountryName(F1688)</f>
        <v>None</v>
      </c>
      <c r="H1688" s="3">
        <v>45150.103796296295</v>
      </c>
      <c r="I1688" s="3">
        <v>45150.103784722225</v>
      </c>
      <c r="J1688" s="3">
        <v>44248.363819444443</v>
      </c>
      <c r="K1688" cm="1">
        <f t="array" ref="K1688">sentimentCalc(C1688)</f>
        <v>0</v>
      </c>
      <c r="L1688" t="str" cm="1">
        <f t="array" ref="L1688">sentimentCategory(K1688)</f>
        <v>Neutral</v>
      </c>
    </row>
    <row r="1689" spans="1:12" x14ac:dyDescent="0.25">
      <c r="A1689" t="s">
        <v>553</v>
      </c>
      <c r="B1689" t="s">
        <v>554</v>
      </c>
      <c r="C1689" t="str" cm="1">
        <f t="array" ref="C1689">CleanText(B1689)</f>
        <v>i went back to my childhood it was so much fun</v>
      </c>
      <c r="D1689">
        <v>0</v>
      </c>
      <c r="E1689">
        <v>0</v>
      </c>
      <c r="F1689" t="s">
        <v>10</v>
      </c>
      <c r="G1689" t="str" cm="1">
        <f t="array" ref="G1689">FindCountryName(F1689)</f>
        <v>None</v>
      </c>
      <c r="H1689" s="3">
        <v>45317.274687500001</v>
      </c>
      <c r="I1689" s="3">
        <v>45317.274687500001</v>
      </c>
      <c r="J1689" s="3">
        <v>43796.579467592594</v>
      </c>
      <c r="K1689" cm="1">
        <f t="array" ref="K1689">sentimentCalc(C1689)</f>
        <v>4</v>
      </c>
      <c r="L1689" t="str" cm="1">
        <f t="array" ref="L1689">sentimentCategory(K1689)</f>
        <v>Positive</v>
      </c>
    </row>
    <row r="1690" spans="1:12" x14ac:dyDescent="0.25">
      <c r="A1690" t="s">
        <v>2691</v>
      </c>
      <c r="B1690" t="s">
        <v>3080</v>
      </c>
      <c r="C1690" t="str" cm="1">
        <f t="array" ref="C1690">CleanText(B1690)</f>
        <v>i went to se it was grate</v>
      </c>
      <c r="D1690">
        <v>1</v>
      </c>
      <c r="E1690">
        <v>1</v>
      </c>
      <c r="F1690" t="s">
        <v>10</v>
      </c>
      <c r="G1690" t="str" cm="1">
        <f t="array" ref="G1690">FindCountryName(F1690)</f>
        <v>None</v>
      </c>
      <c r="H1690" s="3">
        <v>45153.669050925928</v>
      </c>
      <c r="I1690" s="3">
        <v>45153.669050925928</v>
      </c>
      <c r="J1690" s="3">
        <v>44208.31150462963</v>
      </c>
      <c r="K1690" cm="1">
        <f t="array" ref="K1690">sentimentCalc(C1690)</f>
        <v>0</v>
      </c>
      <c r="L1690" t="str" cm="1">
        <f t="array" ref="L1690">sentimentCategory(K1690)</f>
        <v>Neutral</v>
      </c>
    </row>
    <row r="1691" spans="1:12" x14ac:dyDescent="0.25">
      <c r="A1691" t="s">
        <v>2299</v>
      </c>
      <c r="B1691" t="s">
        <v>3069</v>
      </c>
      <c r="C1691" t="str" cm="1">
        <f t="array" ref="C1691">CleanText(B1691)</f>
        <v>i went to see the movie but i was under aged</v>
      </c>
      <c r="D1691">
        <v>0</v>
      </c>
      <c r="E1691">
        <v>0</v>
      </c>
      <c r="F1691" t="s">
        <v>10</v>
      </c>
      <c r="G1691" t="str" cm="1">
        <f t="array" ref="G1691">FindCountryName(F1691)</f>
        <v>None</v>
      </c>
      <c r="H1691" s="3">
        <v>45153.762627314813</v>
      </c>
      <c r="I1691" s="3">
        <v>45153.762627314813</v>
      </c>
      <c r="J1691" s="3">
        <v>44872.328587962962</v>
      </c>
      <c r="K1691" cm="1">
        <f t="array" ref="K1691">sentimentCalc(C1691)</f>
        <v>0</v>
      </c>
      <c r="L1691" t="str" cm="1">
        <f t="array" ref="L1691">sentimentCategory(K1691)</f>
        <v>Neutral</v>
      </c>
    </row>
    <row r="1692" spans="1:12" x14ac:dyDescent="0.25">
      <c r="A1692" t="s">
        <v>2492</v>
      </c>
      <c r="B1692" t="s">
        <v>2493</v>
      </c>
      <c r="C1692" t="str" cm="1">
        <f t="array" ref="C1692">CleanText(B1692)</f>
        <v>i whould actually watch this ngl</v>
      </c>
      <c r="D1692">
        <v>0</v>
      </c>
      <c r="E1692">
        <v>0</v>
      </c>
      <c r="F1692" t="s">
        <v>2257</v>
      </c>
      <c r="G1692" t="str" cm="1">
        <f t="array" ref="G1692">FindCountryName(F1692)</f>
        <v>Philippines (the)</v>
      </c>
      <c r="H1692" s="3">
        <v>45165.133483796293</v>
      </c>
      <c r="I1692" s="3">
        <v>45165.133483796293</v>
      </c>
      <c r="J1692" s="3">
        <v>44821.129780092589</v>
      </c>
      <c r="K1692" cm="1">
        <f t="array" ref="K1692">sentimentCalc(C1692)</f>
        <v>0</v>
      </c>
      <c r="L1692" t="str" cm="1">
        <f t="array" ref="L1692">sentimentCategory(K1692)</f>
        <v>Neutral</v>
      </c>
    </row>
    <row r="1693" spans="1:12" x14ac:dyDescent="0.25">
      <c r="A1693" t="s">
        <v>1891</v>
      </c>
      <c r="B1693" t="s">
        <v>1892</v>
      </c>
      <c r="C1693" t="str" cm="1">
        <f t="array" ref="C1693">CleanText(B1693)</f>
        <v>i will defend this movie forever how did people not get it especially women</v>
      </c>
      <c r="D1693">
        <v>1</v>
      </c>
      <c r="E1693">
        <v>2</v>
      </c>
      <c r="F1693" t="s">
        <v>10</v>
      </c>
      <c r="G1693" t="str" cm="1">
        <f t="array" ref="G1693">FindCountryName(F1693)</f>
        <v>None</v>
      </c>
      <c r="H1693" s="3">
        <v>45188.629583333335</v>
      </c>
      <c r="I1693" s="3">
        <v>45188.629571759258</v>
      </c>
      <c r="J1693" s="3">
        <v>43667.656377314815</v>
      </c>
      <c r="K1693" cm="1">
        <f t="array" ref="K1693">sentimentCalc(C1693)</f>
        <v>0</v>
      </c>
      <c r="L1693" t="str" cm="1">
        <f t="array" ref="L1693">sentimentCategory(K1693)</f>
        <v>Neutral</v>
      </c>
    </row>
    <row r="1694" spans="1:12" x14ac:dyDescent="0.25">
      <c r="A1694" t="s">
        <v>3725</v>
      </c>
      <c r="B1694" t="s">
        <v>3783</v>
      </c>
      <c r="C1694" t="str" cm="1">
        <f t="array" ref="C1694">CleanText(B1694)</f>
        <v>i will repeat them</v>
      </c>
      <c r="D1694">
        <v>0</v>
      </c>
      <c r="E1694">
        <v>0</v>
      </c>
      <c r="F1694" t="s">
        <v>1073</v>
      </c>
      <c r="G1694" t="str" cm="1">
        <f t="array" ref="G1694">FindCountryName(F1694)</f>
        <v>India</v>
      </c>
      <c r="H1694" s="3">
        <v>45145.526423611111</v>
      </c>
      <c r="I1694" s="3">
        <v>45145.526423611111</v>
      </c>
      <c r="J1694" s="3">
        <v>44300.683587962965</v>
      </c>
      <c r="K1694" cm="1">
        <f t="array" ref="K1694">sentimentCalc(C1694)</f>
        <v>0</v>
      </c>
      <c r="L1694" t="str" cm="1">
        <f t="array" ref="L1694">sentimentCategory(K1694)</f>
        <v>Neutral</v>
      </c>
    </row>
    <row r="1695" spans="1:12" x14ac:dyDescent="0.25">
      <c r="A1695" t="s">
        <v>3954</v>
      </c>
      <c r="B1695" t="s">
        <v>3955</v>
      </c>
      <c r="C1695" t="str" cm="1">
        <f t="array" ref="C1695">CleanText(B1695)</f>
        <v>i will watch this movie</v>
      </c>
      <c r="D1695">
        <v>0</v>
      </c>
      <c r="E1695">
        <v>0</v>
      </c>
      <c r="F1695" t="s">
        <v>10</v>
      </c>
      <c r="G1695" t="str" cm="1">
        <f t="array" ref="G1695">FindCountryName(F1695)</f>
        <v>None</v>
      </c>
      <c r="H1695" s="3">
        <v>45144.195069444446</v>
      </c>
      <c r="I1695" s="3">
        <v>45144.195069444446</v>
      </c>
      <c r="J1695" s="3">
        <v>41380.476909722223</v>
      </c>
      <c r="K1695" cm="1">
        <f t="array" ref="K1695">sentimentCalc(C1695)</f>
        <v>0</v>
      </c>
      <c r="L1695" t="str" cm="1">
        <f t="array" ref="L1695">sentimentCategory(K1695)</f>
        <v>Neutral</v>
      </c>
    </row>
    <row r="1696" spans="1:12" x14ac:dyDescent="0.25">
      <c r="A1696" t="s">
        <v>465</v>
      </c>
      <c r="B1696" t="s">
        <v>3515</v>
      </c>
      <c r="C1696" t="str" cm="1">
        <f t="array" ref="C1696">CleanText(B1696)</f>
        <v>i wish gi joe would visit the barbie world because my man destro would set them straight</v>
      </c>
      <c r="D1696">
        <v>1</v>
      </c>
      <c r="E1696">
        <v>0</v>
      </c>
      <c r="F1696" t="s">
        <v>10</v>
      </c>
      <c r="G1696" t="str" cm="1">
        <f t="array" ref="G1696">FindCountryName(F1696)</f>
        <v>None</v>
      </c>
      <c r="H1696" s="3">
        <v>45148.040370370371</v>
      </c>
      <c r="I1696" s="3">
        <v>45148.040370370371</v>
      </c>
      <c r="J1696" s="3">
        <v>40299.891053240739</v>
      </c>
      <c r="K1696" cm="1">
        <f t="array" ref="K1696">sentimentCalc(C1696)</f>
        <v>2</v>
      </c>
      <c r="L1696" t="str" cm="1">
        <f t="array" ref="L1696">sentimentCategory(K1696)</f>
        <v>Positive</v>
      </c>
    </row>
    <row r="1697" spans="1:12" x14ac:dyDescent="0.25">
      <c r="A1697" t="s">
        <v>1959</v>
      </c>
      <c r="B1697" t="s">
        <v>1960</v>
      </c>
      <c r="C1697" t="str" cm="1">
        <f t="array" ref="C1697">CleanText(B1697)</f>
        <v>i wish i could watch it</v>
      </c>
      <c r="D1697">
        <v>1</v>
      </c>
      <c r="E1697">
        <v>0</v>
      </c>
      <c r="F1697" t="s">
        <v>10</v>
      </c>
      <c r="G1697" t="str" cm="1">
        <f t="array" ref="G1697">FindCountryName(F1697)</f>
        <v>None</v>
      </c>
      <c r="H1697" s="3">
        <v>45186.504652777781</v>
      </c>
      <c r="I1697" s="3">
        <v>45186.504641203705</v>
      </c>
      <c r="J1697" s="3">
        <v>44813.886134259257</v>
      </c>
      <c r="K1697" cm="1">
        <f t="array" ref="K1697">sentimentCalc(C1697)</f>
        <v>1</v>
      </c>
      <c r="L1697" t="str" cm="1">
        <f t="array" ref="L1697">sentimentCategory(K1697)</f>
        <v>Positive</v>
      </c>
    </row>
    <row r="1698" spans="1:12" x14ac:dyDescent="0.25">
      <c r="A1698" t="s">
        <v>2140</v>
      </c>
      <c r="B1698" t="s">
        <v>2430</v>
      </c>
      <c r="C1698" t="str" cm="1">
        <f t="array" ref="C1698">CleanText(B1698)</f>
        <v>i wish i was  again</v>
      </c>
      <c r="D1698">
        <v>0</v>
      </c>
      <c r="E1698">
        <v>0</v>
      </c>
      <c r="F1698" t="s">
        <v>10</v>
      </c>
      <c r="G1698" t="str" cm="1">
        <f t="array" ref="G1698">FindCountryName(F1698)</f>
        <v>None</v>
      </c>
      <c r="H1698" s="3">
        <v>45167.427662037036</v>
      </c>
      <c r="I1698" s="3">
        <v>45167.427662037036</v>
      </c>
      <c r="J1698" s="3">
        <v>45143.037800925929</v>
      </c>
      <c r="K1698" cm="1">
        <f t="array" ref="K1698">sentimentCalc(C1698)</f>
        <v>1</v>
      </c>
      <c r="L1698" t="str" cm="1">
        <f t="array" ref="L1698">sentimentCategory(K1698)</f>
        <v>Positive</v>
      </c>
    </row>
    <row r="1699" spans="1:12" x14ac:dyDescent="0.25">
      <c r="A1699" t="s">
        <v>3287</v>
      </c>
      <c r="B1699" t="s">
        <v>3288</v>
      </c>
      <c r="C1699" t="str" cm="1">
        <f t="array" ref="C1699">CleanText(B1699)</f>
        <v>i wish i was a girl</v>
      </c>
      <c r="D1699">
        <v>1</v>
      </c>
      <c r="E1699">
        <v>0</v>
      </c>
      <c r="F1699" t="s">
        <v>10</v>
      </c>
      <c r="G1699" t="str" cm="1">
        <f t="array" ref="G1699">FindCountryName(F1699)</f>
        <v>None</v>
      </c>
      <c r="H1699" s="3">
        <v>45150.694548611114</v>
      </c>
      <c r="I1699" s="3">
        <v>45150.694548611114</v>
      </c>
      <c r="J1699" s="3">
        <v>44794.516296296293</v>
      </c>
      <c r="K1699" cm="1">
        <f t="array" ref="K1699">sentimentCalc(C1699)</f>
        <v>1</v>
      </c>
      <c r="L1699" t="str" cm="1">
        <f t="array" ref="L1699">sentimentCategory(K1699)</f>
        <v>Positive</v>
      </c>
    </row>
    <row r="1700" spans="1:12" x14ac:dyDescent="0.25">
      <c r="A1700" t="s">
        <v>1195</v>
      </c>
      <c r="B1700" t="s">
        <v>3628</v>
      </c>
      <c r="C1700" t="str" cm="1">
        <f t="array" ref="C1700">CleanText(B1700)</f>
        <v>i wish raquelle was here shes a iconnnn</v>
      </c>
      <c r="D1700">
        <v>2</v>
      </c>
      <c r="E1700">
        <v>0</v>
      </c>
      <c r="F1700" t="s">
        <v>10</v>
      </c>
      <c r="G1700" t="str" cm="1">
        <f t="array" ref="G1700">FindCountryName(F1700)</f>
        <v>None</v>
      </c>
      <c r="H1700" s="3">
        <v>45146.996886574074</v>
      </c>
      <c r="I1700" s="3">
        <v>45146.996874999997</v>
      </c>
      <c r="J1700" s="3">
        <v>44516.668171296296</v>
      </c>
      <c r="K1700" cm="1">
        <f t="array" ref="K1700">sentimentCalc(C1700)</f>
        <v>1</v>
      </c>
      <c r="L1700" t="str" cm="1">
        <f t="array" ref="L1700">sentimentCategory(K1700)</f>
        <v>Positive</v>
      </c>
    </row>
    <row r="1701" spans="1:12" x14ac:dyDescent="0.25">
      <c r="A1701" t="s">
        <v>2140</v>
      </c>
      <c r="B1701" t="s">
        <v>2141</v>
      </c>
      <c r="C1701" t="str" cm="1">
        <f t="array" ref="C1701">CleanText(B1701)</f>
        <v>i wish the whole barbie movie was in a barbieland in pink  no political feminism agenda why i ask as  year old single</v>
      </c>
      <c r="D1701">
        <v>0</v>
      </c>
      <c r="E1701">
        <v>0</v>
      </c>
      <c r="F1701" t="s">
        <v>10</v>
      </c>
      <c r="G1701" t="str" cm="1">
        <f t="array" ref="G1701">FindCountryName(F1701)</f>
        <v>None</v>
      </c>
      <c r="H1701" s="3">
        <v>45178.714768518519</v>
      </c>
      <c r="I1701" s="3">
        <v>45179.260682870372</v>
      </c>
      <c r="J1701" s="3">
        <v>45003.31523148148</v>
      </c>
      <c r="K1701" cm="1">
        <f t="array" ref="K1701">sentimentCalc(C1701)</f>
        <v>0</v>
      </c>
      <c r="L1701" t="str" cm="1">
        <f t="array" ref="L1701">sentimentCategory(K1701)</f>
        <v>Neutral</v>
      </c>
    </row>
    <row r="1702" spans="1:12" x14ac:dyDescent="0.25">
      <c r="A1702" t="s">
        <v>757</v>
      </c>
      <c r="B1702" t="s">
        <v>4074</v>
      </c>
      <c r="C1702" t="str" cm="1">
        <f t="array" ref="C1702">CleanText(B1702)</f>
        <v>i wonder if margo robbie has a smooth plastic crotch</v>
      </c>
      <c r="D1702">
        <v>0</v>
      </c>
      <c r="E1702">
        <v>2</v>
      </c>
      <c r="F1702" t="s">
        <v>10</v>
      </c>
      <c r="G1702" t="str" cm="1">
        <f t="array" ref="G1702">FindCountryName(F1702)</f>
        <v>None</v>
      </c>
      <c r="H1702" s="3">
        <v>45143.132372685184</v>
      </c>
      <c r="I1702" s="3">
        <v>45143.132372685184</v>
      </c>
      <c r="J1702" s="3">
        <v>39728.981099537035</v>
      </c>
      <c r="K1702" cm="1">
        <f t="array" ref="K1702">sentimentCalc(C1702)</f>
        <v>0</v>
      </c>
      <c r="L1702" t="str" cm="1">
        <f t="array" ref="L1702">sentimentCategory(K1702)</f>
        <v>Neutral</v>
      </c>
    </row>
    <row r="1703" spans="1:12" x14ac:dyDescent="0.25">
      <c r="A1703" t="s">
        <v>3256</v>
      </c>
      <c r="B1703" t="s">
        <v>3257</v>
      </c>
      <c r="C1703" t="str" cm="1">
        <f t="array" ref="C1703">CleanText(B1703)</f>
        <v>i would have never imagined that id go and see the movie and yet here i am listening to im just ken four times a day now and actually liked the movie</v>
      </c>
      <c r="D1703">
        <v>34</v>
      </c>
      <c r="E1703">
        <v>4</v>
      </c>
      <c r="F1703" t="s">
        <v>10</v>
      </c>
      <c r="G1703" t="str" cm="1">
        <f t="array" ref="G1703">FindCountryName(F1703)</f>
        <v>None</v>
      </c>
      <c r="H1703" s="3">
        <v>45151.300613425927</v>
      </c>
      <c r="I1703" s="3">
        <v>45151.300613425927</v>
      </c>
      <c r="J1703" s="3">
        <v>42838.403657407405</v>
      </c>
      <c r="K1703" cm="1">
        <f t="array" ref="K1703">sentimentCalc(C1703)</f>
        <v>2</v>
      </c>
      <c r="L1703" t="str" cm="1">
        <f t="array" ref="L1703">sentimentCategory(K1703)</f>
        <v>Positive</v>
      </c>
    </row>
    <row r="1704" spans="1:12" x14ac:dyDescent="0.25">
      <c r="A1704" t="s">
        <v>534</v>
      </c>
      <c r="B1704" t="s">
        <v>1417</v>
      </c>
      <c r="C1704" t="str" cm="1">
        <f t="array" ref="C1704">CleanText(B1704)</f>
        <v>i would love to see how many nominations barbie would get at the oscars this year as a cinema lover i was surprised one of greta gerwigs movie influences is peewees big adventure which i love too i wonder if emma watson has seen barbie barbie the movie has a feminist message and theme saddened that aquas barbie girl song wasnt included in the movie but loved the movie allinall</v>
      </c>
      <c r="D1704">
        <v>0</v>
      </c>
      <c r="E1704">
        <v>0</v>
      </c>
      <c r="F1704" t="s">
        <v>10</v>
      </c>
      <c r="G1704" t="str" cm="1">
        <f t="array" ref="G1704">FindCountryName(F1704)</f>
        <v>None</v>
      </c>
      <c r="H1704" s="3">
        <v>45232.717627314814</v>
      </c>
      <c r="I1704" s="3">
        <v>45232.720601851855</v>
      </c>
      <c r="J1704" s="3">
        <v>41185.780057870368</v>
      </c>
      <c r="K1704" cm="1">
        <f t="array" ref="K1704">sentimentCalc(C1704)</f>
        <v>10</v>
      </c>
      <c r="L1704" t="str" cm="1">
        <f t="array" ref="L1704">sentimentCategory(K1704)</f>
        <v>Positive</v>
      </c>
    </row>
    <row r="1705" spans="1:12" x14ac:dyDescent="0.25">
      <c r="A1705" t="s">
        <v>3526</v>
      </c>
      <c r="B1705" t="s">
        <v>4095</v>
      </c>
      <c r="C1705" t="str" cm="1">
        <f t="array" ref="C1705">CleanText(B1705)</f>
        <v>i would rather put tobasco in my mf eyes than watch this movie</v>
      </c>
      <c r="D1705">
        <v>2</v>
      </c>
      <c r="E1705">
        <v>0</v>
      </c>
      <c r="F1705" t="s">
        <v>10</v>
      </c>
      <c r="G1705" t="str" cm="1">
        <f t="array" ref="G1705">FindCountryName(F1705)</f>
        <v>None</v>
      </c>
      <c r="H1705" s="3">
        <v>45142.941678240742</v>
      </c>
      <c r="I1705" s="3">
        <v>45142.941678240742</v>
      </c>
      <c r="J1705" s="3">
        <v>44932.440185185187</v>
      </c>
      <c r="K1705" cm="1">
        <f t="array" ref="K1705">sentimentCalc(C1705)</f>
        <v>0</v>
      </c>
      <c r="L1705" t="str" cm="1">
        <f t="array" ref="L1705">sentimentCategory(K1705)</f>
        <v>Neutral</v>
      </c>
    </row>
    <row r="1706" spans="1:12" x14ac:dyDescent="0.25">
      <c r="A1706" t="s">
        <v>3295</v>
      </c>
      <c r="B1706" t="s">
        <v>4049</v>
      </c>
      <c r="C1706" t="str" cm="1">
        <f t="array" ref="C1706">CleanText(B1706)</f>
        <v>i would redo the roles with ali larter as barbie if she was younger ken as justin bartha alan as jonah hill and pink the singer as weird barbie ryan and margot are too flat faced to be ken and barbie</v>
      </c>
      <c r="D1706">
        <v>0</v>
      </c>
      <c r="E1706">
        <v>1</v>
      </c>
      <c r="F1706" t="s">
        <v>10</v>
      </c>
      <c r="G1706" t="str" cm="1">
        <f t="array" ref="G1706">FindCountryName(F1706)</f>
        <v>None</v>
      </c>
      <c r="H1706" s="3">
        <v>45143.400266203702</v>
      </c>
      <c r="I1706" s="3">
        <v>45143.400266203702</v>
      </c>
      <c r="J1706" s="3">
        <v>44165.910509259258</v>
      </c>
      <c r="K1706" cm="1">
        <f t="array" ref="K1706">sentimentCalc(C1706)</f>
        <v>-2</v>
      </c>
      <c r="L1706" t="str" cm="1">
        <f t="array" ref="L1706">sentimentCategory(K1706)</f>
        <v>Negative</v>
      </c>
    </row>
    <row r="1707" spans="1:12" x14ac:dyDescent="0.25">
      <c r="A1707" t="s">
        <v>591</v>
      </c>
      <c r="B1707" t="s">
        <v>2895</v>
      </c>
      <c r="C1707" t="str" cm="1">
        <f t="array" ref="C1707">CleanText(B1707)</f>
        <v>i would watch barbie but i cant</v>
      </c>
      <c r="D1707">
        <v>0</v>
      </c>
      <c r="E1707">
        <v>0</v>
      </c>
      <c r="F1707" t="s">
        <v>10</v>
      </c>
      <c r="G1707" t="str" cm="1">
        <f t="array" ref="G1707">FindCountryName(F1707)</f>
        <v>None</v>
      </c>
      <c r="H1707" s="3">
        <v>45156.33085648148</v>
      </c>
      <c r="I1707" s="3">
        <v>45156.330972222226</v>
      </c>
      <c r="J1707" s="3">
        <v>44785.254467592589</v>
      </c>
      <c r="K1707" cm="1">
        <f t="array" ref="K1707">sentimentCalc(C1707)</f>
        <v>0</v>
      </c>
      <c r="L1707" t="str" cm="1">
        <f t="array" ref="L1707">sentimentCategory(K1707)</f>
        <v>Neutral</v>
      </c>
    </row>
    <row r="1708" spans="1:12" x14ac:dyDescent="0.25">
      <c r="A1708" t="s">
        <v>1210</v>
      </c>
      <c r="B1708" t="s">
        <v>4213</v>
      </c>
      <c r="C1708" t="str" cm="1">
        <f t="array" ref="C1708">CleanText(B1708)</f>
        <v>n</v>
      </c>
      <c r="D1708">
        <v>2</v>
      </c>
      <c r="E1708">
        <v>0</v>
      </c>
      <c r="F1708" t="s">
        <v>10</v>
      </c>
      <c r="G1708" t="str" cm="1">
        <f t="array" ref="G1708">FindCountryName(F1708)</f>
        <v>None</v>
      </c>
      <c r="H1708" s="3">
        <v>45141.865219907406</v>
      </c>
      <c r="I1708" s="3">
        <v>45141.865219907406</v>
      </c>
      <c r="J1708" s="3">
        <v>42894.098761574074</v>
      </c>
      <c r="K1708" cm="1">
        <f t="array" ref="K1708">sentimentCalc(C1708)</f>
        <v>0</v>
      </c>
      <c r="L1708" t="str" cm="1">
        <f t="array" ref="L1708">sentimentCategory(K1708)</f>
        <v>Neutral</v>
      </c>
    </row>
    <row r="1709" spans="1:12" x14ac:dyDescent="0.25">
      <c r="A1709" t="s">
        <v>472</v>
      </c>
      <c r="B1709" t="s">
        <v>2428</v>
      </c>
      <c r="C1709" t="str" cm="1">
        <f t="array" ref="C1709">CleanText(B1709)</f>
        <v>n</v>
      </c>
      <c r="D1709">
        <v>2</v>
      </c>
      <c r="E1709">
        <v>0</v>
      </c>
      <c r="F1709" t="s">
        <v>10</v>
      </c>
      <c r="G1709" t="str" cm="1">
        <f t="array" ref="G1709">FindCountryName(F1709)</f>
        <v>None</v>
      </c>
      <c r="H1709" s="3">
        <v>45167.492812500001</v>
      </c>
      <c r="I1709" s="3">
        <v>45167.492812500001</v>
      </c>
      <c r="J1709" s="3">
        <v>41885.836689814816</v>
      </c>
      <c r="K1709" cm="1">
        <f t="array" ref="K1709">sentimentCalc(C1709)</f>
        <v>0</v>
      </c>
      <c r="L1709" t="str" cm="1">
        <f t="array" ref="L1709">sentimentCategory(K1709)</f>
        <v>Neutral</v>
      </c>
    </row>
    <row r="1710" spans="1:12" x14ac:dyDescent="0.25">
      <c r="A1710" t="s">
        <v>1803</v>
      </c>
      <c r="B1710" t="s">
        <v>2847</v>
      </c>
      <c r="C1710" t="str" cm="1">
        <f t="array" ref="C1710">CleanText(B1710)</f>
        <v>i love barbie</v>
      </c>
      <c r="D1710">
        <v>0</v>
      </c>
      <c r="E1710">
        <v>0</v>
      </c>
      <c r="F1710" t="s">
        <v>10</v>
      </c>
      <c r="G1710" t="str" cm="1">
        <f t="array" ref="G1710">FindCountryName(F1710)</f>
        <v>None</v>
      </c>
      <c r="H1710" s="3">
        <v>45156.902557870373</v>
      </c>
      <c r="I1710" s="3">
        <v>45156.902557870373</v>
      </c>
      <c r="J1710" s="3">
        <v>44648.345543981479</v>
      </c>
      <c r="K1710" cm="1">
        <f t="array" ref="K1710">sentimentCalc(C1710)</f>
        <v>3</v>
      </c>
      <c r="L1710" t="str" cm="1">
        <f t="array" ref="L1710">sentimentCategory(K1710)</f>
        <v>Positive</v>
      </c>
    </row>
    <row r="1711" spans="1:12" x14ac:dyDescent="0.25">
      <c r="A1711" t="s">
        <v>1281</v>
      </c>
      <c r="B1711" t="s">
        <v>3158</v>
      </c>
      <c r="C1711" t="str" cm="1">
        <f t="array" ref="C1711">CleanText(B1711)</f>
        <v>id rather chew broken glass than watch this</v>
      </c>
      <c r="D1711">
        <v>2</v>
      </c>
      <c r="E1711">
        <v>1</v>
      </c>
      <c r="F1711" t="s">
        <v>10</v>
      </c>
      <c r="G1711" t="str" cm="1">
        <f t="array" ref="G1711">FindCountryName(F1711)</f>
        <v>None</v>
      </c>
      <c r="H1711" s="3">
        <v>45152.585682870369</v>
      </c>
      <c r="I1711" s="3">
        <v>45152.585682870369</v>
      </c>
      <c r="J1711" s="3">
        <v>43013.215578703705</v>
      </c>
      <c r="K1711" cm="1">
        <f t="array" ref="K1711">sentimentCalc(C1711)</f>
        <v>-1</v>
      </c>
      <c r="L1711" t="str" cm="1">
        <f t="array" ref="L1711">sentimentCategory(K1711)</f>
        <v>Negative</v>
      </c>
    </row>
    <row r="1712" spans="1:12" x14ac:dyDescent="0.25">
      <c r="A1712" t="s">
        <v>3101</v>
      </c>
      <c r="B1712" t="s">
        <v>3102</v>
      </c>
      <c r="C1712" t="str" cm="1">
        <f t="array" ref="C1712">CleanText(B1712)</f>
        <v>im  and have no interest in barbie but damn the movie looks sick</v>
      </c>
      <c r="D1712">
        <v>2</v>
      </c>
      <c r="E1712">
        <v>1</v>
      </c>
      <c r="F1712" t="s">
        <v>227</v>
      </c>
      <c r="G1712" t="str" cm="1">
        <f t="array" ref="G1712">FindCountryName(F1712)</f>
        <v>United States of America (the)</v>
      </c>
      <c r="H1712" s="3">
        <v>45153.419537037036</v>
      </c>
      <c r="I1712" s="3">
        <v>45153.419537037036</v>
      </c>
      <c r="J1712" s="3">
        <v>45112.755439814813</v>
      </c>
      <c r="K1712" cm="1">
        <f t="array" ref="K1712">sentimentCalc(C1712)</f>
        <v>-6</v>
      </c>
      <c r="L1712" t="str" cm="1">
        <f t="array" ref="L1712">sentimentCategory(K1712)</f>
        <v>Negative</v>
      </c>
    </row>
    <row r="1713" spans="1:12" x14ac:dyDescent="0.25">
      <c r="A1713" t="s">
        <v>1176</v>
      </c>
      <c r="B1713" t="s">
        <v>1862</v>
      </c>
      <c r="C1713" t="str" cm="1">
        <f t="array" ref="C1713">CleanText(B1713)</f>
        <v>im a barbie girl in a barbie world i cannot stop singing it</v>
      </c>
      <c r="D1713">
        <v>2</v>
      </c>
      <c r="E1713">
        <v>0</v>
      </c>
      <c r="F1713" t="s">
        <v>10</v>
      </c>
      <c r="G1713" t="str" cm="1">
        <f t="array" ref="G1713">FindCountryName(F1713)</f>
        <v>None</v>
      </c>
      <c r="H1713" s="3">
        <v>45190.330324074072</v>
      </c>
      <c r="I1713" s="3">
        <v>45190.330324074072</v>
      </c>
      <c r="J1713" s="3">
        <v>45132.088726851849</v>
      </c>
      <c r="K1713" cm="1">
        <f t="array" ref="K1713">sentimentCalc(C1713)</f>
        <v>-1</v>
      </c>
      <c r="L1713" t="str" cm="1">
        <f t="array" ref="L1713">sentimentCategory(K1713)</f>
        <v>Negative</v>
      </c>
    </row>
    <row r="1714" spans="1:12" x14ac:dyDescent="0.25">
      <c r="A1714" t="s">
        <v>2089</v>
      </c>
      <c r="B1714" t="s">
        <v>4001</v>
      </c>
      <c r="C1714" t="str" cm="1">
        <f t="array" ref="C1714">CleanText(B1714)</f>
        <v>im a bout to see it in like  hour omggg im soo excited</v>
      </c>
      <c r="D1714">
        <v>1</v>
      </c>
      <c r="E1714">
        <v>4</v>
      </c>
      <c r="F1714" t="s">
        <v>10</v>
      </c>
      <c r="G1714" t="str" cm="1">
        <f t="array" ref="G1714">FindCountryName(F1714)</f>
        <v>None</v>
      </c>
      <c r="H1714" s="3">
        <v>45143.826550925929</v>
      </c>
      <c r="I1714" s="3">
        <v>45143.826550925929</v>
      </c>
      <c r="J1714" s="3">
        <v>45140.513807870368</v>
      </c>
      <c r="K1714" cm="1">
        <f t="array" ref="K1714">sentimentCalc(C1714)</f>
        <v>5</v>
      </c>
      <c r="L1714" t="str" cm="1">
        <f t="array" ref="L1714">sentimentCategory(K1714)</f>
        <v>Positive</v>
      </c>
    </row>
    <row r="1715" spans="1:12" x14ac:dyDescent="0.25">
      <c r="A1715" t="s">
        <v>1905</v>
      </c>
      <c r="B1715" t="s">
        <v>1906</v>
      </c>
      <c r="C1715" t="str" cm="1">
        <f t="array" ref="C1715">CleanText(B1715)</f>
        <v>im disappointed lol shes too old to play barbie barbie didnt have wrinkles her acting felt disconnected</v>
      </c>
      <c r="D1715">
        <v>0</v>
      </c>
      <c r="E1715">
        <v>0</v>
      </c>
      <c r="F1715" t="s">
        <v>10</v>
      </c>
      <c r="G1715" t="str" cm="1">
        <f t="array" ref="G1715">FindCountryName(F1715)</f>
        <v>None</v>
      </c>
      <c r="H1715" s="3">
        <v>45188.383981481478</v>
      </c>
      <c r="I1715" s="3">
        <v>45188.383981481478</v>
      </c>
      <c r="J1715" s="3">
        <v>40503.652581018519</v>
      </c>
      <c r="K1715" cm="1">
        <f t="array" ref="K1715">sentimentCalc(C1715)</f>
        <v>-2</v>
      </c>
      <c r="L1715" t="str" cm="1">
        <f t="array" ref="L1715">sentimentCategory(K1715)</f>
        <v>Negative</v>
      </c>
    </row>
    <row r="1716" spans="1:12" x14ac:dyDescent="0.25">
      <c r="A1716" t="s">
        <v>213</v>
      </c>
      <c r="B1716" t="s">
        <v>3191</v>
      </c>
      <c r="C1716" t="str" cm="1">
        <f t="array" ref="C1716">CleanText(B1716)</f>
        <v>im glad that the main characters havent been black washed i was starting to get kinda sick of all that havent seen it yet butim looking forward</v>
      </c>
      <c r="D1716">
        <v>1</v>
      </c>
      <c r="E1716">
        <v>0</v>
      </c>
      <c r="F1716" t="s">
        <v>10</v>
      </c>
      <c r="G1716" t="str" cm="1">
        <f t="array" ref="G1716">FindCountryName(F1716)</f>
        <v>None</v>
      </c>
      <c r="H1716" s="3">
        <v>45152.112303240741</v>
      </c>
      <c r="I1716" s="3">
        <v>45152.112291666665</v>
      </c>
      <c r="J1716" s="3">
        <v>44794.310891203706</v>
      </c>
      <c r="K1716" cm="1">
        <f t="array" ref="K1716">sentimentCalc(C1716)</f>
        <v>1</v>
      </c>
      <c r="L1716" t="str" cm="1">
        <f t="array" ref="L1716">sentimentCategory(K1716)</f>
        <v>Positive</v>
      </c>
    </row>
    <row r="1717" spans="1:12" x14ac:dyDescent="0.25">
      <c r="A1717" t="s">
        <v>141</v>
      </c>
      <c r="B1717" t="s">
        <v>2449</v>
      </c>
      <c r="C1717" t="str" cm="1">
        <f t="array" ref="C1717">CleanText(B1717)</f>
        <v>im glad this movie came out</v>
      </c>
      <c r="D1717">
        <v>2</v>
      </c>
      <c r="E1717">
        <v>0</v>
      </c>
      <c r="F1717" t="s">
        <v>10</v>
      </c>
      <c r="G1717" t="str" cm="1">
        <f t="array" ref="G1717">FindCountryName(F1717)</f>
        <v>None</v>
      </c>
      <c r="H1717" s="3">
        <v>45167.004374999997</v>
      </c>
      <c r="I1717" s="3">
        <v>45167.004363425927</v>
      </c>
      <c r="J1717" s="3">
        <v>44976.07167824074</v>
      </c>
      <c r="K1717" cm="1">
        <f t="array" ref="K1717">sentimentCalc(C1717)</f>
        <v>3</v>
      </c>
      <c r="L1717" t="str" cm="1">
        <f t="array" ref="L1717">sentimentCategory(K1717)</f>
        <v>Positive</v>
      </c>
    </row>
    <row r="1718" spans="1:12" x14ac:dyDescent="0.25">
      <c r="A1718" t="s">
        <v>1503</v>
      </c>
      <c r="B1718" t="s">
        <v>3836</v>
      </c>
      <c r="C1718" t="str" cm="1">
        <f t="array" ref="C1718">CleanText(B1718)</f>
        <v>im going to see the barbie on th august</v>
      </c>
      <c r="D1718">
        <v>0</v>
      </c>
      <c r="E1718">
        <v>0</v>
      </c>
      <c r="F1718" t="s">
        <v>10</v>
      </c>
      <c r="G1718" t="str" cm="1">
        <f t="array" ref="G1718">FindCountryName(F1718)</f>
        <v>None</v>
      </c>
      <c r="H1718" s="3">
        <v>45145.126122685186</v>
      </c>
      <c r="I1718" s="3">
        <v>45145.126122685186</v>
      </c>
      <c r="J1718" s="3">
        <v>40877.266469907408</v>
      </c>
      <c r="K1718" cm="1">
        <f t="array" ref="K1718">sentimentCalc(C1718)</f>
        <v>0</v>
      </c>
      <c r="L1718" t="str" cm="1">
        <f t="array" ref="L1718">sentimentCategory(K1718)</f>
        <v>Neutral</v>
      </c>
    </row>
    <row r="1719" spans="1:12" x14ac:dyDescent="0.25">
      <c r="A1719" t="s">
        <v>1366</v>
      </c>
      <c r="B1719" t="s">
        <v>2518</v>
      </c>
      <c r="C1719" t="str" cm="1">
        <f t="array" ref="C1719">CleanText(B1719)</f>
        <v>im gonna go and watch it now</v>
      </c>
      <c r="D1719">
        <v>2</v>
      </c>
      <c r="E1719">
        <v>0</v>
      </c>
      <c r="F1719" t="s">
        <v>10</v>
      </c>
      <c r="G1719" t="str" cm="1">
        <f t="array" ref="G1719">FindCountryName(F1719)</f>
        <v>None</v>
      </c>
      <c r="H1719" s="3">
        <v>45164.485520833332</v>
      </c>
      <c r="I1719" s="3">
        <v>45164.485520833332</v>
      </c>
      <c r="J1719" s="3">
        <v>41679.800393518519</v>
      </c>
      <c r="K1719" cm="1">
        <f t="array" ref="K1719">sentimentCalc(C1719)</f>
        <v>0</v>
      </c>
      <c r="L1719" t="str" cm="1">
        <f t="array" ref="L1719">sentimentCategory(K1719)</f>
        <v>Neutral</v>
      </c>
    </row>
    <row r="1720" spans="1:12" x14ac:dyDescent="0.25">
      <c r="A1720" t="s">
        <v>2635</v>
      </c>
      <c r="B1720" t="s">
        <v>2636</v>
      </c>
      <c r="C1720" t="str" cm="1">
        <f t="array" ref="C1720">CleanText(B1720)</f>
        <v>im gonna wach it</v>
      </c>
      <c r="D1720">
        <v>1</v>
      </c>
      <c r="E1720">
        <v>0</v>
      </c>
      <c r="F1720" t="s">
        <v>10</v>
      </c>
      <c r="G1720" t="str" cm="1">
        <f t="array" ref="G1720">FindCountryName(F1720)</f>
        <v>None</v>
      </c>
      <c r="H1720" s="3">
        <v>45161.179837962962</v>
      </c>
      <c r="I1720" s="3">
        <v>45161.179837962962</v>
      </c>
      <c r="J1720" s="3">
        <v>42883.891053240739</v>
      </c>
      <c r="K1720" cm="1">
        <f t="array" ref="K1720">sentimentCalc(C1720)</f>
        <v>0</v>
      </c>
      <c r="L1720" t="str" cm="1">
        <f t="array" ref="L1720">sentimentCategory(K1720)</f>
        <v>Neutral</v>
      </c>
    </row>
    <row r="1721" spans="1:12" x14ac:dyDescent="0.25">
      <c r="A1721" t="s">
        <v>838</v>
      </c>
      <c r="B1721" t="s">
        <v>3329</v>
      </c>
      <c r="C1721" t="str" cm="1">
        <f t="array" ref="C1721">CleanText(B1721)</f>
        <v>im in the movie right now only person its probably the worst movie ive ever seen pretty colors and good first half though zero depth</v>
      </c>
      <c r="D1721">
        <v>7</v>
      </c>
      <c r="E1721">
        <v>0</v>
      </c>
      <c r="F1721" t="s">
        <v>10</v>
      </c>
      <c r="G1721" t="str" cm="1">
        <f t="array" ref="G1721">FindCountryName(F1721)</f>
        <v>None</v>
      </c>
      <c r="H1721" s="3">
        <v>45150.270902777775</v>
      </c>
      <c r="I1721" s="3">
        <v>45150.271608796298</v>
      </c>
      <c r="J1721" s="3">
        <v>44340.769641203704</v>
      </c>
      <c r="K1721" cm="1">
        <f t="array" ref="K1721">sentimentCalc(C1721)</f>
        <v>1</v>
      </c>
      <c r="L1721" t="str" cm="1">
        <f t="array" ref="L1721">sentimentCategory(K1721)</f>
        <v>Positive</v>
      </c>
    </row>
    <row r="1722" spans="1:12" x14ac:dyDescent="0.25">
      <c r="A1722" t="s">
        <v>577</v>
      </c>
      <c r="B1722" t="s">
        <v>578</v>
      </c>
      <c r="C1722" t="str" cm="1">
        <f t="array" ref="C1722">CleanText(B1722)</f>
        <v>im looking forward to watch barbie right away</v>
      </c>
      <c r="D1722">
        <v>0</v>
      </c>
      <c r="E1722">
        <v>0</v>
      </c>
      <c r="F1722" t="s">
        <v>10</v>
      </c>
      <c r="G1722" t="str" cm="1">
        <f t="array" ref="G1722">FindCountryName(F1722)</f>
        <v>None</v>
      </c>
      <c r="H1722" s="3">
        <v>45317.272557870368</v>
      </c>
      <c r="I1722" s="3">
        <v>45317.272557870368</v>
      </c>
      <c r="J1722" s="3">
        <v>41064.293437499997</v>
      </c>
      <c r="K1722" cm="1">
        <f t="array" ref="K1722">sentimentCalc(C1722)</f>
        <v>0</v>
      </c>
      <c r="L1722" t="str" cm="1">
        <f t="array" ref="L1722">sentimentCategory(K1722)</f>
        <v>Neutral</v>
      </c>
    </row>
    <row r="1723" spans="1:12" x14ac:dyDescent="0.25">
      <c r="A1723" t="s">
        <v>1057</v>
      </c>
      <c r="B1723" t="s">
        <v>1058</v>
      </c>
      <c r="C1723" t="str" cm="1">
        <f t="array" ref="C1723">CleanText(B1723)</f>
        <v>im not ready for this to turn a year old</v>
      </c>
      <c r="D1723">
        <v>2</v>
      </c>
      <c r="E1723">
        <v>0</v>
      </c>
      <c r="F1723" t="s">
        <v>10</v>
      </c>
      <c r="G1723" t="str" cm="1">
        <f t="array" ref="G1723">FindCountryName(F1723)</f>
        <v>None</v>
      </c>
      <c r="H1723" s="3">
        <v>45296.851620370369</v>
      </c>
      <c r="I1723" s="3">
        <v>45296.851620370369</v>
      </c>
      <c r="J1723" s="3">
        <v>41633.688067129631</v>
      </c>
      <c r="K1723" cm="1">
        <f t="array" ref="K1723">sentimentCalc(C1723)</f>
        <v>0</v>
      </c>
      <c r="L1723" t="str" cm="1">
        <f t="array" ref="L1723">sentimentCategory(K1723)</f>
        <v>Neutral</v>
      </c>
    </row>
    <row r="1724" spans="1:12" x14ac:dyDescent="0.25">
      <c r="A1724" t="s">
        <v>296</v>
      </c>
      <c r="B1724" t="s">
        <v>2751</v>
      </c>
      <c r="C1724" t="str" cm="1">
        <f t="array" ref="C1724">CleanText(B1724)</f>
        <v>im not really attracted to margot robbie and yet women apparantly think she is extremely good looking in fact there was one scene where the narrator paused to tell the audience that the scene would have worked better if they had cast someone who was less beautiful than margot</v>
      </c>
      <c r="D1724">
        <v>0</v>
      </c>
      <c r="E1724">
        <v>4</v>
      </c>
      <c r="F1724" t="s">
        <v>10</v>
      </c>
      <c r="G1724" t="str" cm="1">
        <f t="array" ref="G1724">FindCountryName(F1724)</f>
        <v>None</v>
      </c>
      <c r="H1724" s="3">
        <v>45158.631284722222</v>
      </c>
      <c r="I1724" s="3">
        <v>45158.631284722222</v>
      </c>
      <c r="J1724" s="3">
        <v>45032.129780092589</v>
      </c>
      <c r="K1724" cm="1">
        <f t="array" ref="K1724">sentimentCalc(C1724)</f>
        <v>9</v>
      </c>
      <c r="L1724" t="str" cm="1">
        <f t="array" ref="L1724">sentimentCategory(K1724)</f>
        <v>Positive</v>
      </c>
    </row>
    <row r="1725" spans="1:12" x14ac:dyDescent="0.25">
      <c r="A1725" t="s">
        <v>1057</v>
      </c>
      <c r="B1725" t="s">
        <v>2507</v>
      </c>
      <c r="C1725" t="str" cm="1">
        <f t="array" ref="C1725">CleanText(B1725)</f>
        <v>im old enough to remember when barbie was considered to be a terribly unrealistic and psychologically dangerous rolemodel for young girls</v>
      </c>
      <c r="D1725">
        <v>0</v>
      </c>
      <c r="E1725">
        <v>0</v>
      </c>
      <c r="F1725" t="s">
        <v>10</v>
      </c>
      <c r="G1725" t="str" cm="1">
        <f t="array" ref="G1725">FindCountryName(F1725)</f>
        <v>None</v>
      </c>
      <c r="H1725" s="3">
        <v>45164.846041666664</v>
      </c>
      <c r="I1725" s="3">
        <v>45164.846041666664</v>
      </c>
      <c r="J1725" s="3">
        <v>39094.565243055556</v>
      </c>
      <c r="K1725" cm="1">
        <f t="array" ref="K1725">sentimentCalc(C1725)</f>
        <v>-3</v>
      </c>
      <c r="L1725" t="str" cm="1">
        <f t="array" ref="L1725">sentimentCategory(K1725)</f>
        <v>Negative</v>
      </c>
    </row>
    <row r="1726" spans="1:12" x14ac:dyDescent="0.25">
      <c r="A1726" t="s">
        <v>1659</v>
      </c>
      <c r="B1726" t="s">
        <v>1660</v>
      </c>
      <c r="C1726" t="str" cm="1">
        <f t="array" ref="C1726">CleanText(B1726)</f>
        <v>im so happy my feet arent flat</v>
      </c>
      <c r="D1726">
        <v>0</v>
      </c>
      <c r="E1726">
        <v>0</v>
      </c>
      <c r="F1726" t="s">
        <v>10</v>
      </c>
      <c r="G1726" t="str" cm="1">
        <f t="array" ref="G1726">FindCountryName(F1726)</f>
        <v>None</v>
      </c>
      <c r="H1726" s="3">
        <v>45204.761261574073</v>
      </c>
      <c r="I1726" s="3">
        <v>45204.761261574073</v>
      </c>
      <c r="J1726" s="3">
        <v>44681.602546296293</v>
      </c>
      <c r="K1726" cm="1">
        <f t="array" ref="K1726">sentimentCalc(C1726)</f>
        <v>3</v>
      </c>
      <c r="L1726" t="str" cm="1">
        <f t="array" ref="L1726">sentimentCategory(K1726)</f>
        <v>Positive</v>
      </c>
    </row>
    <row r="1727" spans="1:12" x14ac:dyDescent="0.25">
      <c r="A1727" t="s">
        <v>313</v>
      </c>
      <c r="B1727" t="s">
        <v>3210</v>
      </c>
      <c r="C1727" t="str" cm="1">
        <f t="array" ref="C1727">CleanText(B1727)</f>
        <v>im sorry but this film its not for kids its for adults</v>
      </c>
      <c r="D1727">
        <v>3</v>
      </c>
      <c r="E1727">
        <v>0</v>
      </c>
      <c r="F1727" t="s">
        <v>3211</v>
      </c>
      <c r="G1727" t="str" cm="1">
        <f t="array" ref="G1727">FindCountryName(F1727)</f>
        <v>Saudi Arabia</v>
      </c>
      <c r="H1727" s="3">
        <v>45151.835416666669</v>
      </c>
      <c r="I1727" s="3">
        <v>45151.835416666669</v>
      </c>
      <c r="J1727" s="3">
        <v>42662.785324074073</v>
      </c>
      <c r="K1727" cm="1">
        <f t="array" ref="K1727">sentimentCalc(C1727)</f>
        <v>-1</v>
      </c>
      <c r="L1727" t="str" cm="1">
        <f t="array" ref="L1727">sentimentCategory(K1727)</f>
        <v>Negative</v>
      </c>
    </row>
    <row r="1728" spans="1:12" x14ac:dyDescent="0.25">
      <c r="A1728" t="s">
        <v>329</v>
      </c>
      <c r="B1728" t="s">
        <v>2044</v>
      </c>
      <c r="C1728" t="str" cm="1">
        <f t="array" ref="C1728">CleanText(B1728)</f>
        <v>im stating this comment because i genuinely love barbie  and out of protection of future media from rumors of hearing that barbie is doing a series i must stated that the next movie must cover white liberal feminismracial feminism studying where the media and culture head toward they are becoming more and more vocal about how the mediaentertainment industry has treated them even faster by new social media app such as tiktok and will be by newer ones thus barbie best option to thrive is to tackle wlf perhaps having president barbie experience the real world herself and layout the differences between hers and stereotypical barbie on the table to find a happy medium or something it wouldnt hurt stereotypical barbie to share the screen with president barbie for a movie or two</v>
      </c>
      <c r="D1728">
        <v>1</v>
      </c>
      <c r="E1728">
        <v>1</v>
      </c>
      <c r="F1728" t="s">
        <v>10</v>
      </c>
      <c r="G1728" t="str" cm="1">
        <f t="array" ref="G1728">FindCountryName(F1728)</f>
        <v>None</v>
      </c>
      <c r="H1728" s="3">
        <v>45183.008067129631</v>
      </c>
      <c r="I1728" s="3">
        <v>45183.008067129631</v>
      </c>
      <c r="J1728" s="3">
        <v>41998.465243055558</v>
      </c>
      <c r="K1728" cm="1">
        <f t="array" ref="K1728">sentimentCalc(C1728)</f>
        <v>8</v>
      </c>
      <c r="L1728" t="str" cm="1">
        <f t="array" ref="L1728">sentimentCategory(K1728)</f>
        <v>Positive</v>
      </c>
    </row>
    <row r="1729" spans="1:12" x14ac:dyDescent="0.25">
      <c r="A1729" t="s">
        <v>600</v>
      </c>
      <c r="B1729" t="s">
        <v>1784</v>
      </c>
      <c r="C1729" t="str" cm="1">
        <f t="array" ref="C1729">CleanText(B1729)</f>
        <v>im surprised that they didnt add madonnas material girl song to this movie</v>
      </c>
      <c r="D1729">
        <v>0</v>
      </c>
      <c r="E1729">
        <v>0</v>
      </c>
      <c r="F1729" t="s">
        <v>10</v>
      </c>
      <c r="G1729" t="str" cm="1">
        <f t="array" ref="G1729">FindCountryName(F1729)</f>
        <v>None</v>
      </c>
      <c r="H1729" s="3">
        <v>45194.890960648147</v>
      </c>
      <c r="I1729" s="3">
        <v>45194.890960648147</v>
      </c>
      <c r="J1729" s="3">
        <v>40531.032685185186</v>
      </c>
      <c r="K1729" cm="1">
        <f t="array" ref="K1729">sentimentCalc(C1729)</f>
        <v>0</v>
      </c>
      <c r="L1729" t="str" cm="1">
        <f t="array" ref="L1729">sentimentCategory(K1729)</f>
        <v>Neutral</v>
      </c>
    </row>
    <row r="1730" spans="1:12" x14ac:dyDescent="0.25">
      <c r="A1730" t="s">
        <v>2974</v>
      </c>
      <c r="B1730" t="s">
        <v>2975</v>
      </c>
      <c r="C1730" t="str" cm="1">
        <f t="array" ref="C1730">CleanText(B1730)</f>
        <v>im very want to seeng but i cannot in the my country this movie not</v>
      </c>
      <c r="D1730">
        <v>0</v>
      </c>
      <c r="E1730">
        <v>0</v>
      </c>
      <c r="F1730" t="s">
        <v>10</v>
      </c>
      <c r="G1730" t="str" cm="1">
        <f t="array" ref="G1730">FindCountryName(F1730)</f>
        <v>None</v>
      </c>
      <c r="H1730" s="3">
        <v>45155.056712962964</v>
      </c>
      <c r="I1730" s="3">
        <v>45155.056712962964</v>
      </c>
      <c r="J1730" s="3">
        <v>43976.899201388886</v>
      </c>
      <c r="K1730" cm="1">
        <f t="array" ref="K1730">sentimentCalc(C1730)</f>
        <v>1</v>
      </c>
      <c r="L1730" t="str" cm="1">
        <f t="array" ref="L1730">sentimentCategory(K1730)</f>
        <v>Positive</v>
      </c>
    </row>
    <row r="1731" spans="1:12" x14ac:dyDescent="0.25">
      <c r="A1731" t="s">
        <v>819</v>
      </c>
      <c r="B1731" t="s">
        <v>820</v>
      </c>
      <c r="C1731" t="str" cm="1">
        <f t="array" ref="C1731">CleanText(B1731)</f>
        <v>im watching it for the rd time tonight bc i love it so much its a masterpiece</v>
      </c>
      <c r="D1731">
        <v>36</v>
      </c>
      <c r="E1731">
        <v>1</v>
      </c>
      <c r="F1731" t="s">
        <v>10</v>
      </c>
      <c r="G1731" t="str" cm="1">
        <f t="array" ref="G1731">FindCountryName(F1731)</f>
        <v>None</v>
      </c>
      <c r="H1731" s="3">
        <v>45305.160810185182</v>
      </c>
      <c r="I1731" s="3">
        <v>45305.160810185182</v>
      </c>
      <c r="J1731" s="3">
        <v>45284.886701388888</v>
      </c>
      <c r="K1731" cm="1">
        <f t="array" ref="K1731">sentimentCalc(C1731)</f>
        <v>7</v>
      </c>
      <c r="L1731" t="str" cm="1">
        <f t="array" ref="L1731">sentimentCategory(K1731)</f>
        <v>Positive</v>
      </c>
    </row>
    <row r="1732" spans="1:12" x14ac:dyDescent="0.25">
      <c r="A1732" t="s">
        <v>2996</v>
      </c>
      <c r="B1732" t="s">
        <v>2997</v>
      </c>
      <c r="C1732" t="str" cm="1">
        <f t="array" ref="C1732">CleanText(B1732)</f>
        <v>im watching it saturday and cant wait</v>
      </c>
      <c r="D1732">
        <v>0</v>
      </c>
      <c r="E1732">
        <v>0</v>
      </c>
      <c r="F1732" t="s">
        <v>10</v>
      </c>
      <c r="G1732" t="str" cm="1">
        <f t="array" ref="G1732">FindCountryName(F1732)</f>
        <v>None</v>
      </c>
      <c r="H1732" s="3">
        <v>45154.649699074071</v>
      </c>
      <c r="I1732" s="3">
        <v>45154.649687500001</v>
      </c>
      <c r="J1732" s="3">
        <v>44308.725219907406</v>
      </c>
      <c r="K1732" cm="1">
        <f t="array" ref="K1732">sentimentCalc(C1732)</f>
        <v>0</v>
      </c>
      <c r="L1732" t="str" cm="1">
        <f t="array" ref="L1732">sentimentCategory(K1732)</f>
        <v>Neutral</v>
      </c>
    </row>
    <row r="1733" spans="1:12" x14ac:dyDescent="0.25">
      <c r="A1733" t="s">
        <v>442</v>
      </c>
      <c r="B1733" t="s">
        <v>3634</v>
      </c>
      <c r="C1733" t="str" cm="1">
        <f t="array" ref="C1733">CleanText(B1733)</f>
        <v>im watching it todayyyyyyyyyyyyyyy tuesday august</v>
      </c>
      <c r="D1733">
        <v>0</v>
      </c>
      <c r="E1733">
        <v>2</v>
      </c>
      <c r="F1733" t="s">
        <v>10</v>
      </c>
      <c r="G1733" t="str" cm="1">
        <f t="array" ref="G1733">FindCountryName(F1733)</f>
        <v>None</v>
      </c>
      <c r="H1733" s="3">
        <v>45146.971458333333</v>
      </c>
      <c r="I1733" s="3">
        <v>45146.971458333333</v>
      </c>
      <c r="J1733" s="3">
        <v>44961.598113425927</v>
      </c>
      <c r="K1733" cm="1">
        <f t="array" ref="K1733">sentimentCalc(C1733)</f>
        <v>0</v>
      </c>
      <c r="L1733" t="str" cm="1">
        <f t="array" ref="L1733">sentimentCategory(K1733)</f>
        <v>Neutral</v>
      </c>
    </row>
    <row r="1734" spans="1:12" x14ac:dyDescent="0.25">
      <c r="A1734" t="s">
        <v>307</v>
      </c>
      <c r="B1734" t="s">
        <v>1259</v>
      </c>
      <c r="C1734" t="str" cm="1">
        <f t="array" ref="C1734">CleanText(B1734)</f>
        <v>im watching this trailer over and over again in december and it feels like christmas</v>
      </c>
      <c r="D1734">
        <v>2</v>
      </c>
      <c r="E1734">
        <v>0</v>
      </c>
      <c r="F1734" t="s">
        <v>10</v>
      </c>
      <c r="G1734" t="str" cm="1">
        <f t="array" ref="G1734">FindCountryName(F1734)</f>
        <v>None</v>
      </c>
      <c r="H1734" s="3">
        <v>45264.495462962965</v>
      </c>
      <c r="I1734" s="3">
        <v>45264.495462962965</v>
      </c>
      <c r="J1734" s="3">
        <v>43878.379467592589</v>
      </c>
      <c r="K1734" cm="1">
        <f t="array" ref="K1734">sentimentCalc(C1734)</f>
        <v>2</v>
      </c>
      <c r="L1734" t="str" cm="1">
        <f t="array" ref="L1734">sentimentCategory(K1734)</f>
        <v>Positive</v>
      </c>
    </row>
    <row r="1735" spans="1:12" x14ac:dyDescent="0.25">
      <c r="A1735" t="s">
        <v>1267</v>
      </c>
      <c r="B1735" t="s">
        <v>3552</v>
      </c>
      <c r="C1735" t="str" cm="1">
        <f t="array" ref="C1735">CleanText(B1735)</f>
        <v>ive already watched the movie  times lol</v>
      </c>
      <c r="D1735">
        <v>2</v>
      </c>
      <c r="E1735">
        <v>0</v>
      </c>
      <c r="F1735" t="s">
        <v>10</v>
      </c>
      <c r="G1735" t="str" cm="1">
        <f t="array" ref="G1735">FindCountryName(F1735)</f>
        <v>None</v>
      </c>
      <c r="H1735" s="3">
        <v>45147.585520833331</v>
      </c>
      <c r="I1735" s="3">
        <v>45147.585520833331</v>
      </c>
      <c r="J1735" s="3">
        <v>43267.773310185185</v>
      </c>
      <c r="K1735" cm="1">
        <f t="array" ref="K1735">sentimentCalc(C1735)</f>
        <v>0</v>
      </c>
      <c r="L1735" t="str" cm="1">
        <f t="array" ref="L1735">sentimentCategory(K1735)</f>
        <v>Neutral</v>
      </c>
    </row>
    <row r="1736" spans="1:12" x14ac:dyDescent="0.25">
      <c r="A1736" t="s">
        <v>3850</v>
      </c>
      <c r="B1736" t="s">
        <v>4400</v>
      </c>
      <c r="C1736" t="str" cm="1">
        <f t="array" ref="C1736">CleanText(B1736)</f>
        <v>ive always hated barbie but this looks genuinely fun i might actually watch it</v>
      </c>
      <c r="D1736">
        <v>0</v>
      </c>
      <c r="E1736">
        <v>0</v>
      </c>
      <c r="F1736" t="s">
        <v>10</v>
      </c>
      <c r="G1736" t="str" cm="1">
        <f t="array" ref="G1736">FindCountryName(F1736)</f>
        <v>None</v>
      </c>
      <c r="H1736" s="3">
        <v>45140.450092592589</v>
      </c>
      <c r="I1736" s="3">
        <v>45140.450092592589</v>
      </c>
      <c r="J1736" s="3">
        <v>44201.432141203702</v>
      </c>
      <c r="K1736" cm="1">
        <f t="array" ref="K1736">sentimentCalc(C1736)</f>
        <v>1</v>
      </c>
      <c r="L1736" t="str" cm="1">
        <f t="array" ref="L1736">sentimentCategory(K1736)</f>
        <v>Positive</v>
      </c>
    </row>
    <row r="1737" spans="1:12" x14ac:dyDescent="0.25">
      <c r="A1737" t="s">
        <v>1306</v>
      </c>
      <c r="B1737" t="s">
        <v>1307</v>
      </c>
      <c r="C1737" t="str" cm="1">
        <f t="array" ref="C1737">CleanText(B1737)</f>
        <v>i</v>
      </c>
      <c r="D1737">
        <v>0</v>
      </c>
      <c r="E1737">
        <v>0</v>
      </c>
      <c r="F1737" t="s">
        <v>10</v>
      </c>
      <c r="G1737" t="str" cm="1">
        <f t="array" ref="G1737">FindCountryName(F1737)</f>
        <v>None</v>
      </c>
      <c r="H1737" s="3">
        <v>45250.375474537039</v>
      </c>
      <c r="I1737" s="3">
        <v>45250.375474537039</v>
      </c>
      <c r="J1737" s="3">
        <v>44160.932129629633</v>
      </c>
      <c r="K1737" cm="1">
        <f t="array" ref="K1737">sentimentCalc(C1737)</f>
        <v>0</v>
      </c>
      <c r="L1737" t="str" cm="1">
        <f t="array" ref="L1737">sentimentCategory(K1737)</f>
        <v>Neutral</v>
      </c>
    </row>
    <row r="1738" spans="1:12" x14ac:dyDescent="0.25">
      <c r="A1738" t="s">
        <v>2485</v>
      </c>
      <c r="B1738" t="s">
        <v>2486</v>
      </c>
      <c r="C1738" t="str" cm="1">
        <f t="array" ref="C1738">CleanText(B1738)</f>
        <v>iconic movie</v>
      </c>
      <c r="D1738">
        <v>0</v>
      </c>
      <c r="E1738">
        <v>0</v>
      </c>
      <c r="F1738" t="s">
        <v>10</v>
      </c>
      <c r="G1738" t="str" cm="1">
        <f t="array" ref="G1738">FindCountryName(F1738)</f>
        <v>None</v>
      </c>
      <c r="H1738" s="3">
        <v>45165.359895833331</v>
      </c>
      <c r="I1738" s="3">
        <v>45165.359895833331</v>
      </c>
      <c r="J1738" s="3">
        <v>44704.678530092591</v>
      </c>
      <c r="K1738" cm="1">
        <f t="array" ref="K1738">sentimentCalc(C1738)</f>
        <v>0</v>
      </c>
      <c r="L1738" t="str" cm="1">
        <f t="array" ref="L1738">sentimentCategory(K1738)</f>
        <v>Neutral</v>
      </c>
    </row>
    <row r="1739" spans="1:12" x14ac:dyDescent="0.25">
      <c r="A1739" t="s">
        <v>3122</v>
      </c>
      <c r="B1739" t="s">
        <v>3123</v>
      </c>
      <c r="C1739" t="str" cm="1">
        <f t="array" ref="C1739">CleanText(B1739)</f>
        <v>ideas live forever</v>
      </c>
      <c r="D1739">
        <v>1</v>
      </c>
      <c r="E1739">
        <v>0</v>
      </c>
      <c r="F1739" t="s">
        <v>10</v>
      </c>
      <c r="G1739" t="str" cm="1">
        <f t="array" ref="G1739">FindCountryName(F1739)</f>
        <v>None</v>
      </c>
      <c r="H1739" s="3">
        <v>45153.01462962963</v>
      </c>
      <c r="I1739" s="3">
        <v>45153.01462962963</v>
      </c>
      <c r="J1739" s="3">
        <v>43423.09474537037</v>
      </c>
      <c r="K1739" cm="1">
        <f t="array" ref="K1739">sentimentCalc(C1739)</f>
        <v>0</v>
      </c>
      <c r="L1739" t="str" cm="1">
        <f t="array" ref="L1739">sentimentCategory(K1739)</f>
        <v>Neutral</v>
      </c>
    </row>
    <row r="1740" spans="1:12" x14ac:dyDescent="0.25">
      <c r="A1740" t="s">
        <v>2848</v>
      </c>
      <c r="B1740" t="s">
        <v>4192</v>
      </c>
      <c r="C1740" t="str" cm="1">
        <f t="array" ref="C1740">CleanText(B1740)</f>
        <v>ideas live forever</v>
      </c>
      <c r="D1740">
        <v>0</v>
      </c>
      <c r="E1740">
        <v>0</v>
      </c>
      <c r="F1740" t="s">
        <v>10</v>
      </c>
      <c r="G1740" t="str" cm="1">
        <f t="array" ref="G1740">FindCountryName(F1740)</f>
        <v>None</v>
      </c>
      <c r="H1740" s="3">
        <v>45142.142893518518</v>
      </c>
      <c r="I1740" s="3">
        <v>45142.142893518518</v>
      </c>
      <c r="J1740" s="3">
        <v>43615.635717592595</v>
      </c>
      <c r="K1740" cm="1">
        <f t="array" ref="K1740">sentimentCalc(C1740)</f>
        <v>0</v>
      </c>
      <c r="L1740" t="str" cm="1">
        <f t="array" ref="L1740">sentimentCategory(K1740)</f>
        <v>Neutral</v>
      </c>
    </row>
    <row r="1741" spans="1:12" x14ac:dyDescent="0.25">
      <c r="A1741" t="s">
        <v>304</v>
      </c>
      <c r="B1741" t="s">
        <v>2775</v>
      </c>
      <c r="C1741" t="str" cm="1">
        <f t="array" ref="C1741">CleanText(B1741)</f>
        <v>ideas live forever so platonic</v>
      </c>
      <c r="D1741">
        <v>1</v>
      </c>
      <c r="E1741">
        <v>0</v>
      </c>
      <c r="F1741" t="s">
        <v>2257</v>
      </c>
      <c r="G1741" t="str" cm="1">
        <f t="array" ref="G1741">FindCountryName(F1741)</f>
        <v>Philippines (the)</v>
      </c>
      <c r="H1741" s="3">
        <v>45158.156631944446</v>
      </c>
      <c r="I1741" s="3">
        <v>45158.15662037037</v>
      </c>
      <c r="J1741" s="3">
        <v>43509.832129629627</v>
      </c>
      <c r="K1741" cm="1">
        <f t="array" ref="K1741">sentimentCalc(C1741)</f>
        <v>0</v>
      </c>
      <c r="L1741" t="str" cm="1">
        <f t="array" ref="L1741">sentimentCategory(K1741)</f>
        <v>Neutral</v>
      </c>
    </row>
    <row r="1742" spans="1:12" x14ac:dyDescent="0.25">
      <c r="A1742" t="s">
        <v>94</v>
      </c>
      <c r="B1742" t="s">
        <v>2378</v>
      </c>
      <c r="C1742" t="str" cm="1">
        <f t="array" ref="C1742">CleanText(B1742)</f>
        <v>idiocy at its finest</v>
      </c>
      <c r="D1742">
        <v>0</v>
      </c>
      <c r="E1742">
        <v>0</v>
      </c>
      <c r="F1742" t="s">
        <v>10</v>
      </c>
      <c r="G1742" t="str" cm="1">
        <f t="array" ref="G1742">FindCountryName(F1742)</f>
        <v>None</v>
      </c>
      <c r="H1742" s="3">
        <v>45169.832685185182</v>
      </c>
      <c r="I1742" s="3">
        <v>45169.832685185182</v>
      </c>
      <c r="J1742" s="3">
        <v>41772.559236111112</v>
      </c>
      <c r="K1742" cm="1">
        <f t="array" ref="K1742">sentimentCalc(C1742)</f>
        <v>0</v>
      </c>
      <c r="L1742" t="str" cm="1">
        <f t="array" ref="L1742">sentimentCategory(K1742)</f>
        <v>Neutral</v>
      </c>
    </row>
    <row r="1743" spans="1:12" x14ac:dyDescent="0.25">
      <c r="A1743" t="s">
        <v>769</v>
      </c>
      <c r="B1743" t="s">
        <v>4239</v>
      </c>
      <c r="C1743" t="str" cm="1">
        <f t="array" ref="C1743">CleanText(B1743)</f>
        <v>idiot movie</v>
      </c>
      <c r="D1743">
        <v>5</v>
      </c>
      <c r="E1743">
        <v>0</v>
      </c>
      <c r="F1743" t="s">
        <v>272</v>
      </c>
      <c r="G1743" t="str" cm="1">
        <f t="array" ref="G1743">FindCountryName(F1743)</f>
        <v>Italy</v>
      </c>
      <c r="H1743" s="3">
        <v>45141.530289351853</v>
      </c>
      <c r="I1743" s="3">
        <v>45141.530289351853</v>
      </c>
      <c r="J1743" s="3">
        <v>44566.78701388889</v>
      </c>
      <c r="K1743" cm="1">
        <f t="array" ref="K1743">sentimentCalc(C1743)</f>
        <v>-3</v>
      </c>
      <c r="L1743" t="str" cm="1">
        <f t="array" ref="L1743">sentimentCategory(K1743)</f>
        <v>Negative</v>
      </c>
    </row>
    <row r="1744" spans="1:12" x14ac:dyDescent="0.25">
      <c r="A1744" t="s">
        <v>3502</v>
      </c>
      <c r="B1744" t="s">
        <v>3503</v>
      </c>
      <c r="C1744" t="str" cm="1">
        <f t="array" ref="C1744">CleanText(B1744)</f>
        <v>idiot</v>
      </c>
      <c r="D1744">
        <v>2</v>
      </c>
      <c r="E1744">
        <v>0</v>
      </c>
      <c r="F1744" t="s">
        <v>10</v>
      </c>
      <c r="G1744" t="str" cm="1">
        <f t="array" ref="G1744">FindCountryName(F1744)</f>
        <v>None</v>
      </c>
      <c r="H1744" s="3">
        <v>45148.190891203703</v>
      </c>
      <c r="I1744" s="3">
        <v>45148.190879629627</v>
      </c>
      <c r="J1744" s="3">
        <v>40945.732430555552</v>
      </c>
      <c r="K1744" cm="1">
        <f t="array" ref="K1744">sentimentCalc(C1744)</f>
        <v>-3</v>
      </c>
      <c r="L1744" t="str" cm="1">
        <f t="array" ref="L1744">sentimentCategory(K1744)</f>
        <v>Negative</v>
      </c>
    </row>
    <row r="1745" spans="1:12" x14ac:dyDescent="0.25">
      <c r="A1745" t="s">
        <v>2919</v>
      </c>
      <c r="B1745" t="s">
        <v>2920</v>
      </c>
      <c r="C1745" t="str" cm="1">
        <f t="array" ref="C1745">CleanText(B1745)</f>
        <v>idxkxkzkxkkkzskdkkzkzkkdkkddkddkdkskdkskdkdjddjdjdjdjdjdjjdjddjdjdjdjjdjdjddjjcycgheajfjdkfjfjritiderertrgggye</v>
      </c>
      <c r="D1745">
        <v>0</v>
      </c>
      <c r="E1745">
        <v>0</v>
      </c>
      <c r="F1745" t="s">
        <v>10</v>
      </c>
      <c r="G1745" t="str" cm="1">
        <f t="array" ref="G1745">FindCountryName(F1745)</f>
        <v>None</v>
      </c>
      <c r="H1745" s="3">
        <v>45155.931932870371</v>
      </c>
      <c r="I1745" s="3">
        <v>45155.931932870371</v>
      </c>
      <c r="J1745" s="3">
        <v>45147.837708333333</v>
      </c>
      <c r="K1745" cm="1">
        <f t="array" ref="K1745">sentimentCalc(C1745)</f>
        <v>0</v>
      </c>
      <c r="L1745" t="str" cm="1">
        <f t="array" ref="L1745">sentimentCategory(K1745)</f>
        <v>Neutral</v>
      </c>
    </row>
    <row r="1746" spans="1:12" x14ac:dyDescent="0.25">
      <c r="A1746" t="s">
        <v>120</v>
      </c>
      <c r="B1746" t="s">
        <v>3003</v>
      </c>
      <c r="C1746" t="str" cm="1">
        <f t="array" ref="C1746">CleanText(B1746)</f>
        <v>if any girl over the age of  watches it she is retarted and should do all of us a favor and not exist</v>
      </c>
      <c r="D1746">
        <v>0</v>
      </c>
      <c r="E1746">
        <v>1</v>
      </c>
      <c r="F1746" t="s">
        <v>10</v>
      </c>
      <c r="G1746" t="str" cm="1">
        <f t="array" ref="G1746">FindCountryName(F1746)</f>
        <v>None</v>
      </c>
      <c r="H1746" s="3">
        <v>45154.595925925925</v>
      </c>
      <c r="I1746" s="3">
        <v>45154.595925925925</v>
      </c>
      <c r="J1746" s="3">
        <v>41002.935439814813</v>
      </c>
      <c r="K1746" cm="1">
        <f t="array" ref="K1746">sentimentCalc(C1746)</f>
        <v>2</v>
      </c>
      <c r="L1746" t="str" cm="1">
        <f t="array" ref="L1746">sentimentCategory(K1746)</f>
        <v>Positive</v>
      </c>
    </row>
    <row r="1747" spans="1:12" x14ac:dyDescent="0.25">
      <c r="A1747" t="s">
        <v>152</v>
      </c>
      <c r="B1747" t="s">
        <v>2978</v>
      </c>
      <c r="C1747" t="str" cm="1">
        <f t="array" ref="C1747">CleanText(B1747)</f>
        <v>if dc cant save warner bros then barbie surely can</v>
      </c>
      <c r="D1747">
        <v>1</v>
      </c>
      <c r="E1747">
        <v>0</v>
      </c>
      <c r="F1747" t="s">
        <v>10</v>
      </c>
      <c r="G1747" t="str" cm="1">
        <f t="array" ref="G1747">FindCountryName(F1747)</f>
        <v>None</v>
      </c>
      <c r="H1747" s="3">
        <v>45154.906099537038</v>
      </c>
      <c r="I1747" s="3">
        <v>45154.906099537038</v>
      </c>
      <c r="J1747" s="3">
        <v>44012.747986111113</v>
      </c>
      <c r="K1747" cm="1">
        <f t="array" ref="K1747">sentimentCalc(C1747)</f>
        <v>2</v>
      </c>
      <c r="L1747" t="str" cm="1">
        <f t="array" ref="L1747">sentimentCategory(K1747)</f>
        <v>Positive</v>
      </c>
    </row>
    <row r="1748" spans="1:12" x14ac:dyDescent="0.25">
      <c r="A1748" t="s">
        <v>156</v>
      </c>
      <c r="B1748" t="s">
        <v>4316</v>
      </c>
      <c r="C1748" t="str" cm="1">
        <f t="array" ref="C1748">CleanText(B1748)</f>
        <v>if hasbro ever decides to make another jem movie i hope they watch barbie and take notes this is how you bring a doll franchise to life</v>
      </c>
      <c r="D1748">
        <v>0</v>
      </c>
      <c r="E1748">
        <v>0</v>
      </c>
      <c r="F1748" t="s">
        <v>227</v>
      </c>
      <c r="G1748" t="str" cm="1">
        <f t="array" ref="G1748">FindCountryName(F1748)</f>
        <v>United States of America (the)</v>
      </c>
      <c r="H1748" s="3">
        <v>45141.008310185185</v>
      </c>
      <c r="I1748" s="3">
        <v>45141.008310185185</v>
      </c>
      <c r="J1748" s="3">
        <v>41063.744016203702</v>
      </c>
      <c r="K1748" cm="1">
        <f t="array" ref="K1748">sentimentCalc(C1748)</f>
        <v>2</v>
      </c>
      <c r="L1748" t="str" cm="1">
        <f t="array" ref="L1748">sentimentCategory(K1748)</f>
        <v>Positive</v>
      </c>
    </row>
    <row r="1749" spans="1:12" x14ac:dyDescent="0.25">
      <c r="A1749" t="s">
        <v>290</v>
      </c>
      <c r="B1749" t="s">
        <v>2624</v>
      </c>
      <c r="C1749" t="str" cm="1">
        <f t="array" ref="C1749">CleanText(B1749)</f>
        <v>if i ever get explosive diarrhea i will be first in line to see this pepto bismo nightmare</v>
      </c>
      <c r="D1749">
        <v>2</v>
      </c>
      <c r="E1749">
        <v>0</v>
      </c>
      <c r="F1749" t="s">
        <v>10</v>
      </c>
      <c r="G1749" t="str" cm="1">
        <f t="array" ref="G1749">FindCountryName(F1749)</f>
        <v>None</v>
      </c>
      <c r="H1749" s="3">
        <v>45161.492766203701</v>
      </c>
      <c r="I1749" s="3">
        <v>45161.492766203701</v>
      </c>
      <c r="J1749" s="3">
        <v>43084.964039351849</v>
      </c>
      <c r="K1749" cm="1">
        <f t="array" ref="K1749">sentimentCalc(C1749)</f>
        <v>0</v>
      </c>
      <c r="L1749" t="str" cm="1">
        <f t="array" ref="L1749">sentimentCategory(K1749)</f>
        <v>Neutral</v>
      </c>
    </row>
    <row r="1750" spans="1:12" x14ac:dyDescent="0.25">
      <c r="A1750" t="s">
        <v>481</v>
      </c>
      <c r="B1750" t="s">
        <v>2214</v>
      </c>
      <c r="C1750" t="str" cm="1">
        <f t="array" ref="C1750">CleanText(B1750)</f>
        <v>if i had seen this trailer before seeing the movie i probably wouldnt have gone at all it is far better than what is shown here</v>
      </c>
      <c r="D1750">
        <v>0</v>
      </c>
      <c r="E1750">
        <v>0</v>
      </c>
      <c r="F1750" t="s">
        <v>10</v>
      </c>
      <c r="G1750" t="str" cm="1">
        <f t="array" ref="G1750">FindCountryName(F1750)</f>
        <v>None</v>
      </c>
      <c r="H1750" s="3">
        <v>45175.586273148147</v>
      </c>
      <c r="I1750" s="3">
        <v>45175.586261574077</v>
      </c>
      <c r="J1750" s="3">
        <v>38916.286620370367</v>
      </c>
      <c r="K1750" cm="1">
        <f t="array" ref="K1750">sentimentCalc(C1750)</f>
        <v>2</v>
      </c>
      <c r="L1750" t="str" cm="1">
        <f t="array" ref="L1750">sentimentCategory(K1750)</f>
        <v>Positive</v>
      </c>
    </row>
    <row r="1751" spans="1:12" x14ac:dyDescent="0.25">
      <c r="A1751" t="s">
        <v>73</v>
      </c>
      <c r="B1751" t="s">
        <v>3534</v>
      </c>
      <c r="C1751" t="str" cm="1">
        <f t="array" ref="C1751">CleanText(B1751)</f>
        <v>if i had two nickels every time will ferrell plays two evil businessmen</v>
      </c>
      <c r="D1751">
        <v>0</v>
      </c>
      <c r="E1751">
        <v>0</v>
      </c>
      <c r="F1751" t="s">
        <v>10</v>
      </c>
      <c r="G1751" t="str" cm="1">
        <f t="array" ref="G1751">FindCountryName(F1751)</f>
        <v>None</v>
      </c>
      <c r="H1751" s="3">
        <v>45147.748101851852</v>
      </c>
      <c r="I1751" s="3">
        <v>45147.748090277775</v>
      </c>
      <c r="J1751" s="3">
        <v>42737.79886574074</v>
      </c>
      <c r="K1751" cm="1">
        <f t="array" ref="K1751">sentimentCalc(C1751)</f>
        <v>-3</v>
      </c>
      <c r="L1751" t="str" cm="1">
        <f t="array" ref="L1751">sentimentCategory(K1751)</f>
        <v>Negative</v>
      </c>
    </row>
    <row r="1752" spans="1:12" x14ac:dyDescent="0.25">
      <c r="A1752" t="s">
        <v>537</v>
      </c>
      <c r="B1752" t="s">
        <v>1646</v>
      </c>
      <c r="C1752" t="str" cm="1">
        <f t="array" ref="C1752">CleanText(B1752)</f>
        <v>if only jodi benson and michael keaton cameoed in this movie</v>
      </c>
      <c r="D1752">
        <v>1</v>
      </c>
      <c r="E1752">
        <v>1</v>
      </c>
      <c r="F1752" t="s">
        <v>10</v>
      </c>
      <c r="G1752" t="str" cm="1">
        <f t="array" ref="G1752">FindCountryName(F1752)</f>
        <v>None</v>
      </c>
      <c r="H1752" s="3">
        <v>45206.004641203705</v>
      </c>
      <c r="I1752" s="3">
        <v>45206.004641203705</v>
      </c>
      <c r="J1752" s="3">
        <v>44766.970520833333</v>
      </c>
      <c r="K1752" cm="1">
        <f t="array" ref="K1752">sentimentCalc(C1752)</f>
        <v>0</v>
      </c>
      <c r="L1752" t="str" cm="1">
        <f t="array" ref="L1752">sentimentCategory(K1752)</f>
        <v>Neutral</v>
      </c>
    </row>
    <row r="1753" spans="1:12" x14ac:dyDescent="0.25">
      <c r="A1753" t="s">
        <v>329</v>
      </c>
      <c r="B1753" t="s">
        <v>4061</v>
      </c>
      <c r="C1753" t="str" cm="1">
        <f t="array" ref="C1753">CleanText(B1753)</f>
        <v>if only quentin tarantino directed this</v>
      </c>
      <c r="D1753">
        <v>1</v>
      </c>
      <c r="E1753">
        <v>0</v>
      </c>
      <c r="F1753" t="s">
        <v>10</v>
      </c>
      <c r="G1753" t="str" cm="1">
        <f t="array" ref="G1753">FindCountryName(F1753)</f>
        <v>None</v>
      </c>
      <c r="H1753" s="3">
        <v>45143.263564814813</v>
      </c>
      <c r="I1753" s="3">
        <v>45143.263564814813</v>
      </c>
      <c r="J1753" s="3">
        <v>44256.964375000003</v>
      </c>
      <c r="K1753" cm="1">
        <f t="array" ref="K1753">sentimentCalc(C1753)</f>
        <v>0</v>
      </c>
      <c r="L1753" t="str" cm="1">
        <f t="array" ref="L1753">sentimentCategory(K1753)</f>
        <v>Neutral</v>
      </c>
    </row>
    <row r="1754" spans="1:12" x14ac:dyDescent="0.25">
      <c r="A1754" t="s">
        <v>2469</v>
      </c>
      <c r="B1754" t="s">
        <v>3148</v>
      </c>
      <c r="C1754" t="str" cm="1">
        <f t="array" ref="C1754">CleanText(B1754)</f>
        <v>if only the movie was actually like the trailer made it seem</v>
      </c>
      <c r="D1754">
        <v>3</v>
      </c>
      <c r="E1754">
        <v>1</v>
      </c>
      <c r="F1754" t="s">
        <v>10</v>
      </c>
      <c r="G1754" t="str" cm="1">
        <f t="array" ref="G1754">FindCountryName(F1754)</f>
        <v>None</v>
      </c>
      <c r="H1754" s="3">
        <v>45152.704768518517</v>
      </c>
      <c r="I1754" s="3">
        <v>45152.704768518517</v>
      </c>
      <c r="J1754" s="3">
        <v>44627.662569444445</v>
      </c>
      <c r="K1754" cm="1">
        <f t="array" ref="K1754">sentimentCalc(C1754)</f>
        <v>2</v>
      </c>
      <c r="L1754" t="str" cm="1">
        <f t="array" ref="L1754">sentimentCategory(K1754)</f>
        <v>Positive</v>
      </c>
    </row>
    <row r="1755" spans="1:12" x14ac:dyDescent="0.25">
      <c r="A1755" t="s">
        <v>20</v>
      </c>
      <c r="B1755" t="s">
        <v>3457</v>
      </c>
      <c r="C1755" t="str" cm="1">
        <f t="array" ref="C1755">CleanText(B1755)</f>
        <v>if real world ken dolls were this cute then we wouldnt be beaching off ken and ken would be in the doll house with barbie</v>
      </c>
      <c r="D1755">
        <v>0</v>
      </c>
      <c r="E1755">
        <v>0</v>
      </c>
      <c r="F1755" t="s">
        <v>10</v>
      </c>
      <c r="G1755" t="str" cm="1">
        <f t="array" ref="G1755">FindCountryName(F1755)</f>
        <v>None</v>
      </c>
      <c r="H1755" s="3">
        <v>45148.643067129633</v>
      </c>
      <c r="I1755" s="3">
        <v>45148.644918981481</v>
      </c>
      <c r="J1755" s="3">
        <v>44131.592060185183</v>
      </c>
      <c r="K1755" cm="1">
        <f t="array" ref="K1755">sentimentCalc(C1755)</f>
        <v>2</v>
      </c>
      <c r="L1755" t="str" cm="1">
        <f t="array" ref="L1755">sentimentCategory(K1755)</f>
        <v>Positive</v>
      </c>
    </row>
    <row r="1756" spans="1:12" x14ac:dyDescent="0.25">
      <c r="A1756" t="s">
        <v>292</v>
      </c>
      <c r="B1756" t="s">
        <v>4196</v>
      </c>
      <c r="C1756" t="str" cm="1">
        <f t="array" ref="C1756">CleanText(B1756)</f>
        <v>if she comes to india we will ask her to make her aadhar card and pan card done and link the two in the system</v>
      </c>
      <c r="D1756">
        <v>0</v>
      </c>
      <c r="E1756">
        <v>0</v>
      </c>
      <c r="F1756" t="s">
        <v>10</v>
      </c>
      <c r="G1756" t="str" cm="1">
        <f t="array" ref="G1756">FindCountryName(F1756)</f>
        <v>None</v>
      </c>
      <c r="H1756" s="3">
        <v>45142.102372685185</v>
      </c>
      <c r="I1756" s="3">
        <v>45142.102372685185</v>
      </c>
      <c r="J1756" s="3">
        <v>41299.499236111114</v>
      </c>
      <c r="K1756" cm="1">
        <f t="array" ref="K1756">sentimentCalc(C1756)</f>
        <v>0</v>
      </c>
      <c r="L1756" t="str" cm="1">
        <f t="array" ref="L1756">sentimentCategory(K1756)</f>
        <v>Neutral</v>
      </c>
    </row>
    <row r="1757" spans="1:12" x14ac:dyDescent="0.25">
      <c r="A1757" t="s">
        <v>284</v>
      </c>
      <c r="B1757" t="s">
        <v>1204</v>
      </c>
      <c r="C1757" t="str" cm="1">
        <f t="array" ref="C1757">CleanText(B1757)</f>
        <v>if taylor swift plays barbiewould have made billions around the worldim surprised she was not asked</v>
      </c>
      <c r="D1757">
        <v>0</v>
      </c>
      <c r="E1757">
        <v>2</v>
      </c>
      <c r="F1757" t="s">
        <v>10</v>
      </c>
      <c r="G1757" t="str" cm="1">
        <f t="array" ref="G1757">FindCountryName(F1757)</f>
        <v>None</v>
      </c>
      <c r="H1757" s="3">
        <v>45276.709143518521</v>
      </c>
      <c r="I1757" s="3">
        <v>45276.709143518521</v>
      </c>
      <c r="J1757" s="3">
        <v>40920.714918981481</v>
      </c>
      <c r="K1757" cm="1">
        <f t="array" ref="K1757">sentimentCalc(C1757)</f>
        <v>2</v>
      </c>
      <c r="L1757" t="str" cm="1">
        <f t="array" ref="L1757">sentimentCategory(K1757)</f>
        <v>Positive</v>
      </c>
    </row>
    <row r="1758" spans="1:12" x14ac:dyDescent="0.25">
      <c r="A1758" t="s">
        <v>1713</v>
      </c>
      <c r="B1758" t="s">
        <v>1714</v>
      </c>
      <c r="C1758" t="str" cm="1">
        <f t="array" ref="C1758">CleanText(B1758)</f>
        <v>if these killing and blood i will watch this jkjk</v>
      </c>
      <c r="D1758">
        <v>0</v>
      </c>
      <c r="E1758">
        <v>0</v>
      </c>
      <c r="F1758" t="s">
        <v>10</v>
      </c>
      <c r="G1758" t="str" cm="1">
        <f t="array" ref="G1758">FindCountryName(F1758)</f>
        <v>None</v>
      </c>
      <c r="H1758" s="3">
        <v>45200.292199074072</v>
      </c>
      <c r="I1758" s="3">
        <v>45200.292199074072</v>
      </c>
      <c r="J1758" s="3">
        <v>44915.068738425929</v>
      </c>
      <c r="K1758" cm="1">
        <f t="array" ref="K1758">sentimentCalc(C1758)</f>
        <v>-3</v>
      </c>
      <c r="L1758" t="str" cm="1">
        <f t="array" ref="L1758">sentimentCategory(K1758)</f>
        <v>Negative</v>
      </c>
    </row>
    <row r="1759" spans="1:12" x14ac:dyDescent="0.25">
      <c r="A1759" t="s">
        <v>269</v>
      </c>
      <c r="B1759" t="s">
        <v>1416</v>
      </c>
      <c r="C1759" t="str" cm="1">
        <f t="array" ref="C1759">CleanText(B1759)</f>
        <v>if this became a successthen mattel will definitely gain a lot more money if they make a live action hot wheels movie</v>
      </c>
      <c r="D1759">
        <v>0</v>
      </c>
      <c r="E1759">
        <v>2</v>
      </c>
      <c r="F1759" t="s">
        <v>10</v>
      </c>
      <c r="G1759" t="str" cm="1">
        <f t="array" ref="G1759">FindCountryName(F1759)</f>
        <v>None</v>
      </c>
      <c r="H1759" s="3">
        <v>45232.909803240742</v>
      </c>
      <c r="I1759" s="3">
        <v>45232.910243055558</v>
      </c>
      <c r="J1759" s="3">
        <v>42840.709699074076</v>
      </c>
      <c r="K1759" cm="1">
        <f t="array" ref="K1759">sentimentCalc(C1759)</f>
        <v>2</v>
      </c>
      <c r="L1759" t="str" cm="1">
        <f t="array" ref="L1759">sentimentCategory(K1759)</f>
        <v>Positive</v>
      </c>
    </row>
    <row r="1760" spans="1:12" x14ac:dyDescent="0.25">
      <c r="A1760" t="s">
        <v>3410</v>
      </c>
      <c r="B1760" t="s">
        <v>4203</v>
      </c>
      <c r="C1760" t="str" cm="1">
        <f t="array" ref="C1760">CleanText(B1760)</f>
        <v>if this is the movie for true feminism and political correctness what is the intension of the tweets for the memes of atomic bombthe victim of atomic bomb is citizen including children and babies</v>
      </c>
      <c r="D1760">
        <v>4</v>
      </c>
      <c r="E1760">
        <v>4</v>
      </c>
      <c r="F1760" t="s">
        <v>10</v>
      </c>
      <c r="G1760" t="str" cm="1">
        <f t="array" ref="G1760">FindCountryName(F1760)</f>
        <v>None</v>
      </c>
      <c r="H1760" s="3">
        <v>45141.970023148147</v>
      </c>
      <c r="I1760" s="3">
        <v>45141.970023148147</v>
      </c>
      <c r="J1760" s="3">
        <v>41299.241064814814</v>
      </c>
      <c r="K1760" cm="1">
        <f t="array" ref="K1760">sentimentCalc(C1760)</f>
        <v>-2</v>
      </c>
      <c r="L1760" t="str" cm="1">
        <f t="array" ref="L1760">sentimentCategory(K1760)</f>
        <v>Negative</v>
      </c>
    </row>
    <row r="1761" spans="1:12" x14ac:dyDescent="0.25">
      <c r="A1761" t="s">
        <v>2038</v>
      </c>
      <c r="B1761" t="s">
        <v>3750</v>
      </c>
      <c r="C1761" t="str" cm="1">
        <f t="array" ref="C1761">CleanText(B1761)</f>
        <v>if this is the path of entertainment by the time my kids are adults idiocracy will be fully actualized terrifying</v>
      </c>
      <c r="D1761">
        <v>2</v>
      </c>
      <c r="E1761">
        <v>0</v>
      </c>
      <c r="F1761" t="s">
        <v>10</v>
      </c>
      <c r="G1761" t="str" cm="1">
        <f t="array" ref="G1761">FindCountryName(F1761)</f>
        <v>None</v>
      </c>
      <c r="H1761" s="3">
        <v>45145.72724537037</v>
      </c>
      <c r="I1761" s="3">
        <v>45145.72724537037</v>
      </c>
      <c r="J1761" s="3">
        <v>38947.93172453704</v>
      </c>
      <c r="K1761" cm="1">
        <f t="array" ref="K1761">sentimentCalc(C1761)</f>
        <v>0</v>
      </c>
      <c r="L1761" t="str" cm="1">
        <f t="array" ref="L1761">sentimentCategory(K1761)</f>
        <v>Neutral</v>
      </c>
    </row>
    <row r="1762" spans="1:12" x14ac:dyDescent="0.25">
      <c r="A1762" t="s">
        <v>2408</v>
      </c>
      <c r="B1762" t="s">
        <v>2409</v>
      </c>
      <c r="C1762" t="str" cm="1">
        <f t="array" ref="C1762">CleanText(B1762)</f>
        <v>if this is what barbie moveis is i cant think what will be the live action hot wheels movie</v>
      </c>
      <c r="D1762">
        <v>0</v>
      </c>
      <c r="E1762">
        <v>0</v>
      </c>
      <c r="F1762" t="s">
        <v>10</v>
      </c>
      <c r="G1762" t="str" cm="1">
        <f t="array" ref="G1762">FindCountryName(F1762)</f>
        <v>None</v>
      </c>
      <c r="H1762" s="3">
        <v>45168.434490740743</v>
      </c>
      <c r="I1762" s="3">
        <v>45168.434490740743</v>
      </c>
      <c r="J1762" s="3">
        <v>44016.148518518516</v>
      </c>
      <c r="K1762" cm="1">
        <f t="array" ref="K1762">sentimentCalc(C1762)</f>
        <v>0</v>
      </c>
      <c r="L1762" t="str" cm="1">
        <f t="array" ref="L1762">sentimentCategory(K1762)</f>
        <v>Neutral</v>
      </c>
    </row>
    <row r="1763" spans="1:12" x14ac:dyDescent="0.25">
      <c r="A1763" t="s">
        <v>3455</v>
      </c>
      <c r="B1763" t="s">
        <v>3456</v>
      </c>
      <c r="C1763" t="str" cm="1">
        <f t="array" ref="C1763">CleanText(B1763)</f>
        <v>if tho i watched it i dont hate barbie</v>
      </c>
      <c r="D1763">
        <v>0</v>
      </c>
      <c r="E1763">
        <v>0</v>
      </c>
      <c r="F1763" t="s">
        <v>227</v>
      </c>
      <c r="G1763" t="str" cm="1">
        <f t="array" ref="G1763">FindCountryName(F1763)</f>
        <v>United States of America (the)</v>
      </c>
      <c r="H1763" s="3">
        <v>45148.644479166665</v>
      </c>
      <c r="I1763" s="3">
        <v>45148.644467592596</v>
      </c>
      <c r="J1763" s="3">
        <v>40953.499722222223</v>
      </c>
      <c r="K1763" cm="1">
        <f t="array" ref="K1763">sentimentCalc(C1763)</f>
        <v>-3</v>
      </c>
      <c r="L1763" t="str" cm="1">
        <f t="array" ref="L1763">sentimentCategory(K1763)</f>
        <v>Negative</v>
      </c>
    </row>
    <row r="1764" spans="1:12" x14ac:dyDescent="0.25">
      <c r="A1764" t="s">
        <v>633</v>
      </c>
      <c r="B1764" t="s">
        <v>1970</v>
      </c>
      <c r="C1764" t="str" cm="1">
        <f t="array" ref="C1764">CleanText(B1764)</f>
        <v>if u love barbie this is for uif u hate barbie this is for uwhat id ur in the middle</v>
      </c>
      <c r="D1764">
        <v>0</v>
      </c>
      <c r="E1764">
        <v>0</v>
      </c>
      <c r="F1764" t="s">
        <v>10</v>
      </c>
      <c r="G1764" t="str" cm="1">
        <f t="array" ref="G1764">FindCountryName(F1764)</f>
        <v>None</v>
      </c>
      <c r="H1764" s="3">
        <v>45186.03738425926</v>
      </c>
      <c r="I1764" s="3">
        <v>45186.037372685183</v>
      </c>
      <c r="J1764" s="3">
        <v>44919.955706018518</v>
      </c>
      <c r="K1764" cm="1">
        <f t="array" ref="K1764">sentimentCalc(C1764)</f>
        <v>0</v>
      </c>
      <c r="L1764" t="str" cm="1">
        <f t="array" ref="L1764">sentimentCategory(K1764)</f>
        <v>Neutral</v>
      </c>
    </row>
    <row r="1765" spans="1:12" x14ac:dyDescent="0.25">
      <c r="A1765" t="s">
        <v>720</v>
      </c>
      <c r="B1765" t="s">
        <v>3771</v>
      </c>
      <c r="C1765" t="str" cm="1">
        <f t="array" ref="C1765">CleanText(B1765)</f>
        <v>if u love barbie this movie is for you  what about the kids</v>
      </c>
      <c r="D1765">
        <v>4</v>
      </c>
      <c r="E1765">
        <v>3</v>
      </c>
      <c r="F1765" t="s">
        <v>10</v>
      </c>
      <c r="G1765" t="str" cm="1">
        <f t="array" ref="G1765">FindCountryName(F1765)</f>
        <v>None</v>
      </c>
      <c r="H1765" s="3">
        <v>45145.603796296295</v>
      </c>
      <c r="I1765" s="3">
        <v>45145.603796296295</v>
      </c>
      <c r="J1765" s="3">
        <v>43604.897349537037</v>
      </c>
      <c r="K1765" cm="1">
        <f t="array" ref="K1765">sentimentCalc(C1765)</f>
        <v>3</v>
      </c>
      <c r="L1765" t="str" cm="1">
        <f t="array" ref="L1765">sentimentCategory(K1765)</f>
        <v>Positive</v>
      </c>
    </row>
    <row r="1766" spans="1:12" x14ac:dyDescent="0.25">
      <c r="A1766" t="s">
        <v>866</v>
      </c>
      <c r="B1766" t="s">
        <v>3011</v>
      </c>
      <c r="C1766" t="str" cm="1">
        <f t="array" ref="C1766">CleanText(B1766)</f>
        <v>if you are  years old child this movie is for you motto should be like this</v>
      </c>
      <c r="D1766">
        <v>0</v>
      </c>
      <c r="E1766">
        <v>3</v>
      </c>
      <c r="F1766" t="s">
        <v>10</v>
      </c>
      <c r="G1766" t="str" cm="1">
        <f t="array" ref="G1766">FindCountryName(F1766)</f>
        <v>None</v>
      </c>
      <c r="H1766" s="3">
        <v>45154.502175925925</v>
      </c>
      <c r="I1766" s="3">
        <v>45154.502175925925</v>
      </c>
      <c r="J1766" s="3">
        <v>41371.307719907411</v>
      </c>
      <c r="K1766" cm="1">
        <f t="array" ref="K1766">sentimentCalc(C1766)</f>
        <v>2</v>
      </c>
      <c r="L1766" t="str" cm="1">
        <f t="array" ref="L1766">sentimentCategory(K1766)</f>
        <v>Positive</v>
      </c>
    </row>
    <row r="1767" spans="1:12" x14ac:dyDescent="0.25">
      <c r="A1767" t="s">
        <v>1503</v>
      </c>
      <c r="B1767" t="s">
        <v>3641</v>
      </c>
      <c r="C1767" t="str" cm="1">
        <f t="array" ref="C1767">CleanText(B1767)</f>
        <v>if you believe this film is anti men then you just didnt understand the point of it</v>
      </c>
      <c r="D1767">
        <v>2</v>
      </c>
      <c r="E1767">
        <v>2</v>
      </c>
      <c r="F1767" t="s">
        <v>10</v>
      </c>
      <c r="G1767" t="str" cm="1">
        <f t="array" ref="G1767">FindCountryName(F1767)</f>
        <v>None</v>
      </c>
      <c r="H1767" s="3">
        <v>45146.899421296293</v>
      </c>
      <c r="I1767" s="3">
        <v>45147.588275462964</v>
      </c>
      <c r="J1767" s="3">
        <v>43820.823761574073</v>
      </c>
      <c r="K1767" cm="1">
        <f t="array" ref="K1767">sentimentCalc(C1767)</f>
        <v>-1</v>
      </c>
      <c r="L1767" t="str" cm="1">
        <f t="array" ref="L1767">sentimentCategory(K1767)</f>
        <v>Negative</v>
      </c>
    </row>
    <row r="1768" spans="1:12" x14ac:dyDescent="0.25">
      <c r="A1768" t="s">
        <v>112</v>
      </c>
      <c r="B1768" t="s">
        <v>4024</v>
      </c>
      <c r="C1768" t="str" cm="1">
        <f t="array" ref="C1768">CleanText(B1768)</f>
        <v>if you dont like this for being sexist or feminist dont share your opinion men have a lot of power women have gotten our rights took away men are just chilling not worrying barbie is one of my fav movies</v>
      </c>
      <c r="D1768">
        <v>6</v>
      </c>
      <c r="E1768">
        <v>2</v>
      </c>
      <c r="F1768" t="s">
        <v>10</v>
      </c>
      <c r="G1768" t="str" cm="1">
        <f t="array" ref="G1768">FindCountryName(F1768)</f>
        <v>None</v>
      </c>
      <c r="H1768" s="3">
        <v>45143.60361111111</v>
      </c>
      <c r="I1768" s="3">
        <v>45143.60361111111</v>
      </c>
      <c r="J1768" s="3">
        <v>43406.367372685185</v>
      </c>
      <c r="K1768" cm="1">
        <f t="array" ref="K1768">sentimentCalc(C1768)</f>
        <v>-1</v>
      </c>
      <c r="L1768" t="str" cm="1">
        <f t="array" ref="L1768">sentimentCategory(K1768)</f>
        <v>Negative</v>
      </c>
    </row>
    <row r="1769" spans="1:12" x14ac:dyDescent="0.25">
      <c r="A1769" t="s">
        <v>692</v>
      </c>
      <c r="B1769" t="s">
        <v>3406</v>
      </c>
      <c r="C1769" t="str" cm="1">
        <f t="array" ref="C1769">CleanText(B1769)</f>
        <v>if you dont watch this movie and you dislike woman</v>
      </c>
      <c r="D1769">
        <v>0</v>
      </c>
      <c r="E1769">
        <v>0</v>
      </c>
      <c r="F1769" t="s">
        <v>10</v>
      </c>
      <c r="G1769" t="str" cm="1">
        <f t="array" ref="G1769">FindCountryName(F1769)</f>
        <v>None</v>
      </c>
      <c r="H1769" s="3">
        <v>45149.265625</v>
      </c>
      <c r="I1769" s="3">
        <v>45149.265625</v>
      </c>
      <c r="J1769" s="3">
        <v>42694.809583333335</v>
      </c>
      <c r="K1769" cm="1">
        <f t="array" ref="K1769">sentimentCalc(C1769)</f>
        <v>-2</v>
      </c>
      <c r="L1769" t="str" cm="1">
        <f t="array" ref="L1769">sentimentCategory(K1769)</f>
        <v>Negative</v>
      </c>
    </row>
    <row r="1770" spans="1:12" x14ac:dyDescent="0.25">
      <c r="A1770" t="s">
        <v>247</v>
      </c>
      <c r="B1770" t="s">
        <v>4114</v>
      </c>
      <c r="C1770" t="str" cm="1">
        <f t="array" ref="C1770">CleanText(B1770)</f>
        <v>if you feminist this movies is for you</v>
      </c>
      <c r="D1770">
        <v>2</v>
      </c>
      <c r="E1770">
        <v>0</v>
      </c>
      <c r="F1770" t="s">
        <v>10</v>
      </c>
      <c r="G1770" t="str" cm="1">
        <f t="array" ref="G1770">FindCountryName(F1770)</f>
        <v>None</v>
      </c>
      <c r="H1770" s="3">
        <v>45142.746018518519</v>
      </c>
      <c r="I1770" s="3">
        <v>45142.746018518519</v>
      </c>
      <c r="J1770" s="3">
        <v>41789.348113425927</v>
      </c>
      <c r="K1770" cm="1">
        <f t="array" ref="K1770">sentimentCalc(C1770)</f>
        <v>0</v>
      </c>
      <c r="L1770" t="str" cm="1">
        <f t="array" ref="L1770">sentimentCategory(K1770)</f>
        <v>Neutral</v>
      </c>
    </row>
    <row r="1771" spans="1:12" x14ac:dyDescent="0.25">
      <c r="A1771" t="s">
        <v>3418</v>
      </c>
      <c r="B1771" t="s">
        <v>3419</v>
      </c>
      <c r="C1771" t="str" cm="1">
        <f t="array" ref="C1771">CleanText(B1771)</f>
        <v>if you find barbie the most iconic character ever</v>
      </c>
      <c r="D1771">
        <v>0</v>
      </c>
      <c r="E1771">
        <v>0</v>
      </c>
      <c r="F1771" t="s">
        <v>10</v>
      </c>
      <c r="G1771" t="str" cm="1">
        <f t="array" ref="G1771">FindCountryName(F1771)</f>
        <v>None</v>
      </c>
      <c r="H1771" s="3">
        <v>45149.154652777775</v>
      </c>
      <c r="I1771" s="3">
        <v>45149.154652777775</v>
      </c>
      <c r="J1771" s="3">
        <v>44453.806481481479</v>
      </c>
      <c r="K1771" cm="1">
        <f t="array" ref="K1771">sentimentCalc(C1771)</f>
        <v>0</v>
      </c>
      <c r="L1771" t="str" cm="1">
        <f t="array" ref="L1771">sentimentCategory(K1771)</f>
        <v>Neutral</v>
      </c>
    </row>
    <row r="1772" spans="1:12" x14ac:dyDescent="0.25">
      <c r="A1772" t="s">
        <v>417</v>
      </c>
      <c r="B1772" t="s">
        <v>3658</v>
      </c>
      <c r="C1772" t="str" cm="1">
        <f t="array" ref="C1772">CleanText(B1772)</f>
        <v>if you hate barbie just like me or if you love barbie this movie is definitely for you even if you hate or love barbie when i watched it it was soo good you should definitely go watch it</v>
      </c>
      <c r="D1772">
        <v>3</v>
      </c>
      <c r="E1772">
        <v>0</v>
      </c>
      <c r="F1772" t="s">
        <v>10</v>
      </c>
      <c r="G1772" t="str" cm="1">
        <f t="array" ref="G1772">FindCountryName(F1772)</f>
        <v>None</v>
      </c>
      <c r="H1772" s="3">
        <v>45146.701377314814</v>
      </c>
      <c r="I1772" s="3">
        <v>45146.703460648147</v>
      </c>
      <c r="J1772" s="3">
        <v>44938.095613425925</v>
      </c>
      <c r="K1772" cm="1">
        <f t="array" ref="K1772">sentimentCalc(C1772)</f>
        <v>5</v>
      </c>
      <c r="L1772" t="str" cm="1">
        <f t="array" ref="L1772">sentimentCategory(K1772)</f>
        <v>Positive</v>
      </c>
    </row>
    <row r="1773" spans="1:12" x14ac:dyDescent="0.25">
      <c r="A1773" t="s">
        <v>488</v>
      </c>
      <c r="B1773" t="s">
        <v>489</v>
      </c>
      <c r="C1773" t="str" cm="1">
        <f t="array" ref="C1773">CleanText(B1773)</f>
        <v>if you hate barbie this movie is for you well i do hate barbie and i am never going to watch this movie so try telling me that again</v>
      </c>
      <c r="D1773">
        <v>0</v>
      </c>
      <c r="E1773">
        <v>0</v>
      </c>
      <c r="F1773" t="s">
        <v>10</v>
      </c>
      <c r="G1773" t="str" cm="1">
        <f t="array" ref="G1773">FindCountryName(F1773)</f>
        <v>None</v>
      </c>
      <c r="H1773" s="3">
        <v>45319.420925925922</v>
      </c>
      <c r="I1773" s="3">
        <v>45319.420925925922</v>
      </c>
      <c r="J1773" s="3">
        <v>42990.378587962965</v>
      </c>
      <c r="K1773" cm="1">
        <f t="array" ref="K1773">sentimentCalc(C1773)</f>
        <v>-6</v>
      </c>
      <c r="L1773" t="str" cm="1">
        <f t="array" ref="L1773">sentimentCategory(K1773)</f>
        <v>Negative</v>
      </c>
    </row>
    <row r="1774" spans="1:12" x14ac:dyDescent="0.25">
      <c r="A1774" t="s">
        <v>4067</v>
      </c>
      <c r="B1774" t="s">
        <v>4243</v>
      </c>
      <c r="C1774" t="str" cm="1">
        <f t="array" ref="C1774">CleanText(B1774)</f>
        <v>if you hate barbie youll love it nope i hate barbie and after seeing the movie with a friend i hate barbie even more  movie</v>
      </c>
      <c r="D1774">
        <v>3</v>
      </c>
      <c r="E1774">
        <v>0</v>
      </c>
      <c r="F1774" t="s">
        <v>1050</v>
      </c>
      <c r="G1774" t="str" cm="1">
        <f t="array" ref="G1774">FindCountryName(F1774)</f>
        <v>Germany</v>
      </c>
      <c r="H1774" s="3">
        <v>45141.514722222222</v>
      </c>
      <c r="I1774" s="3">
        <v>45141.514722222222</v>
      </c>
      <c r="J1774" s="3">
        <v>44230.334444444445</v>
      </c>
      <c r="K1774" cm="1">
        <f t="array" ref="K1774">sentimentCalc(C1774)</f>
        <v>-6</v>
      </c>
      <c r="L1774" t="str" cm="1">
        <f t="array" ref="L1774">sentimentCategory(K1774)</f>
        <v>Negative</v>
      </c>
    </row>
    <row r="1775" spans="1:12" x14ac:dyDescent="0.25">
      <c r="A1775" t="s">
        <v>73</v>
      </c>
      <c r="B1775" t="s">
        <v>74</v>
      </c>
      <c r="C1775" t="str" cm="1">
        <f t="array" ref="C1775">CleanText(B1775)</f>
        <v>if you have aspergers this movie will seem like a masterpiece</v>
      </c>
      <c r="D1775">
        <v>1</v>
      </c>
      <c r="E1775">
        <v>4</v>
      </c>
      <c r="F1775" t="s">
        <v>10</v>
      </c>
      <c r="G1775" t="str" cm="1">
        <f t="array" ref="G1775">FindCountryName(F1775)</f>
        <v>None</v>
      </c>
      <c r="H1775" s="3">
        <v>45341.59003472222</v>
      </c>
      <c r="I1775" s="3">
        <v>45341.59003472222</v>
      </c>
      <c r="J1775" s="3">
        <v>41274.803067129629</v>
      </c>
      <c r="K1775" cm="1">
        <f t="array" ref="K1775">sentimentCalc(C1775)</f>
        <v>6</v>
      </c>
      <c r="L1775" t="str" cm="1">
        <f t="array" ref="L1775">sentimentCategory(K1775)</f>
        <v>Positive</v>
      </c>
    </row>
    <row r="1776" spans="1:12" x14ac:dyDescent="0.25">
      <c r="A1776" t="s">
        <v>1084</v>
      </c>
      <c r="B1776" t="s">
        <v>1085</v>
      </c>
      <c r="C1776" t="str" cm="1">
        <f t="array" ref="C1776">CleanText(B1776)</f>
        <v>if you have the mentality of a  to yearold this movie is for you if youre an adult with a brain it will be hard to sit through and you can hardly wait for it to end its a great movie for liberals though i suspect theyll love it</v>
      </c>
      <c r="D1776">
        <v>1</v>
      </c>
      <c r="E1776">
        <v>4</v>
      </c>
      <c r="F1776" t="s">
        <v>10</v>
      </c>
      <c r="G1776" t="str" cm="1">
        <f t="array" ref="G1776">FindCountryName(F1776)</f>
        <v>None</v>
      </c>
      <c r="H1776" s="3">
        <v>45291.211215277777</v>
      </c>
      <c r="I1776" s="3">
        <v>45291.211215277777</v>
      </c>
      <c r="J1776" s="3">
        <v>40431.649652777778</v>
      </c>
      <c r="K1776" cm="1">
        <f t="array" ref="K1776">sentimentCalc(C1776)</f>
        <v>4</v>
      </c>
      <c r="L1776" t="str" cm="1">
        <f t="array" ref="L1776">sentimentCategory(K1776)</f>
        <v>Positive</v>
      </c>
    </row>
    <row r="1777" spans="1:12" x14ac:dyDescent="0.25">
      <c r="A1777" t="s">
        <v>2705</v>
      </c>
      <c r="B1777" t="s">
        <v>2706</v>
      </c>
      <c r="C1777" t="str" cm="1">
        <f t="array" ref="C1777">CleanText(B1777)</f>
        <v>if you havent seen it ill sum up the entire movie for you spoilersmen badthere now you dont have to see it youre welcome</v>
      </c>
      <c r="D1777">
        <v>0</v>
      </c>
      <c r="E1777">
        <v>2</v>
      </c>
      <c r="F1777" t="s">
        <v>10</v>
      </c>
      <c r="G1777" t="str" cm="1">
        <f t="array" ref="G1777">FindCountryName(F1777)</f>
        <v>None</v>
      </c>
      <c r="H1777" s="3">
        <v>45159.537256944444</v>
      </c>
      <c r="I1777" s="3">
        <v>45159.537256944444</v>
      </c>
      <c r="J1777" s="3">
        <v>41507.442245370374</v>
      </c>
      <c r="K1777" cm="1">
        <f t="array" ref="K1777">sentimentCalc(C1777)</f>
        <v>0</v>
      </c>
      <c r="L1777" t="str" cm="1">
        <f t="array" ref="L1777">sentimentCategory(K1777)</f>
        <v>Neutral</v>
      </c>
    </row>
    <row r="1778" spans="1:12" x14ac:dyDescent="0.25">
      <c r="A1778" t="s">
        <v>83</v>
      </c>
      <c r="B1778" t="s">
        <v>2812</v>
      </c>
      <c r="C1778" t="str" cm="1">
        <f t="array" ref="C1778">CleanText(B1778)</f>
        <v>if you like anchorman this movie is for you</v>
      </c>
      <c r="D1778">
        <v>0</v>
      </c>
      <c r="E1778">
        <v>0</v>
      </c>
      <c r="F1778" t="s">
        <v>10</v>
      </c>
      <c r="G1778" t="str" cm="1">
        <f t="array" ref="G1778">FindCountryName(F1778)</f>
        <v>None</v>
      </c>
      <c r="H1778" s="3">
        <v>45157.571203703701</v>
      </c>
      <c r="I1778" s="3">
        <v>45157.571192129632</v>
      </c>
      <c r="J1778" s="3">
        <v>42637.009016203701</v>
      </c>
      <c r="K1778" cm="1">
        <f t="array" ref="K1778">sentimentCalc(C1778)</f>
        <v>2</v>
      </c>
      <c r="L1778" t="str" cm="1">
        <f t="array" ref="L1778">sentimentCategory(K1778)</f>
        <v>Positive</v>
      </c>
    </row>
    <row r="1779" spans="1:12" x14ac:dyDescent="0.25">
      <c r="A1779" t="s">
        <v>3404</v>
      </c>
      <c r="B1779" t="s">
        <v>3405</v>
      </c>
      <c r="C1779" t="str" cm="1">
        <f t="array" ref="C1779">CleanText(B1779)</f>
        <v>if you like stupidity then this movie is for you</v>
      </c>
      <c r="D1779">
        <v>2</v>
      </c>
      <c r="E1779">
        <v>0</v>
      </c>
      <c r="F1779" t="s">
        <v>10</v>
      </c>
      <c r="G1779" t="str" cm="1">
        <f t="array" ref="G1779">FindCountryName(F1779)</f>
        <v>None</v>
      </c>
      <c r="H1779" s="3">
        <v>45149.273495370369</v>
      </c>
      <c r="I1779" s="3">
        <v>45149.2734837963</v>
      </c>
      <c r="J1779" s="3">
        <v>40796.682534722226</v>
      </c>
      <c r="K1779" cm="1">
        <f t="array" ref="K1779">sentimentCalc(C1779)</f>
        <v>2</v>
      </c>
      <c r="L1779" t="str" cm="1">
        <f t="array" ref="L1779">sentimentCategory(K1779)</f>
        <v>Positive</v>
      </c>
    </row>
    <row r="1780" spans="1:12" x14ac:dyDescent="0.25">
      <c r="A1780" t="s">
        <v>2347</v>
      </c>
      <c r="B1780" t="s">
        <v>2348</v>
      </c>
      <c r="C1780" t="str" cm="1">
        <f t="array" ref="C1780">CleanText(B1780)</f>
        <v>if you love barbi this movie is for you if you hate barbi this movie is more for you</v>
      </c>
      <c r="D1780">
        <v>1</v>
      </c>
      <c r="E1780">
        <v>0</v>
      </c>
      <c r="F1780" t="s">
        <v>10</v>
      </c>
      <c r="G1780" t="str" cm="1">
        <f t="array" ref="G1780">FindCountryName(F1780)</f>
        <v>None</v>
      </c>
      <c r="H1780" s="3">
        <v>45171.406539351854</v>
      </c>
      <c r="I1780" s="3">
        <v>45171.406539351854</v>
      </c>
      <c r="J1780" s="3">
        <v>44872.260196759256</v>
      </c>
      <c r="K1780" cm="1">
        <f t="array" ref="K1780">sentimentCalc(C1780)</f>
        <v>0</v>
      </c>
      <c r="L1780" t="str" cm="1">
        <f t="array" ref="L1780">sentimentCategory(K1780)</f>
        <v>Neutral</v>
      </c>
    </row>
    <row r="1781" spans="1:12" x14ac:dyDescent="0.25">
      <c r="A1781" t="s">
        <v>28</v>
      </c>
      <c r="B1781" t="s">
        <v>1721</v>
      </c>
      <c r="C1781" t="str" cm="1">
        <f t="array" ref="C1781">CleanText(B1781)</f>
        <v>if you love barbie this movie is for you if you hate barbie this movie is for you wise words</v>
      </c>
      <c r="D1781">
        <v>1</v>
      </c>
      <c r="E1781">
        <v>0</v>
      </c>
      <c r="F1781" t="s">
        <v>10</v>
      </c>
      <c r="G1781" t="str" cm="1">
        <f t="array" ref="G1781">FindCountryName(F1781)</f>
        <v>None</v>
      </c>
      <c r="H1781" s="3">
        <v>45199.491273148145</v>
      </c>
      <c r="I1781" s="3">
        <v>45199.491273148145</v>
      </c>
      <c r="J1781" s="3">
        <v>44159.017407407409</v>
      </c>
      <c r="K1781" cm="1">
        <f t="array" ref="K1781">sentimentCalc(C1781)</f>
        <v>0</v>
      </c>
      <c r="L1781" t="str" cm="1">
        <f t="array" ref="L1781">sentimentCategory(K1781)</f>
        <v>Neutral</v>
      </c>
    </row>
    <row r="1782" spans="1:12" x14ac:dyDescent="0.25">
      <c r="A1782" t="s">
        <v>549</v>
      </c>
      <c r="B1782" t="s">
        <v>3242</v>
      </c>
      <c r="C1782" t="str" cm="1">
        <f t="array" ref="C1782">CleanText(B1782)</f>
        <v>if you love barbiethis movie is for youif you hate barbiethis movie is for you</v>
      </c>
      <c r="D1782">
        <v>0</v>
      </c>
      <c r="E1782">
        <v>0</v>
      </c>
      <c r="F1782" t="s">
        <v>10</v>
      </c>
      <c r="G1782" t="str" cm="1">
        <f t="array" ref="G1782">FindCountryName(F1782)</f>
        <v>None</v>
      </c>
      <c r="H1782" s="3">
        <v>45151.408043981479</v>
      </c>
      <c r="I1782" s="3">
        <v>45151.408043981479</v>
      </c>
      <c r="J1782" s="3">
        <v>44836.733113425929</v>
      </c>
      <c r="K1782" cm="1">
        <f t="array" ref="K1782">sentimentCalc(C1782)</f>
        <v>0</v>
      </c>
      <c r="L1782" t="str" cm="1">
        <f t="array" ref="L1782">sentimentCategory(K1782)</f>
        <v>Neutral</v>
      </c>
    </row>
    <row r="1783" spans="1:12" x14ac:dyDescent="0.25">
      <c r="A1783" t="s">
        <v>1946</v>
      </c>
      <c r="B1783" t="s">
        <v>1947</v>
      </c>
      <c r="C1783" t="str" cm="1">
        <f t="array" ref="C1783">CleanText(B1783)</f>
        <v>if you love the barbie movie this movies for you if you hate the barbie movie this movie is for youthats so funny</v>
      </c>
      <c r="D1783">
        <v>0</v>
      </c>
      <c r="E1783">
        <v>0</v>
      </c>
      <c r="F1783" t="s">
        <v>10</v>
      </c>
      <c r="G1783" t="str" cm="1">
        <f t="array" ref="G1783">FindCountryName(F1783)</f>
        <v>None</v>
      </c>
      <c r="H1783" s="3">
        <v>45186.908043981479</v>
      </c>
      <c r="I1783" s="3">
        <v>45186.908043981479</v>
      </c>
      <c r="J1783" s="3">
        <v>45168.956412037034</v>
      </c>
      <c r="K1783" cm="1">
        <f t="array" ref="K1783">sentimentCalc(C1783)</f>
        <v>4</v>
      </c>
      <c r="L1783" t="str" cm="1">
        <f t="array" ref="L1783">sentimentCategory(K1783)</f>
        <v>Positive</v>
      </c>
    </row>
    <row r="1784" spans="1:12" x14ac:dyDescent="0.25">
      <c r="A1784" t="s">
        <v>1368</v>
      </c>
      <c r="B1784" t="s">
        <v>3842</v>
      </c>
      <c r="C1784" t="str" cm="1">
        <f t="array" ref="C1784">CleanText(B1784)</f>
        <v>if you lust barbie this movie is for you</v>
      </c>
      <c r="D1784">
        <v>0</v>
      </c>
      <c r="E1784">
        <v>0</v>
      </c>
      <c r="F1784" t="s">
        <v>10</v>
      </c>
      <c r="G1784" t="str" cm="1">
        <f t="array" ref="G1784">FindCountryName(F1784)</f>
        <v>None</v>
      </c>
      <c r="H1784" s="3">
        <v>45145.040370370371</v>
      </c>
      <c r="I1784" s="3">
        <v>45145.040370370371</v>
      </c>
      <c r="J1784" s="3">
        <v>44731.222071759257</v>
      </c>
      <c r="K1784" cm="1">
        <f t="array" ref="K1784">sentimentCalc(C1784)</f>
        <v>0</v>
      </c>
      <c r="L1784" t="str" cm="1">
        <f t="array" ref="L1784">sentimentCategory(K1784)</f>
        <v>Neutral</v>
      </c>
    </row>
    <row r="1785" spans="1:12" x14ac:dyDescent="0.25">
      <c r="A1785" t="s">
        <v>817</v>
      </c>
      <c r="B1785" t="s">
        <v>4031</v>
      </c>
      <c r="C1785" t="str" cm="1">
        <f t="array" ref="C1785">CleanText(B1785)</f>
        <v>if you simp for barbie give this comment a like</v>
      </c>
      <c r="D1785">
        <v>4</v>
      </c>
      <c r="E1785">
        <v>0</v>
      </c>
      <c r="F1785" t="s">
        <v>227</v>
      </c>
      <c r="G1785" t="str" cm="1">
        <f t="array" ref="G1785">FindCountryName(F1785)</f>
        <v>United States of America (the)</v>
      </c>
      <c r="H1785" s="3">
        <v>45143.554189814815</v>
      </c>
      <c r="I1785" s="3">
        <v>45143.554189814815</v>
      </c>
      <c r="J1785" s="3">
        <v>44500.34778935185</v>
      </c>
      <c r="K1785" cm="1">
        <f t="array" ref="K1785">sentimentCalc(C1785)</f>
        <v>2</v>
      </c>
      <c r="L1785" t="str" cm="1">
        <f t="array" ref="L1785">sentimentCategory(K1785)</f>
        <v>Positive</v>
      </c>
    </row>
    <row r="1786" spans="1:12" x14ac:dyDescent="0.25">
      <c r="A1786" t="s">
        <v>871</v>
      </c>
      <c r="B1786" t="s">
        <v>3732</v>
      </c>
      <c r="C1786" t="str" cm="1">
        <f t="array" ref="C1786">CleanText(B1786)</f>
        <v>if you support oppenheimer then like</v>
      </c>
      <c r="D1786">
        <v>3</v>
      </c>
      <c r="E1786">
        <v>0</v>
      </c>
      <c r="F1786" t="s">
        <v>10</v>
      </c>
      <c r="G1786" t="str" cm="1">
        <f t="array" ref="G1786">FindCountryName(F1786)</f>
        <v>None</v>
      </c>
      <c r="H1786" s="3">
        <v>45145.966203703705</v>
      </c>
      <c r="I1786" s="3">
        <v>45145.966203703705</v>
      </c>
      <c r="J1786" s="3">
        <v>44461.443055555559</v>
      </c>
      <c r="K1786" cm="1">
        <f t="array" ref="K1786">sentimentCalc(C1786)</f>
        <v>4</v>
      </c>
      <c r="L1786" t="str" cm="1">
        <f t="array" ref="L1786">sentimentCategory(K1786)</f>
        <v>Positive</v>
      </c>
    </row>
    <row r="1787" spans="1:12" x14ac:dyDescent="0.25">
      <c r="A1787" t="s">
        <v>1244</v>
      </c>
      <c r="B1787" t="s">
        <v>2017</v>
      </c>
      <c r="C1787" t="str" cm="1">
        <f t="array" ref="C1787">CleanText(B1787)</f>
        <v>if you think trailer is worst then u need to know that its way better than the movie</v>
      </c>
      <c r="D1787">
        <v>3</v>
      </c>
      <c r="E1787">
        <v>0</v>
      </c>
      <c r="F1787" t="s">
        <v>10</v>
      </c>
      <c r="G1787" t="str" cm="1">
        <f t="array" ref="G1787">FindCountryName(F1787)</f>
        <v>None</v>
      </c>
      <c r="H1787" s="3">
        <v>45184.309131944443</v>
      </c>
      <c r="I1787" s="3">
        <v>45184.309131944443</v>
      </c>
      <c r="J1787" s="3">
        <v>44259.139039351852</v>
      </c>
      <c r="K1787" cm="1">
        <f t="array" ref="K1787">sentimentCalc(C1787)</f>
        <v>-1</v>
      </c>
      <c r="L1787" t="str" cm="1">
        <f t="array" ref="L1787">sentimentCategory(K1787)</f>
        <v>Negative</v>
      </c>
    </row>
    <row r="1788" spans="1:12" x14ac:dyDescent="0.25">
      <c r="A1788" t="s">
        <v>3998</v>
      </c>
      <c r="B1788" t="s">
        <v>3999</v>
      </c>
      <c r="C1788" t="str" cm="1">
        <f t="array" ref="C1788">CleanText(B1788)</f>
        <v>if you want to lose brain cells watch this movie</v>
      </c>
      <c r="D1788">
        <v>0</v>
      </c>
      <c r="E1788">
        <v>0</v>
      </c>
      <c r="F1788" t="s">
        <v>10</v>
      </c>
      <c r="G1788" t="str" cm="1">
        <f t="array" ref="G1788">FindCountryName(F1788)</f>
        <v>None</v>
      </c>
      <c r="H1788" s="3">
        <v>45143.850324074076</v>
      </c>
      <c r="I1788" s="3">
        <v>45143.850324074076</v>
      </c>
      <c r="J1788" s="3">
        <v>44641.897210648145</v>
      </c>
      <c r="K1788" cm="1">
        <f t="array" ref="K1788">sentimentCalc(C1788)</f>
        <v>1</v>
      </c>
      <c r="L1788" t="str" cm="1">
        <f t="array" ref="L1788">sentimentCategory(K1788)</f>
        <v>Positive</v>
      </c>
    </row>
    <row r="1789" spans="1:12" x14ac:dyDescent="0.25">
      <c r="A1789" t="s">
        <v>2792</v>
      </c>
      <c r="B1789" t="s">
        <v>2793</v>
      </c>
      <c r="C1789" t="str" cm="1">
        <f t="array" ref="C1789">CleanText(B1789)</f>
        <v>if youre a feminist this movie is for you</v>
      </c>
      <c r="D1789">
        <v>0</v>
      </c>
      <c r="E1789">
        <v>0</v>
      </c>
      <c r="F1789" t="s">
        <v>10</v>
      </c>
      <c r="G1789" t="str" cm="1">
        <f t="array" ref="G1789">FindCountryName(F1789)</f>
        <v>None</v>
      </c>
      <c r="H1789" s="3">
        <v>45157.799016203702</v>
      </c>
      <c r="I1789" s="3">
        <v>45157.799016203702</v>
      </c>
      <c r="J1789" s="3">
        <v>43742.572233796294</v>
      </c>
      <c r="K1789" cm="1">
        <f t="array" ref="K1789">sentimentCalc(C1789)</f>
        <v>0</v>
      </c>
      <c r="L1789" t="str" cm="1">
        <f t="array" ref="L1789">sentimentCategory(K1789)</f>
        <v>Neutral</v>
      </c>
    </row>
    <row r="1790" spans="1:12" x14ac:dyDescent="0.25">
      <c r="A1790" t="s">
        <v>1039</v>
      </c>
      <c r="B1790" t="s">
        <v>1040</v>
      </c>
      <c r="C1790" t="str" cm="1">
        <f t="array" ref="C1790">CleanText(B1790)</f>
        <v>if youre a man do not watch this its not because its not manly its because it will make you depressed and feel bad for being a guy if youre a woman go ahead and watch it i dont care this is the one chick flick that women shouldnt make their boyfriends or husbands watchthe film is well done though</v>
      </c>
      <c r="D1790">
        <v>0</v>
      </c>
      <c r="E1790">
        <v>2</v>
      </c>
      <c r="F1790" t="s">
        <v>227</v>
      </c>
      <c r="G1790" t="str" cm="1">
        <f t="array" ref="G1790">FindCountryName(F1790)</f>
        <v>United States of America (the)</v>
      </c>
      <c r="H1790" s="3">
        <v>45298.562939814816</v>
      </c>
      <c r="I1790" s="3">
        <v>45298.562939814816</v>
      </c>
      <c r="J1790" s="3">
        <v>41304.730300925927</v>
      </c>
      <c r="K1790" cm="1">
        <f t="array" ref="K1790">sentimentCalc(C1790)</f>
        <v>-3</v>
      </c>
      <c r="L1790" t="str" cm="1">
        <f t="array" ref="L1790">sentimentCategory(K1790)</f>
        <v>Negative</v>
      </c>
    </row>
    <row r="1791" spans="1:12" x14ac:dyDescent="0.25">
      <c r="A1791" t="s">
        <v>2179</v>
      </c>
      <c r="B1791" t="s">
        <v>2180</v>
      </c>
      <c r="C1791" t="str" cm="1">
        <f t="array" ref="C1791">CleanText(B1791)</f>
        <v>if youre older than  and this is now your favorite movie  thats not good</v>
      </c>
      <c r="D1791">
        <v>2</v>
      </c>
      <c r="E1791">
        <v>2</v>
      </c>
      <c r="F1791" t="s">
        <v>10</v>
      </c>
      <c r="G1791" t="str" cm="1">
        <f t="array" ref="G1791">FindCountryName(F1791)</f>
        <v>None</v>
      </c>
      <c r="H1791" s="3">
        <v>45176.870682870373</v>
      </c>
      <c r="I1791" s="3">
        <v>45176.870682870373</v>
      </c>
      <c r="J1791" s="3">
        <v>39766.133645833332</v>
      </c>
      <c r="K1791" cm="1">
        <f t="array" ref="K1791">sentimentCalc(C1791)</f>
        <v>5</v>
      </c>
      <c r="L1791" t="str" cm="1">
        <f t="array" ref="L1791">sentimentCategory(K1791)</f>
        <v>Positive</v>
      </c>
    </row>
    <row r="1792" spans="1:12" x14ac:dyDescent="0.25">
      <c r="A1792" t="s">
        <v>1193</v>
      </c>
      <c r="B1792" t="s">
        <v>1194</v>
      </c>
      <c r="C1792" t="str" cm="1">
        <f t="array" ref="C1792">CleanText(B1792)</f>
        <v>ignorant garbage</v>
      </c>
      <c r="D1792">
        <v>5</v>
      </c>
      <c r="E1792">
        <v>2</v>
      </c>
      <c r="F1792" t="s">
        <v>227</v>
      </c>
      <c r="G1792" t="str" cm="1">
        <f t="array" ref="G1792">FindCountryName(F1792)</f>
        <v>United States of America (the)</v>
      </c>
      <c r="H1792" s="3">
        <v>45278.468923611108</v>
      </c>
      <c r="I1792" s="3">
        <v>45278.468923611108</v>
      </c>
      <c r="J1792" s="3">
        <v>43748.74291666667</v>
      </c>
      <c r="K1792" cm="1">
        <f t="array" ref="K1792">sentimentCalc(C1792)</f>
        <v>-2</v>
      </c>
      <c r="L1792" t="str" cm="1">
        <f t="array" ref="L1792">sentimentCategory(K1792)</f>
        <v>Negative</v>
      </c>
    </row>
    <row r="1793" spans="1:12" x14ac:dyDescent="0.25">
      <c r="A1793" t="s">
        <v>245</v>
      </c>
      <c r="B1793" t="s">
        <v>1584</v>
      </c>
      <c r="C1793" t="str" cm="1">
        <f t="array" ref="C1793">CleanText(B1793)</f>
        <v>ihr zwei seit groartig</v>
      </c>
      <c r="D1793">
        <v>0</v>
      </c>
      <c r="E1793">
        <v>0</v>
      </c>
      <c r="F1793" t="s">
        <v>1585</v>
      </c>
      <c r="G1793" t="str" cm="1">
        <f t="array" ref="G1793">FindCountryName(F1793)</f>
        <v>Austria</v>
      </c>
      <c r="H1793" s="3">
        <v>45212.62395833333</v>
      </c>
      <c r="I1793" s="3">
        <v>45212.62395833333</v>
      </c>
      <c r="J1793" s="3">
        <v>40395.652858796297</v>
      </c>
      <c r="K1793" cm="1">
        <f t="array" ref="K1793">sentimentCalc(C1793)</f>
        <v>0</v>
      </c>
      <c r="L1793" t="str" cm="1">
        <f t="array" ref="L1793">sentimentCategory(K1793)</f>
        <v>Neutral</v>
      </c>
    </row>
    <row r="1794" spans="1:12" x14ac:dyDescent="0.25">
      <c r="A1794" t="s">
        <v>442</v>
      </c>
      <c r="B1794" t="s">
        <v>1362</v>
      </c>
      <c r="C1794" t="str" cm="1">
        <f t="array" ref="C1794">CleanText(B1794)</f>
        <v>ill never watch another ryan gosling movie again very disappointed in him barbie wrecked him hes overrated anyways</v>
      </c>
      <c r="D1794">
        <v>0</v>
      </c>
      <c r="E1794">
        <v>3</v>
      </c>
      <c r="F1794" t="s">
        <v>10</v>
      </c>
      <c r="G1794" t="str" cm="1">
        <f t="array" ref="G1794">FindCountryName(F1794)</f>
        <v>None</v>
      </c>
      <c r="H1794" s="3">
        <v>45239.858969907407</v>
      </c>
      <c r="I1794" s="3">
        <v>45239.858969907407</v>
      </c>
      <c r="J1794" s="3">
        <v>44849.741111111114</v>
      </c>
      <c r="K1794" cm="1">
        <f t="array" ref="K1794">sentimentCalc(C1794)</f>
        <v>-4</v>
      </c>
      <c r="L1794" t="str" cm="1">
        <f t="array" ref="L1794">sentimentCategory(K1794)</f>
        <v>Negative</v>
      </c>
    </row>
    <row r="1795" spans="1:12" x14ac:dyDescent="0.25">
      <c r="A1795" t="s">
        <v>41</v>
      </c>
      <c r="B1795" t="s">
        <v>1690</v>
      </c>
      <c r="C1795" t="str" cm="1">
        <f t="array" ref="C1795">CleanText(B1795)</f>
        <v>ill put that barbie in you pic</v>
      </c>
      <c r="D1795">
        <v>0</v>
      </c>
      <c r="E1795">
        <v>0</v>
      </c>
      <c r="F1795" t="s">
        <v>10</v>
      </c>
      <c r="G1795" t="str" cm="1">
        <f t="array" ref="G1795">FindCountryName(F1795)</f>
        <v>None</v>
      </c>
      <c r="H1795" s="3">
        <v>45201.590729166666</v>
      </c>
      <c r="I1795" s="3">
        <v>45201.590729166666</v>
      </c>
      <c r="J1795" s="3">
        <v>45201.567013888889</v>
      </c>
      <c r="K1795" cm="1">
        <f t="array" ref="K1795">sentimentCalc(C1795)</f>
        <v>-2</v>
      </c>
      <c r="L1795" t="str" cm="1">
        <f t="array" ref="L1795">sentimentCategory(K1795)</f>
        <v>Negative</v>
      </c>
    </row>
    <row r="1796" spans="1:12" x14ac:dyDescent="0.25">
      <c r="A1796" t="s">
        <v>282</v>
      </c>
      <c r="B1796" t="s">
        <v>3597</v>
      </c>
      <c r="C1796" t="str" cm="1">
        <f t="array" ref="C1796">CleanText(B1796)</f>
        <v>ilouyaucfh</v>
      </c>
      <c r="D1796">
        <v>0</v>
      </c>
      <c r="E1796">
        <v>0</v>
      </c>
      <c r="F1796" t="s">
        <v>10</v>
      </c>
      <c r="G1796" t="str" cm="1">
        <f t="array" ref="G1796">FindCountryName(F1796)</f>
        <v>None</v>
      </c>
      <c r="H1796" s="3">
        <v>45147.270509259259</v>
      </c>
      <c r="I1796" s="3">
        <v>45147.270509259259</v>
      </c>
      <c r="J1796" s="3">
        <v>44859.165543981479</v>
      </c>
      <c r="K1796" cm="1">
        <f t="array" ref="K1796">sentimentCalc(C1796)</f>
        <v>0</v>
      </c>
      <c r="L1796" t="str" cm="1">
        <f t="array" ref="L1796">sentimentCategory(K1796)</f>
        <v>Neutral</v>
      </c>
    </row>
    <row r="1797" spans="1:12" x14ac:dyDescent="0.25">
      <c r="A1797" t="s">
        <v>201</v>
      </c>
      <c r="B1797" t="s">
        <v>2962</v>
      </c>
      <c r="C1797" t="str" cm="1">
        <f t="array" ref="C1797">CleanText(B1797)</f>
        <v>ilove you barbi</v>
      </c>
      <c r="D1797">
        <v>0</v>
      </c>
      <c r="E1797">
        <v>0</v>
      </c>
      <c r="F1797" t="s">
        <v>10</v>
      </c>
      <c r="G1797" t="str" cm="1">
        <f t="array" ref="G1797">FindCountryName(F1797)</f>
        <v>None</v>
      </c>
      <c r="H1797" s="3">
        <v>45155.413425925923</v>
      </c>
      <c r="I1797" s="3">
        <v>45155.413425925923</v>
      </c>
      <c r="J1797" s="3">
        <v>45024.464050925926</v>
      </c>
      <c r="K1797" cm="1">
        <f t="array" ref="K1797">sentimentCalc(C1797)</f>
        <v>0</v>
      </c>
      <c r="L1797" t="str" cm="1">
        <f t="array" ref="L1797">sentimentCategory(K1797)</f>
        <v>Neutral</v>
      </c>
    </row>
    <row r="1798" spans="1:12" x14ac:dyDescent="0.25">
      <c r="A1798" t="s">
        <v>3362</v>
      </c>
      <c r="B1798" t="s">
        <v>3363</v>
      </c>
      <c r="C1798" t="str" cm="1">
        <f t="array" ref="C1798">CleanText(B1798)</f>
        <v>ilove you barbie</v>
      </c>
      <c r="D1798">
        <v>1</v>
      </c>
      <c r="E1798">
        <v>0</v>
      </c>
      <c r="F1798" t="s">
        <v>10</v>
      </c>
      <c r="G1798" t="str" cm="1">
        <f t="array" ref="G1798">FindCountryName(F1798)</f>
        <v>None</v>
      </c>
      <c r="H1798" s="3">
        <v>45149.641076388885</v>
      </c>
      <c r="I1798" s="3">
        <v>45149.641076388885</v>
      </c>
      <c r="J1798" s="3">
        <v>44495.553668981483</v>
      </c>
      <c r="K1798" cm="1">
        <f t="array" ref="K1798">sentimentCalc(C1798)</f>
        <v>0</v>
      </c>
      <c r="L1798" t="str" cm="1">
        <f t="array" ref="L1798">sentimentCategory(K1798)</f>
        <v>Neutral</v>
      </c>
    </row>
    <row r="1799" spans="1:12" x14ac:dyDescent="0.25">
      <c r="A1799" t="s">
        <v>358</v>
      </c>
      <c r="B1799" t="s">
        <v>3088</v>
      </c>
      <c r="C1799" t="str" cm="1">
        <f t="array" ref="C1799">CleanText(B1799)</f>
        <v>iluv how they showed the movie in one trailer</v>
      </c>
      <c r="D1799">
        <v>0</v>
      </c>
      <c r="E1799">
        <v>2</v>
      </c>
      <c r="F1799" t="s">
        <v>10</v>
      </c>
      <c r="G1799" t="str" cm="1">
        <f t="array" ref="G1799">FindCountryName(F1799)</f>
        <v>None</v>
      </c>
      <c r="H1799" s="3">
        <v>45153.590682870374</v>
      </c>
      <c r="I1799" s="3">
        <v>45153.590682870374</v>
      </c>
      <c r="J1799" s="3">
        <v>44551.61891203704</v>
      </c>
      <c r="K1799" cm="1">
        <f t="array" ref="K1799">sentimentCalc(C1799)</f>
        <v>0</v>
      </c>
      <c r="L1799" t="str" cm="1">
        <f t="array" ref="L1799">sentimentCategory(K1799)</f>
        <v>Neutral</v>
      </c>
    </row>
    <row r="1800" spans="1:12" x14ac:dyDescent="0.25">
      <c r="A1800" t="s">
        <v>4186</v>
      </c>
      <c r="B1800" t="s">
        <v>4187</v>
      </c>
      <c r="C1800" t="str" cm="1">
        <f t="array" ref="C1800">CleanText(B1800)</f>
        <v>im  and i watched this movie yesterday with my parents it was absolutely incredible the message was amazing the cinematography effects sets were a  the actors were a  and margot robbie was  made for this role huge thanks to the filming teamproducersactors and actresses and the queen herself miss margot robbie for creating this master pierce</v>
      </c>
      <c r="D1800">
        <v>1</v>
      </c>
      <c r="E1800">
        <v>1</v>
      </c>
      <c r="F1800" t="s">
        <v>10</v>
      </c>
      <c r="G1800" t="str" cm="1">
        <f t="array" ref="G1800">FindCountryName(F1800)</f>
        <v>None</v>
      </c>
      <c r="H1800" s="3">
        <v>45142.16846064815</v>
      </c>
      <c r="I1800" s="3">
        <v>45142.16846064815</v>
      </c>
      <c r="J1800" s="3">
        <v>44921.249872685185</v>
      </c>
      <c r="K1800" cm="1">
        <f t="array" ref="K1800">sentimentCalc(C1800)</f>
        <v>5</v>
      </c>
      <c r="L1800" t="str" cm="1">
        <f t="array" ref="L1800">sentimentCategory(K1800)</f>
        <v>Positive</v>
      </c>
    </row>
    <row r="1801" spans="1:12" x14ac:dyDescent="0.25">
      <c r="A1801" t="s">
        <v>444</v>
      </c>
      <c r="B1801" t="s">
        <v>1038</v>
      </c>
      <c r="C1801" t="str" cm="1">
        <f t="array" ref="C1801">CleanText(B1801)</f>
        <v>im a barbie girl in a barbie world of plastic its fantastic you can brush my hair and grizzly everywhere imagination life is your</v>
      </c>
      <c r="D1801">
        <v>0</v>
      </c>
      <c r="E1801">
        <v>0</v>
      </c>
      <c r="F1801" t="s">
        <v>10</v>
      </c>
      <c r="G1801" t="str" cm="1">
        <f t="array" ref="G1801">FindCountryName(F1801)</f>
        <v>None</v>
      </c>
      <c r="H1801" s="3">
        <v>45298.787210648145</v>
      </c>
      <c r="I1801" s="3">
        <v>45298.787210648145</v>
      </c>
      <c r="J1801" s="3">
        <v>45270.810486111113</v>
      </c>
      <c r="K1801" cm="1">
        <f t="array" ref="K1801">sentimentCalc(C1801)</f>
        <v>4</v>
      </c>
      <c r="L1801" t="str" cm="1">
        <f t="array" ref="L1801">sentimentCategory(K1801)</f>
        <v>Positive</v>
      </c>
    </row>
    <row r="1802" spans="1:12" x14ac:dyDescent="0.25">
      <c r="A1802" t="s">
        <v>432</v>
      </c>
      <c r="B1802" t="s">
        <v>4200</v>
      </c>
      <c r="C1802" t="str" cm="1">
        <f t="array" ref="C1802">CleanText(B1802)</f>
        <v>im a barbie girl in the barbie world</v>
      </c>
      <c r="D1802">
        <v>1</v>
      </c>
      <c r="E1802">
        <v>0</v>
      </c>
      <c r="F1802" t="s">
        <v>10</v>
      </c>
      <c r="G1802" t="str" cm="1">
        <f t="array" ref="G1802">FindCountryName(F1802)</f>
        <v>None</v>
      </c>
      <c r="H1802" s="3">
        <v>45141.984224537038</v>
      </c>
      <c r="I1802" s="3">
        <v>45141.984224537038</v>
      </c>
      <c r="J1802" s="3">
        <v>44618.90552083333</v>
      </c>
      <c r="K1802" cm="1">
        <f t="array" ref="K1802">sentimentCalc(C1802)</f>
        <v>0</v>
      </c>
      <c r="L1802" t="str" cm="1">
        <f t="array" ref="L1802">sentimentCategory(K1802)</f>
        <v>Neutral</v>
      </c>
    </row>
    <row r="1803" spans="1:12" x14ac:dyDescent="0.25">
      <c r="A1803" t="s">
        <v>600</v>
      </c>
      <c r="B1803" t="s">
        <v>2740</v>
      </c>
      <c r="C1803" t="str" cm="1">
        <f t="array" ref="C1803">CleanText(B1803)</f>
        <v>im a barbie girl in patriarchal worldlife is just oppression i learned my lessonall of men are bad my life is so saaaada femanazi hive mind all the bs do is whinecmon barbie lets protest patriarchy</v>
      </c>
      <c r="D1803">
        <v>0</v>
      </c>
      <c r="E1803">
        <v>0</v>
      </c>
      <c r="F1803" t="s">
        <v>10</v>
      </c>
      <c r="G1803" t="str" cm="1">
        <f t="array" ref="G1803">FindCountryName(F1803)</f>
        <v>None</v>
      </c>
      <c r="H1803" s="3">
        <v>45158.790208333332</v>
      </c>
      <c r="I1803" s="3">
        <v>45158.790208333332</v>
      </c>
      <c r="J1803" s="3">
        <v>44819.697847222225</v>
      </c>
      <c r="K1803" cm="1">
        <f t="array" ref="K1803">sentimentCalc(C1803)</f>
        <v>-5</v>
      </c>
      <c r="L1803" t="str" cm="1">
        <f t="array" ref="L1803">sentimentCategory(K1803)</f>
        <v>Negative</v>
      </c>
    </row>
    <row r="1804" spans="1:12" x14ac:dyDescent="0.25">
      <c r="A1804" t="s">
        <v>1747</v>
      </c>
      <c r="B1804" t="s">
        <v>1748</v>
      </c>
      <c r="C1804" t="str" cm="1">
        <f t="array" ref="C1804">CleanText(B1804)</f>
        <v>im a man  years old and i love barbie great film saw it  times incredible story i cried too</v>
      </c>
      <c r="D1804">
        <v>541</v>
      </c>
      <c r="E1804">
        <v>24</v>
      </c>
      <c r="F1804" t="s">
        <v>10</v>
      </c>
      <c r="G1804" t="str" cm="1">
        <f t="array" ref="G1804">FindCountryName(F1804)</f>
        <v>None</v>
      </c>
      <c r="H1804" s="3">
        <v>45197.401631944442</v>
      </c>
      <c r="I1804" s="3">
        <v>45197.401631944442</v>
      </c>
      <c r="J1804" s="3">
        <v>40374.695810185185</v>
      </c>
      <c r="K1804" cm="1">
        <f t="array" ref="K1804">sentimentCalc(C1804)</f>
        <v>4</v>
      </c>
      <c r="L1804" t="str" cm="1">
        <f t="array" ref="L1804">sentimentCategory(K1804)</f>
        <v>Positive</v>
      </c>
    </row>
    <row r="1805" spans="1:12" x14ac:dyDescent="0.25">
      <c r="A1805" t="s">
        <v>553</v>
      </c>
      <c r="B1805" t="s">
        <v>4477</v>
      </c>
      <c r="C1805" t="str" cm="1">
        <f t="array" ref="C1805">CleanText(B1805)</f>
        <v>im a mikey boi liveing in a mikey world</v>
      </c>
      <c r="D1805">
        <v>1</v>
      </c>
      <c r="E1805">
        <v>0</v>
      </c>
      <c r="F1805" t="s">
        <v>10</v>
      </c>
      <c r="G1805" t="str" cm="1">
        <f t="array" ref="G1805">FindCountryName(F1805)</f>
        <v>None</v>
      </c>
      <c r="H1805" s="3">
        <v>45140.015648148146</v>
      </c>
      <c r="I1805" s="3">
        <v>45140.015648148146</v>
      </c>
      <c r="J1805" s="3">
        <v>41823.9684837963</v>
      </c>
      <c r="K1805" cm="1">
        <f t="array" ref="K1805">sentimentCalc(C1805)</f>
        <v>0</v>
      </c>
      <c r="L1805" t="str" cm="1">
        <f t="array" ref="L1805">sentimentCategory(K1805)</f>
        <v>Neutral</v>
      </c>
    </row>
    <row r="1806" spans="1:12" x14ac:dyDescent="0.25">
      <c r="A1806" t="s">
        <v>810</v>
      </c>
      <c r="B1806" t="s">
        <v>811</v>
      </c>
      <c r="C1806" t="str" cm="1">
        <f t="array" ref="C1806">CleanText(B1806)</f>
        <v>im aware this will be an extreme outlier opinion but it is minei got myself to watch barbie yesterday just to see what all the hype of the year was aboutdue respect to ms gerwig and her cast and crew that worked to make the film i didnt like it nor was i oh my god blown away by it the reader adapted from the novel of the same name by bernhard schlink captivated my mind more than barbie didcouldmy mind cringed for the first  minutes to the point where i had to actually turn it off before being able to continue watching it againit felt that painful to watchi saw margot robbie smiling for nearly  hours granted she was playing stereotypical barbie but stilli saw pink and blonde and actors acting painfully nice which i suppose is typical for barbie charactersfiguresno i was not a barbie person though i grew up around the doll figurine i did some sports and video games and read booksthose sorts of thingyes i completely understood both the metaphorical sociocultural and gender roles narratives being included in the script respectively and the ways they were being challenged literally and figurativelyand yes i can acknowledge that making an existentialbased film utilizing doll figurines is a relatively new  quite bold idea even for current filmmakers to pursue eg spielberg del toro innaratu miller bigelow conn jackson yates nolan etchowever in my humble opinion the movie felt confusing quite back and forth and made me question why it made  or whatever it did ie multiple family members   ticketseveryone has their subjective opinion about what makes a good film good im no differenti was more intrigued by the boy and the heron by miyazakis studio ghibli than barbie respectfullythat is all</v>
      </c>
      <c r="D1806">
        <v>0</v>
      </c>
      <c r="E1806">
        <v>0</v>
      </c>
      <c r="F1806" t="s">
        <v>10</v>
      </c>
      <c r="G1806" t="str" cm="1">
        <f t="array" ref="G1806">FindCountryName(F1806)</f>
        <v>None</v>
      </c>
      <c r="H1806" s="3">
        <v>45306.448483796295</v>
      </c>
      <c r="I1806" s="3">
        <v>45306.448483796295</v>
      </c>
      <c r="J1806" s="3">
        <v>41113.743576388886</v>
      </c>
      <c r="K1806" cm="1">
        <f t="array" ref="K1806">sentimentCalc(C1806)</f>
        <v>20</v>
      </c>
      <c r="L1806" t="str" cm="1">
        <f t="array" ref="L1806">sentimentCategory(K1806)</f>
        <v>Positive</v>
      </c>
    </row>
    <row r="1807" spans="1:12" x14ac:dyDescent="0.25">
      <c r="A1807" t="s">
        <v>453</v>
      </c>
      <c r="B1807" t="s">
        <v>2956</v>
      </c>
      <c r="C1807" t="str" cm="1">
        <f t="array" ref="C1807">CleanText(B1807)</f>
        <v>im bangladeshi</v>
      </c>
      <c r="D1807">
        <v>0</v>
      </c>
      <c r="E1807">
        <v>0</v>
      </c>
      <c r="F1807" t="s">
        <v>10</v>
      </c>
      <c r="G1807" t="str" cm="1">
        <f t="array" ref="G1807">FindCountryName(F1807)</f>
        <v>None</v>
      </c>
      <c r="H1807" s="3">
        <v>45155.488912037035</v>
      </c>
      <c r="I1807" s="3">
        <v>45155.488912037035</v>
      </c>
      <c r="J1807" s="3">
        <v>44931.504918981482</v>
      </c>
      <c r="K1807" cm="1">
        <f t="array" ref="K1807">sentimentCalc(C1807)</f>
        <v>0</v>
      </c>
      <c r="L1807" t="str" cm="1">
        <f t="array" ref="L1807">sentimentCategory(K1807)</f>
        <v>Neutral</v>
      </c>
    </row>
    <row r="1808" spans="1:12" x14ac:dyDescent="0.25">
      <c r="A1808" t="s">
        <v>1798</v>
      </c>
      <c r="B1808" t="s">
        <v>2648</v>
      </c>
      <c r="C1808" t="str" cm="1">
        <f t="array" ref="C1808">CleanText(B1808)</f>
        <v>im barbie</v>
      </c>
      <c r="D1808">
        <v>1</v>
      </c>
      <c r="E1808">
        <v>0</v>
      </c>
      <c r="F1808" t="s">
        <v>10</v>
      </c>
      <c r="G1808" t="str" cm="1">
        <f t="array" ref="G1808">FindCountryName(F1808)</f>
        <v>None</v>
      </c>
      <c r="H1808" s="3">
        <v>45160.756030092591</v>
      </c>
      <c r="I1808" s="3">
        <v>45160.756030092591</v>
      </c>
      <c r="J1808" s="3">
        <v>42307.477858796294</v>
      </c>
      <c r="K1808" cm="1">
        <f t="array" ref="K1808">sentimentCalc(C1808)</f>
        <v>0</v>
      </c>
      <c r="L1808" t="str" cm="1">
        <f t="array" ref="L1808">sentimentCategory(K1808)</f>
        <v>Neutral</v>
      </c>
    </row>
    <row r="1809" spans="1:12" x14ac:dyDescent="0.25">
      <c r="A1809" t="s">
        <v>2794</v>
      </c>
      <c r="B1809" t="s">
        <v>2795</v>
      </c>
      <c r="C1809" t="str" cm="1">
        <f t="array" ref="C1809">CleanText(B1809)</f>
        <v>im barbie hater i hate barbie booo</v>
      </c>
      <c r="D1809">
        <v>1</v>
      </c>
      <c r="E1809">
        <v>0</v>
      </c>
      <c r="F1809" t="s">
        <v>10</v>
      </c>
      <c r="G1809" t="str" cm="1">
        <f t="array" ref="G1809">FindCountryName(F1809)</f>
        <v>None</v>
      </c>
      <c r="H1809" s="3">
        <v>45157.789606481485</v>
      </c>
      <c r="I1809" s="3">
        <v>45157.789606481485</v>
      </c>
      <c r="J1809" s="3">
        <v>44029.898263888892</v>
      </c>
      <c r="K1809" cm="1">
        <f t="array" ref="K1809">sentimentCalc(C1809)</f>
        <v>-3</v>
      </c>
      <c r="L1809" t="str" cm="1">
        <f t="array" ref="L1809">sentimentCategory(K1809)</f>
        <v>Negative</v>
      </c>
    </row>
    <row r="1810" spans="1:12" x14ac:dyDescent="0.25">
      <c r="A1810" t="s">
        <v>41</v>
      </c>
      <c r="B1810" t="s">
        <v>3444</v>
      </c>
      <c r="C1810" t="str" cm="1">
        <f t="array" ref="C1810">CleanText(B1810)</f>
        <v>im coming with u</v>
      </c>
      <c r="D1810">
        <v>0</v>
      </c>
      <c r="E1810">
        <v>0</v>
      </c>
      <c r="F1810" t="s">
        <v>10</v>
      </c>
      <c r="G1810" t="str" cm="1">
        <f t="array" ref="G1810">FindCountryName(F1810)</f>
        <v>None</v>
      </c>
      <c r="H1810" s="3">
        <v>45148.822465277779</v>
      </c>
      <c r="I1810" s="3">
        <v>45148.822465277779</v>
      </c>
      <c r="J1810" s="3">
        <v>45054.276377314818</v>
      </c>
      <c r="K1810" cm="1">
        <f t="array" ref="K1810">sentimentCalc(C1810)</f>
        <v>0</v>
      </c>
      <c r="L1810" t="str" cm="1">
        <f t="array" ref="L1810">sentimentCategory(K1810)</f>
        <v>Neutral</v>
      </c>
    </row>
    <row r="1811" spans="1:12" x14ac:dyDescent="0.25">
      <c r="A1811" t="s">
        <v>3666</v>
      </c>
      <c r="B1811" t="s">
        <v>3667</v>
      </c>
      <c r="C1811" t="str" cm="1">
        <f t="array" ref="C1811">CleanText(B1811)</f>
        <v>im glad ive always been indifferent to barbie</v>
      </c>
      <c r="D1811">
        <v>0</v>
      </c>
      <c r="E1811">
        <v>0</v>
      </c>
      <c r="F1811" t="s">
        <v>10</v>
      </c>
      <c r="G1811" t="str" cm="1">
        <f t="array" ref="G1811">FindCountryName(F1811)</f>
        <v>None</v>
      </c>
      <c r="H1811" s="3">
        <v>45146.643750000003</v>
      </c>
      <c r="I1811" s="3">
        <v>45146.643750000003</v>
      </c>
      <c r="J1811" s="3">
        <v>40799.433159722219</v>
      </c>
      <c r="K1811" cm="1">
        <f t="array" ref="K1811">sentimentCalc(C1811)</f>
        <v>1</v>
      </c>
      <c r="L1811" t="str" cm="1">
        <f t="array" ref="L1811">sentimentCategory(K1811)</f>
        <v>Positive</v>
      </c>
    </row>
    <row r="1812" spans="1:12" x14ac:dyDescent="0.25">
      <c r="A1812" t="s">
        <v>2299</v>
      </c>
      <c r="B1812" t="s">
        <v>2300</v>
      </c>
      <c r="C1812" t="str" cm="1">
        <f t="array" ref="C1812">CleanText(B1812)</f>
        <v>im going to watch it</v>
      </c>
      <c r="D1812">
        <v>4</v>
      </c>
      <c r="E1812">
        <v>0</v>
      </c>
      <c r="F1812" t="s">
        <v>10</v>
      </c>
      <c r="G1812" t="str" cm="1">
        <f t="array" ref="G1812">FindCountryName(F1812)</f>
        <v>None</v>
      </c>
      <c r="H1812" s="3">
        <v>45172.485752314817</v>
      </c>
      <c r="I1812" s="3">
        <v>45172.485752314817</v>
      </c>
      <c r="J1812" s="3">
        <v>45052.718854166669</v>
      </c>
      <c r="K1812" cm="1">
        <f t="array" ref="K1812">sentimentCalc(C1812)</f>
        <v>0</v>
      </c>
      <c r="L1812" t="str" cm="1">
        <f t="array" ref="L1812">sentimentCategory(K1812)</f>
        <v>Neutral</v>
      </c>
    </row>
    <row r="1813" spans="1:12" x14ac:dyDescent="0.25">
      <c r="A1813" t="s">
        <v>427</v>
      </c>
      <c r="B1813" t="s">
        <v>3676</v>
      </c>
      <c r="C1813" t="str" cm="1">
        <f t="array" ref="C1813">CleanText(B1813)</f>
        <v>im here after bts jimin instagram reel video</v>
      </c>
      <c r="D1813">
        <v>0</v>
      </c>
      <c r="E1813">
        <v>0</v>
      </c>
      <c r="F1813" t="s">
        <v>10</v>
      </c>
      <c r="G1813" t="str" cm="1">
        <f t="array" ref="G1813">FindCountryName(F1813)</f>
        <v>None</v>
      </c>
      <c r="H1813" s="3">
        <v>45146.531504629631</v>
      </c>
      <c r="I1813" s="3">
        <v>45146.531504629631</v>
      </c>
      <c r="J1813" s="3">
        <v>44298.62736111111</v>
      </c>
      <c r="K1813" cm="1">
        <f t="array" ref="K1813">sentimentCalc(C1813)</f>
        <v>0</v>
      </c>
      <c r="L1813" t="str" cm="1">
        <f t="array" ref="L1813">sentimentCategory(K1813)</f>
        <v>Neutral</v>
      </c>
    </row>
    <row r="1814" spans="1:12" x14ac:dyDescent="0.25">
      <c r="A1814" t="s">
        <v>843</v>
      </c>
      <c r="B1814" t="s">
        <v>1907</v>
      </c>
      <c r="C1814" t="str" cm="1">
        <f t="array" ref="C1814">CleanText(B1814)</f>
        <v>im hijabi girl in harami world life islamic its fantastic you cant touch my hair or touch me anywhere</v>
      </c>
      <c r="D1814">
        <v>2</v>
      </c>
      <c r="E1814">
        <v>1</v>
      </c>
      <c r="F1814" t="s">
        <v>10</v>
      </c>
      <c r="G1814" t="str" cm="1">
        <f t="array" ref="G1814">FindCountryName(F1814)</f>
        <v>None</v>
      </c>
      <c r="H1814" s="3">
        <v>45188.327534722222</v>
      </c>
      <c r="I1814" s="3">
        <v>45188.327534722222</v>
      </c>
      <c r="J1814" s="3">
        <v>42477.347719907404</v>
      </c>
      <c r="K1814" cm="1">
        <f t="array" ref="K1814">sentimentCalc(C1814)</f>
        <v>4</v>
      </c>
      <c r="L1814" t="str" cm="1">
        <f t="array" ref="L1814">sentimentCategory(K1814)</f>
        <v>Positive</v>
      </c>
    </row>
    <row r="1815" spans="1:12" x14ac:dyDescent="0.25">
      <c r="A1815" t="s">
        <v>235</v>
      </c>
      <c r="B1815" t="s">
        <v>4340</v>
      </c>
      <c r="C1815" t="str" cm="1">
        <f t="array" ref="C1815">CleanText(B1815)</f>
        <v>im japanese and now hate barbie and mattel as this official film account liked the tweet of berbenheimer make fun of atomic bomb saying  its going to be a summer to remember yes th of the august is the day us dropped the bomb in hiroshima so you remember that warner brothers and berbie film official</v>
      </c>
      <c r="D1815">
        <v>11</v>
      </c>
      <c r="E1815">
        <v>7</v>
      </c>
      <c r="F1815" t="s">
        <v>10</v>
      </c>
      <c r="G1815" t="str" cm="1">
        <f t="array" ref="G1815">FindCountryName(F1815)</f>
        <v>None</v>
      </c>
      <c r="H1815" s="3">
        <v>45140.814421296294</v>
      </c>
      <c r="I1815" s="3">
        <v>45140.814421296294</v>
      </c>
      <c r="J1815" s="3">
        <v>40829.178541666668</v>
      </c>
      <c r="K1815" cm="1">
        <f t="array" ref="K1815">sentimentCalc(C1815)</f>
        <v>2</v>
      </c>
      <c r="L1815" t="str" cm="1">
        <f t="array" ref="L1815">sentimentCategory(K1815)</f>
        <v>Positive</v>
      </c>
    </row>
    <row r="1816" spans="1:12" x14ac:dyDescent="0.25">
      <c r="A1816" t="s">
        <v>1592</v>
      </c>
      <c r="B1816" t="s">
        <v>1951</v>
      </c>
      <c r="C1816" t="str" cm="1">
        <f t="array" ref="C1816">CleanText(B1816)</f>
        <v>im just ken</v>
      </c>
      <c r="D1816">
        <v>2</v>
      </c>
      <c r="E1816">
        <v>0</v>
      </c>
      <c r="F1816" t="s">
        <v>10</v>
      </c>
      <c r="G1816" t="str" cm="1">
        <f t="array" ref="G1816">FindCountryName(F1816)</f>
        <v>None</v>
      </c>
      <c r="H1816" s="3">
        <v>45186.704398148147</v>
      </c>
      <c r="I1816" s="3">
        <v>45186.704386574071</v>
      </c>
      <c r="J1816" s="3">
        <v>43309.605254629627</v>
      </c>
      <c r="K1816" cm="1">
        <f t="array" ref="K1816">sentimentCalc(C1816)</f>
        <v>0</v>
      </c>
      <c r="L1816" t="str" cm="1">
        <f t="array" ref="L1816">sentimentCategory(K1816)</f>
        <v>Neutral</v>
      </c>
    </row>
    <row r="1817" spans="1:12" x14ac:dyDescent="0.25">
      <c r="A1817" t="s">
        <v>4161</v>
      </c>
      <c r="B1817" t="s">
        <v>4162</v>
      </c>
      <c r="C1817" t="str" cm="1">
        <f t="array" ref="C1817">CleanText(B1817)</f>
        <v>im just ken</v>
      </c>
      <c r="D1817">
        <v>0</v>
      </c>
      <c r="E1817">
        <v>0</v>
      </c>
      <c r="F1817" t="s">
        <v>10</v>
      </c>
      <c r="G1817" t="str" cm="1">
        <f t="array" ref="G1817">FindCountryName(F1817)</f>
        <v>None</v>
      </c>
      <c r="H1817" s="3">
        <v>45142.404675925929</v>
      </c>
      <c r="I1817" s="3">
        <v>45142.404675925929</v>
      </c>
      <c r="J1817" s="3">
        <v>44182.718159722222</v>
      </c>
      <c r="K1817" cm="1">
        <f t="array" ref="K1817">sentimentCalc(C1817)</f>
        <v>0</v>
      </c>
      <c r="L1817" t="str" cm="1">
        <f t="array" ref="L1817">sentimentCategory(K1817)</f>
        <v>Neutral</v>
      </c>
    </row>
    <row r="1818" spans="1:12" x14ac:dyDescent="0.25">
      <c r="A1818" t="s">
        <v>3119</v>
      </c>
      <c r="B1818" t="s">
        <v>3120</v>
      </c>
      <c r="C1818" t="str" cm="1">
        <f t="array" ref="C1818">CleanText(B1818)</f>
        <v>im just ken i drive</v>
      </c>
      <c r="D1818">
        <v>0</v>
      </c>
      <c r="E1818">
        <v>0</v>
      </c>
      <c r="F1818" t="s">
        <v>10</v>
      </c>
      <c r="G1818" t="str" cm="1">
        <f t="array" ref="G1818">FindCountryName(F1818)</f>
        <v>None</v>
      </c>
      <c r="H1818" s="3">
        <v>45153.106400462966</v>
      </c>
      <c r="I1818" s="3">
        <v>45153.106400462966</v>
      </c>
      <c r="J1818" s="3">
        <v>44446.351134259261</v>
      </c>
      <c r="K1818" cm="1">
        <f t="array" ref="K1818">sentimentCalc(C1818)</f>
        <v>0</v>
      </c>
      <c r="L1818" t="str" cm="1">
        <f t="array" ref="L1818">sentimentCategory(K1818)</f>
        <v>Neutral</v>
      </c>
    </row>
    <row r="1819" spans="1:12" x14ac:dyDescent="0.25">
      <c r="A1819" t="s">
        <v>3513</v>
      </c>
      <c r="B1819" t="s">
        <v>3514</v>
      </c>
      <c r="C1819" t="str" cm="1">
        <f t="array" ref="C1819">CleanText(B1819)</f>
        <v>im just watching the trailer after watching the movie lol to didnt really give anything away but iim glad i went in kinda blind</v>
      </c>
      <c r="D1819">
        <v>0</v>
      </c>
      <c r="E1819">
        <v>0</v>
      </c>
      <c r="F1819" t="s">
        <v>10</v>
      </c>
      <c r="G1819" t="str" cm="1">
        <f t="array" ref="G1819">FindCountryName(F1819)</f>
        <v>None</v>
      </c>
      <c r="H1819" s="3">
        <v>45148.064351851855</v>
      </c>
      <c r="I1819" s="3">
        <v>45148.064351851855</v>
      </c>
      <c r="J1819" s="3">
        <v>42890.757013888891</v>
      </c>
      <c r="K1819" cm="1">
        <f t="array" ref="K1819">sentimentCalc(C1819)</f>
        <v>2</v>
      </c>
      <c r="L1819" t="str" cm="1">
        <f t="array" ref="L1819">sentimentCategory(K1819)</f>
        <v>Positive</v>
      </c>
    </row>
    <row r="1820" spans="1:12" x14ac:dyDescent="0.25">
      <c r="A1820" t="s">
        <v>38</v>
      </c>
      <c r="B1820" t="s">
        <v>1172</v>
      </c>
      <c r="C1820" t="str" cm="1">
        <f t="array" ref="C1820">CleanText(B1820)</f>
        <v>im like a really masculine dude  i thought this film was great it was really funny  surprisingly touching i can take a joke though apparently some men cant hence this films controversy which was a load of nonsense barbie was as funny as it was heartwarming loved it</v>
      </c>
      <c r="D1820">
        <v>6</v>
      </c>
      <c r="E1820">
        <v>0</v>
      </c>
      <c r="F1820" t="s">
        <v>10</v>
      </c>
      <c r="G1820" t="str" cm="1">
        <f t="array" ref="G1820">FindCountryName(F1820)</f>
        <v>None</v>
      </c>
      <c r="H1820" s="3">
        <v>45280.903124999997</v>
      </c>
      <c r="I1820" s="3">
        <v>45280.903124999997</v>
      </c>
      <c r="J1820" s="3">
        <v>41918.586099537039</v>
      </c>
      <c r="K1820" cm="1">
        <f t="array" ref="K1820">sentimentCalc(C1820)</f>
        <v>16</v>
      </c>
      <c r="L1820" t="str" cm="1">
        <f t="array" ref="L1820">sentimentCategory(K1820)</f>
        <v>Positive</v>
      </c>
    </row>
    <row r="1821" spans="1:12" x14ac:dyDescent="0.25">
      <c r="A1821" t="s">
        <v>4312</v>
      </c>
      <c r="B1821" t="s">
        <v>4314</v>
      </c>
      <c r="C1821" t="str" cm="1">
        <f t="array" ref="C1821">CleanText(B1821)</f>
        <v>im love barbes toyand im love tis movie barbes</v>
      </c>
      <c r="D1821">
        <v>0</v>
      </c>
      <c r="E1821">
        <v>3</v>
      </c>
      <c r="F1821" t="s">
        <v>10</v>
      </c>
      <c r="G1821" t="str" cm="1">
        <f t="array" ref="G1821">FindCountryName(F1821)</f>
        <v>None</v>
      </c>
      <c r="H1821" s="3">
        <v>45141.026122685187</v>
      </c>
      <c r="I1821" s="3">
        <v>45141.026122685187</v>
      </c>
      <c r="J1821" s="3">
        <v>44914.24291666667</v>
      </c>
      <c r="K1821" cm="1">
        <f t="array" ref="K1821">sentimentCalc(C1821)</f>
        <v>6</v>
      </c>
      <c r="L1821" t="str" cm="1">
        <f t="array" ref="L1821">sentimentCategory(K1821)</f>
        <v>Positive</v>
      </c>
    </row>
    <row r="1822" spans="1:12" x14ac:dyDescent="0.25">
      <c r="A1822" t="s">
        <v>49</v>
      </c>
      <c r="B1822" t="s">
        <v>1542</v>
      </c>
      <c r="C1822" t="str" cm="1">
        <f t="array" ref="C1822">CleanText(B1822)</f>
        <v>im loving this a lot</v>
      </c>
      <c r="D1822">
        <v>0</v>
      </c>
      <c r="E1822">
        <v>0</v>
      </c>
      <c r="F1822" t="s">
        <v>10</v>
      </c>
      <c r="G1822" t="str" cm="1">
        <f t="array" ref="G1822">FindCountryName(F1822)</f>
        <v>None</v>
      </c>
      <c r="H1822" s="3">
        <v>45214.71503472222</v>
      </c>
      <c r="I1822" s="3">
        <v>45214.71503472222</v>
      </c>
      <c r="J1822" s="3">
        <v>45165.203923611109</v>
      </c>
      <c r="K1822" cm="1">
        <f t="array" ref="K1822">sentimentCalc(C1822)</f>
        <v>2</v>
      </c>
      <c r="L1822" t="str" cm="1">
        <f t="array" ref="L1822">sentimentCategory(K1822)</f>
        <v>Positive</v>
      </c>
    </row>
    <row r="1823" spans="1:12" x14ac:dyDescent="0.25">
      <c r="A1823" t="s">
        <v>1222</v>
      </c>
      <c r="B1823" t="s">
        <v>1223</v>
      </c>
      <c r="C1823" t="str" cm="1">
        <f t="array" ref="C1823">CleanText(B1823)</f>
        <v>im not to sure what all the hurrah was about this movie  i just watched it and it honestly was terrible</v>
      </c>
      <c r="D1823">
        <v>7</v>
      </c>
      <c r="E1823">
        <v>1</v>
      </c>
      <c r="F1823" t="s">
        <v>10</v>
      </c>
      <c r="G1823" t="str" cm="1">
        <f t="array" ref="G1823">FindCountryName(F1823)</f>
        <v>None</v>
      </c>
      <c r="H1823" s="3">
        <v>45274.264074074075</v>
      </c>
      <c r="I1823" s="3">
        <v>45274.264074074075</v>
      </c>
      <c r="J1823" s="3">
        <v>41330.033622685187</v>
      </c>
      <c r="K1823" cm="1">
        <f t="array" ref="K1823">sentimentCalc(C1823)</f>
        <v>2</v>
      </c>
      <c r="L1823" t="str" cm="1">
        <f t="array" ref="L1823">sentimentCategory(K1823)</f>
        <v>Positive</v>
      </c>
    </row>
    <row r="1824" spans="1:12" x14ac:dyDescent="0.25">
      <c r="A1824" t="s">
        <v>256</v>
      </c>
      <c r="B1824" t="s">
        <v>4445</v>
      </c>
      <c r="C1824" t="str" cm="1">
        <f t="array" ref="C1824">CleanText(B1824)</f>
        <v>im only  i cant watch i wish i could wa</v>
      </c>
      <c r="D1824">
        <v>0</v>
      </c>
      <c r="E1824">
        <v>0</v>
      </c>
      <c r="F1824" t="s">
        <v>10</v>
      </c>
      <c r="G1824" t="str" cm="1">
        <f t="array" ref="G1824">FindCountryName(F1824)</f>
        <v>None</v>
      </c>
      <c r="H1824" s="3">
        <v>45140.230381944442</v>
      </c>
      <c r="I1824" s="3">
        <v>45140.230381944442</v>
      </c>
      <c r="J1824" s="3">
        <v>42311.152453703704</v>
      </c>
      <c r="K1824" cm="1">
        <f t="array" ref="K1824">sentimentCalc(C1824)</f>
        <v>1</v>
      </c>
      <c r="L1824" t="str" cm="1">
        <f t="array" ref="L1824">sentimentCategory(K1824)</f>
        <v>Positive</v>
      </c>
    </row>
    <row r="1825" spans="1:12" x14ac:dyDescent="0.25">
      <c r="A1825" t="s">
        <v>2629</v>
      </c>
      <c r="B1825" t="s">
        <v>2982</v>
      </c>
      <c r="C1825" t="str" cm="1">
        <f t="array" ref="C1825">CleanText(B1825)</f>
        <v>im planning to watch this in the next few days but both female and male friends keep saying its a film filled with misandrist so i have mixed feelings but ill check it out and hope theyre exaggerating</v>
      </c>
      <c r="D1825">
        <v>0</v>
      </c>
      <c r="E1825">
        <v>1</v>
      </c>
      <c r="F1825" t="s">
        <v>10</v>
      </c>
      <c r="G1825" t="str" cm="1">
        <f t="array" ref="G1825">FindCountryName(F1825)</f>
        <v>None</v>
      </c>
      <c r="H1825" s="3">
        <v>45154.77715277778</v>
      </c>
      <c r="I1825" s="3">
        <v>45154.77715277778</v>
      </c>
      <c r="J1825" s="3">
        <v>42679.882997685185</v>
      </c>
      <c r="K1825" cm="1">
        <f t="array" ref="K1825">sentimentCalc(C1825)</f>
        <v>-2</v>
      </c>
      <c r="L1825" t="str" cm="1">
        <f t="array" ref="L1825">sentimentCategory(K1825)</f>
        <v>Negative</v>
      </c>
    </row>
    <row r="1826" spans="1:12" x14ac:dyDescent="0.25">
      <c r="A1826" t="s">
        <v>4091</v>
      </c>
      <c r="B1826" t="s">
        <v>4092</v>
      </c>
      <c r="C1826" t="str" cm="1">
        <f t="array" ref="C1826">CleanText(B1826)</f>
        <v>im so glad an aussie is barbie</v>
      </c>
      <c r="D1826">
        <v>0</v>
      </c>
      <c r="E1826">
        <v>0</v>
      </c>
      <c r="F1826" t="s">
        <v>10</v>
      </c>
      <c r="G1826" t="str" cm="1">
        <f t="array" ref="G1826">FindCountryName(F1826)</f>
        <v>None</v>
      </c>
      <c r="H1826" s="3">
        <v>45142.967199074075</v>
      </c>
      <c r="I1826" s="3">
        <v>45142.967199074075</v>
      </c>
      <c r="J1826" s="3">
        <v>39859.179120370369</v>
      </c>
      <c r="K1826" cm="1">
        <f t="array" ref="K1826">sentimentCalc(C1826)</f>
        <v>3</v>
      </c>
      <c r="L1826" t="str" cm="1">
        <f t="array" ref="L1826">sentimentCategory(K1826)</f>
        <v>Positive</v>
      </c>
    </row>
    <row r="1827" spans="1:12" x14ac:dyDescent="0.25">
      <c r="A1827" t="s">
        <v>1798</v>
      </c>
      <c r="B1827" t="s">
        <v>2649</v>
      </c>
      <c r="C1827" t="str" cm="1">
        <f t="array" ref="C1827">CleanText(B1827)</f>
        <v>im so icsidid im oing to see it tnit</v>
      </c>
      <c r="D1827">
        <v>0</v>
      </c>
      <c r="E1827">
        <v>0</v>
      </c>
      <c r="F1827" t="s">
        <v>10</v>
      </c>
      <c r="G1827" t="str" cm="1">
        <f t="array" ref="G1827">FindCountryName(F1827)</f>
        <v>None</v>
      </c>
      <c r="H1827" s="3">
        <v>45160.75571759259</v>
      </c>
      <c r="I1827" s="3">
        <v>45160.755729166667</v>
      </c>
      <c r="J1827" s="3">
        <v>42307.477858796294</v>
      </c>
      <c r="K1827" cm="1">
        <f t="array" ref="K1827">sentimentCalc(C1827)</f>
        <v>0</v>
      </c>
      <c r="L1827" t="str" cm="1">
        <f t="array" ref="L1827">sentimentCategory(K1827)</f>
        <v>Neutral</v>
      </c>
    </row>
    <row r="1828" spans="1:12" x14ac:dyDescent="0.25">
      <c r="A1828" t="s">
        <v>2673</v>
      </c>
      <c r="B1828" t="s">
        <v>2674</v>
      </c>
      <c r="C1828" t="str" cm="1">
        <f t="array" ref="C1828">CleanText(B1828)</f>
        <v>im so pumped to watch this</v>
      </c>
      <c r="D1828">
        <v>0</v>
      </c>
      <c r="E1828">
        <v>0</v>
      </c>
      <c r="F1828" t="s">
        <v>10</v>
      </c>
      <c r="G1828" t="str" cm="1">
        <f t="array" ref="G1828">FindCountryName(F1828)</f>
        <v>None</v>
      </c>
      <c r="H1828" s="3">
        <v>45160.372824074075</v>
      </c>
      <c r="I1828" s="3">
        <v>45160.372824074075</v>
      </c>
      <c r="J1828" s="3">
        <v>44431.8049537037</v>
      </c>
      <c r="K1828" cm="1">
        <f t="array" ref="K1828">sentimentCalc(C1828)</f>
        <v>0</v>
      </c>
      <c r="L1828" t="str" cm="1">
        <f t="array" ref="L1828">sentimentCategory(K1828)</f>
        <v>Neutral</v>
      </c>
    </row>
    <row r="1829" spans="1:12" x14ac:dyDescent="0.25">
      <c r="A1829" t="s">
        <v>690</v>
      </c>
      <c r="B1829" t="s">
        <v>691</v>
      </c>
      <c r="C1829" t="str" cm="1">
        <f t="array" ref="C1829">CleanText(B1829)</f>
        <v>im so surprised that the leading role for barbie wasnt a black women</v>
      </c>
      <c r="D1829">
        <v>2</v>
      </c>
      <c r="E1829">
        <v>2</v>
      </c>
      <c r="F1829" t="s">
        <v>10</v>
      </c>
      <c r="G1829" t="str" cm="1">
        <f t="array" ref="G1829">FindCountryName(F1829)</f>
        <v>None</v>
      </c>
      <c r="H1829" s="3">
        <v>45313.716967592591</v>
      </c>
      <c r="I1829" s="3">
        <v>45313.716967592591</v>
      </c>
      <c r="J1829" s="3">
        <v>44548.818495370368</v>
      </c>
      <c r="K1829" cm="1">
        <f t="array" ref="K1829">sentimentCalc(C1829)</f>
        <v>0</v>
      </c>
      <c r="L1829" t="str" cm="1">
        <f t="array" ref="L1829">sentimentCategory(K1829)</f>
        <v>Neutral</v>
      </c>
    </row>
    <row r="1830" spans="1:12" x14ac:dyDescent="0.25">
      <c r="A1830" t="s">
        <v>304</v>
      </c>
      <c r="B1830" t="s">
        <v>2865</v>
      </c>
      <c r="C1830" t="str" cm="1">
        <f t="array" ref="C1830">CleanText(B1830)</f>
        <v>im sure the kids watching this were confused because whem they were trying to take down the kens it got confusing</v>
      </c>
      <c r="D1830">
        <v>1</v>
      </c>
      <c r="E1830">
        <v>1</v>
      </c>
      <c r="F1830" t="s">
        <v>10</v>
      </c>
      <c r="G1830" t="str" cm="1">
        <f t="array" ref="G1830">FindCountryName(F1830)</f>
        <v>None</v>
      </c>
      <c r="H1830" s="3">
        <v>45156.669409722221</v>
      </c>
      <c r="I1830" s="3">
        <v>45156.669409722221</v>
      </c>
      <c r="J1830" s="3">
        <v>44749.345185185186</v>
      </c>
      <c r="K1830" cm="1">
        <f t="array" ref="K1830">sentimentCalc(C1830)</f>
        <v>-4</v>
      </c>
      <c r="L1830" t="str" cm="1">
        <f t="array" ref="L1830">sentimentCategory(K1830)</f>
        <v>Negative</v>
      </c>
    </row>
    <row r="1831" spans="1:12" x14ac:dyDescent="0.25">
      <c r="A1831" t="s">
        <v>66</v>
      </c>
      <c r="B1831" t="s">
        <v>3609</v>
      </c>
      <c r="C1831" t="str" cm="1">
        <f t="array" ref="C1831">CleanText(B1831)</f>
        <v>im surprised the film is pg</v>
      </c>
      <c r="D1831">
        <v>0</v>
      </c>
      <c r="E1831">
        <v>0</v>
      </c>
      <c r="F1831" t="s">
        <v>10</v>
      </c>
      <c r="G1831" t="str" cm="1">
        <f t="array" ref="G1831">FindCountryName(F1831)</f>
        <v>None</v>
      </c>
      <c r="H1831" s="3">
        <v>45147.151782407411</v>
      </c>
      <c r="I1831" s="3">
        <v>45147.151770833334</v>
      </c>
      <c r="J1831" s="3">
        <v>41223.462233796294</v>
      </c>
      <c r="K1831" cm="1">
        <f t="array" ref="K1831">sentimentCalc(C1831)</f>
        <v>0</v>
      </c>
      <c r="L1831" t="str" cm="1">
        <f t="array" ref="L1831">sentimentCategory(K1831)</f>
        <v>Neutral</v>
      </c>
    </row>
    <row r="1832" spans="1:12" x14ac:dyDescent="0.25">
      <c r="A1832" t="s">
        <v>3420</v>
      </c>
      <c r="B1832" t="s">
        <v>3421</v>
      </c>
      <c r="C1832" t="str" cm="1">
        <f t="array" ref="C1832">CleanText(B1832)</f>
        <v>im surprised the stars arent black</v>
      </c>
      <c r="D1832">
        <v>1</v>
      </c>
      <c r="E1832">
        <v>1</v>
      </c>
      <c r="F1832" t="s">
        <v>10</v>
      </c>
      <c r="G1832" t="str" cm="1">
        <f t="array" ref="G1832">FindCountryName(F1832)</f>
        <v>None</v>
      </c>
      <c r="H1832" s="3">
        <v>45149.118032407408</v>
      </c>
      <c r="I1832" s="3">
        <v>45149.118020833332</v>
      </c>
      <c r="J1832" s="3">
        <v>40767.955752314818</v>
      </c>
      <c r="K1832" cm="1">
        <f t="array" ref="K1832">sentimentCalc(C1832)</f>
        <v>0</v>
      </c>
      <c r="L1832" t="str" cm="1">
        <f t="array" ref="L1832">sentimentCategory(K1832)</f>
        <v>Neutral</v>
      </c>
    </row>
    <row r="1833" spans="1:12" x14ac:dyDescent="0.25">
      <c r="A1833" t="s">
        <v>296</v>
      </c>
      <c r="B1833" t="s">
        <v>2249</v>
      </c>
      <c r="C1833" t="str" cm="1">
        <f t="array" ref="C1833">CleanText(B1833)</f>
        <v>im your biggest fan</v>
      </c>
      <c r="D1833">
        <v>3</v>
      </c>
      <c r="E1833">
        <v>0</v>
      </c>
      <c r="F1833" t="s">
        <v>10</v>
      </c>
      <c r="G1833" t="str" cm="1">
        <f t="array" ref="G1833">FindCountryName(F1833)</f>
        <v>None</v>
      </c>
      <c r="H1833" s="3">
        <v>45174.214618055557</v>
      </c>
      <c r="I1833" s="3">
        <v>45174.214618055557</v>
      </c>
      <c r="J1833" s="3">
        <v>45094.045324074075</v>
      </c>
      <c r="K1833" cm="1">
        <f t="array" ref="K1833">sentimentCalc(C1833)</f>
        <v>3</v>
      </c>
      <c r="L1833" t="str" cm="1">
        <f t="array" ref="L1833">sentimentCategory(K1833)</f>
        <v>Positive</v>
      </c>
    </row>
    <row r="1834" spans="1:12" x14ac:dyDescent="0.25">
      <c r="A1834" t="s">
        <v>878</v>
      </c>
      <c r="B1834" t="s">
        <v>2015</v>
      </c>
      <c r="C1834" t="str" cm="1">
        <f t="array" ref="C1834">CleanText(B1834)</f>
        <v>im love barbie so muchand kenso much</v>
      </c>
      <c r="D1834">
        <v>0</v>
      </c>
      <c r="E1834">
        <v>0</v>
      </c>
      <c r="F1834" t="s">
        <v>10</v>
      </c>
      <c r="G1834" t="str" cm="1">
        <f t="array" ref="G1834">FindCountryName(F1834)</f>
        <v>None</v>
      </c>
      <c r="H1834" s="3">
        <v>45184.38484953704</v>
      </c>
      <c r="I1834" s="3">
        <v>45184.38484953704</v>
      </c>
      <c r="J1834" s="3">
        <v>44895.538923611108</v>
      </c>
      <c r="K1834" cm="1">
        <f t="array" ref="K1834">sentimentCalc(C1834)</f>
        <v>3</v>
      </c>
      <c r="L1834" t="str" cm="1">
        <f t="array" ref="L1834">sentimentCategory(K1834)</f>
        <v>Positive</v>
      </c>
    </row>
    <row r="1835" spans="1:12" x14ac:dyDescent="0.25">
      <c r="A1835" t="s">
        <v>158</v>
      </c>
      <c r="B1835" t="s">
        <v>2739</v>
      </c>
      <c r="C1835" t="str" cm="1">
        <f t="array" ref="C1835">CleanText(B1835)</f>
        <v>ima say that film trash because it for girls every boy should go watch oppenheimer or just dont go to the cinema idc but dont watch that film as a boy until ur alone in this room so u can uhm u know what to do</v>
      </c>
      <c r="D1835">
        <v>0</v>
      </c>
      <c r="E1835">
        <v>2</v>
      </c>
      <c r="F1835" t="s">
        <v>10</v>
      </c>
      <c r="G1835" t="str" cm="1">
        <f t="array" ref="G1835">FindCountryName(F1835)</f>
        <v>None</v>
      </c>
      <c r="H1835" s="3">
        <v>45158.821446759262</v>
      </c>
      <c r="I1835" s="3">
        <v>45158.821446759262</v>
      </c>
      <c r="J1835" s="3">
        <v>44605.338703703703</v>
      </c>
      <c r="K1835" cm="1">
        <f t="array" ref="K1835">sentimentCalc(C1835)</f>
        <v>-2</v>
      </c>
      <c r="L1835" t="str" cm="1">
        <f t="array" ref="L1835">sentimentCategory(K1835)</f>
        <v>Negative</v>
      </c>
    </row>
    <row r="1836" spans="1:12" x14ac:dyDescent="0.25">
      <c r="A1836" t="s">
        <v>365</v>
      </c>
      <c r="B1836" t="s">
        <v>2417</v>
      </c>
      <c r="C1836" t="str" cm="1">
        <f t="array" ref="C1836">CleanText(B1836)</f>
        <v>ima watch this</v>
      </c>
      <c r="D1836">
        <v>0</v>
      </c>
      <c r="E1836">
        <v>0</v>
      </c>
      <c r="F1836" t="s">
        <v>10</v>
      </c>
      <c r="G1836" t="str" cm="1">
        <f t="array" ref="G1836">FindCountryName(F1836)</f>
        <v>None</v>
      </c>
      <c r="H1836" s="3">
        <v>45168.151805555557</v>
      </c>
      <c r="I1836" s="3">
        <v>45168.151805555557</v>
      </c>
      <c r="J1836" s="3">
        <v>43979.168749999997</v>
      </c>
      <c r="K1836" cm="1">
        <f t="array" ref="K1836">sentimentCalc(C1836)</f>
        <v>0</v>
      </c>
      <c r="L1836" t="str" cm="1">
        <f t="array" ref="L1836">sentimentCategory(K1836)</f>
        <v>Neutral</v>
      </c>
    </row>
    <row r="1837" spans="1:12" x14ac:dyDescent="0.25">
      <c r="A1837" t="s">
        <v>3053</v>
      </c>
      <c r="B1837" t="s">
        <v>3669</v>
      </c>
      <c r="C1837" t="str" cm="1">
        <f t="array" ref="C1837">CleanText(B1837)</f>
        <v>imagine what if ken was ryan reynolds</v>
      </c>
      <c r="D1837">
        <v>0</v>
      </c>
      <c r="E1837">
        <v>1</v>
      </c>
      <c r="F1837" t="s">
        <v>10</v>
      </c>
      <c r="G1837" t="str" cm="1">
        <f t="array" ref="G1837">FindCountryName(F1837)</f>
        <v>None</v>
      </c>
      <c r="H1837" s="3">
        <v>45146.609375</v>
      </c>
      <c r="I1837" s="3">
        <v>45146.609375</v>
      </c>
      <c r="J1837" s="3">
        <v>44693.351469907408</v>
      </c>
      <c r="K1837" cm="1">
        <f t="array" ref="K1837">sentimentCalc(C1837)</f>
        <v>0</v>
      </c>
      <c r="L1837" t="str" cm="1">
        <f t="array" ref="L1837">sentimentCategory(K1837)</f>
        <v>Neutral</v>
      </c>
    </row>
    <row r="1838" spans="1:12" x14ac:dyDescent="0.25">
      <c r="A1838" t="s">
        <v>817</v>
      </c>
      <c r="B1838" t="s">
        <v>1594</v>
      </c>
      <c r="C1838" t="str" cm="1">
        <f t="array" ref="C1838">CleanText(B1838)</f>
        <v>imagine</v>
      </c>
      <c r="D1838">
        <v>0</v>
      </c>
      <c r="E1838">
        <v>0</v>
      </c>
      <c r="F1838" t="s">
        <v>227</v>
      </c>
      <c r="G1838" t="str" cm="1">
        <f t="array" ref="G1838">FindCountryName(F1838)</f>
        <v>United States of America (the)</v>
      </c>
      <c r="H1838" s="3">
        <v>45210.748784722222</v>
      </c>
      <c r="I1838" s="3">
        <v>45210.748784722222</v>
      </c>
      <c r="J1838" s="3">
        <v>43299.468425925923</v>
      </c>
      <c r="K1838" cm="1">
        <f t="array" ref="K1838">sentimentCalc(C1838)</f>
        <v>0</v>
      </c>
      <c r="L1838" t="str" cm="1">
        <f t="array" ref="L1838">sentimentCategory(K1838)</f>
        <v>Neutral</v>
      </c>
    </row>
    <row r="1839" spans="1:12" x14ac:dyDescent="0.25">
      <c r="A1839" t="s">
        <v>1065</v>
      </c>
      <c r="B1839" t="s">
        <v>3268</v>
      </c>
      <c r="C1839" t="str" cm="1">
        <f t="array" ref="C1839">CleanText(B1839)</f>
        <v>imagine if they made barbie black</v>
      </c>
      <c r="D1839">
        <v>2</v>
      </c>
      <c r="E1839">
        <v>4</v>
      </c>
      <c r="F1839" t="s">
        <v>10</v>
      </c>
      <c r="G1839" t="str" cm="1">
        <f t="array" ref="G1839">FindCountryName(F1839)</f>
        <v>None</v>
      </c>
      <c r="H1839" s="3">
        <v>45150.994120370371</v>
      </c>
      <c r="I1839" s="3">
        <v>45150.994247685187</v>
      </c>
      <c r="J1839" s="3">
        <v>44636.476979166669</v>
      </c>
      <c r="K1839" cm="1">
        <f t="array" ref="K1839">sentimentCalc(C1839)</f>
        <v>0</v>
      </c>
      <c r="L1839" t="str" cm="1">
        <f t="array" ref="L1839">sentimentCategory(K1839)</f>
        <v>Neutral</v>
      </c>
    </row>
    <row r="1840" spans="1:12" x14ac:dyDescent="0.25">
      <c r="A1840" t="s">
        <v>11</v>
      </c>
      <c r="B1840" t="s">
        <v>2357</v>
      </c>
      <c r="C1840" t="str" cm="1">
        <f t="array" ref="C1840">CleanText(B1840)</f>
        <v>imagine if they put ryan reynolds as ken more audience will laugh and it would be blockbuster</v>
      </c>
      <c r="D1840">
        <v>0</v>
      </c>
      <c r="E1840">
        <v>0</v>
      </c>
      <c r="F1840" t="s">
        <v>10</v>
      </c>
      <c r="G1840" t="str" cm="1">
        <f t="array" ref="G1840">FindCountryName(F1840)</f>
        <v>None</v>
      </c>
      <c r="H1840" s="3">
        <v>45170.972199074073</v>
      </c>
      <c r="I1840" s="3">
        <v>45170.972199074073</v>
      </c>
      <c r="J1840" s="3">
        <v>45133.243171296293</v>
      </c>
      <c r="K1840" cm="1">
        <f t="array" ref="K1840">sentimentCalc(C1840)</f>
        <v>4</v>
      </c>
      <c r="L1840" t="str" cm="1">
        <f t="array" ref="L1840">sentimentCategory(K1840)</f>
        <v>Positive</v>
      </c>
    </row>
    <row r="1841" spans="1:12" x14ac:dyDescent="0.25">
      <c r="A1841" t="s">
        <v>1774</v>
      </c>
      <c r="B1841" t="s">
        <v>4093</v>
      </c>
      <c r="C1841" t="str" cm="1">
        <f t="array" ref="C1841">CleanText(B1841)</f>
        <v>imagine two  year olds playing barbie  ken</v>
      </c>
      <c r="D1841">
        <v>1</v>
      </c>
      <c r="E1841">
        <v>1</v>
      </c>
      <c r="F1841" t="s">
        <v>10</v>
      </c>
      <c r="G1841" t="str" cm="1">
        <f t="array" ref="G1841">FindCountryName(F1841)</f>
        <v>None</v>
      </c>
      <c r="H1841" s="3">
        <v>45142.959687499999</v>
      </c>
      <c r="I1841" s="3">
        <v>45142.959687499999</v>
      </c>
      <c r="J1841" s="3">
        <v>39937.986898148149</v>
      </c>
      <c r="K1841" cm="1">
        <f t="array" ref="K1841">sentimentCalc(C1841)</f>
        <v>0</v>
      </c>
      <c r="L1841" t="str" cm="1">
        <f t="array" ref="L1841">sentimentCategory(K1841)</f>
        <v>Neutral</v>
      </c>
    </row>
    <row r="1842" spans="1:12" x14ac:dyDescent="0.25">
      <c r="A1842" t="s">
        <v>783</v>
      </c>
      <c r="B1842" t="s">
        <v>784</v>
      </c>
      <c r="C1842" t="str" cm="1">
        <f t="array" ref="C1842">CleanText(B1842)</f>
        <v>impressive</v>
      </c>
      <c r="D1842">
        <v>0</v>
      </c>
      <c r="E1842">
        <v>0</v>
      </c>
      <c r="F1842" t="s">
        <v>139</v>
      </c>
      <c r="G1842" t="str" cm="1">
        <f t="array" ref="G1842">FindCountryName(F1842)</f>
        <v>Turkey</v>
      </c>
      <c r="H1842" s="3">
        <v>45308.26226851852</v>
      </c>
      <c r="I1842" s="3">
        <v>45308.26226851852</v>
      </c>
      <c r="J1842" s="3">
        <v>41288.395555555559</v>
      </c>
      <c r="K1842" cm="1">
        <f t="array" ref="K1842">sentimentCalc(C1842)</f>
        <v>3</v>
      </c>
      <c r="L1842" t="str" cm="1">
        <f t="array" ref="L1842">sentimentCategory(K1842)</f>
        <v>Positive</v>
      </c>
    </row>
    <row r="1843" spans="1:12" x14ac:dyDescent="0.25">
      <c r="A1843" t="s">
        <v>705</v>
      </c>
      <c r="B1843" t="s">
        <v>706</v>
      </c>
      <c r="C1843" t="str" cm="1">
        <f t="array" ref="C1843">CleanText(B1843)</f>
        <v>in a film starring ryan called the gray man he was referred to as a ken doll wether or not this was intentional or not it is funny af</v>
      </c>
      <c r="D1843">
        <v>0</v>
      </c>
      <c r="E1843">
        <v>0</v>
      </c>
      <c r="F1843" t="s">
        <v>10</v>
      </c>
      <c r="G1843" t="str" cm="1">
        <f t="array" ref="G1843">FindCountryName(F1843)</f>
        <v>None</v>
      </c>
      <c r="H1843" s="3">
        <v>45312.458113425928</v>
      </c>
      <c r="I1843" s="3">
        <v>45312.458113425928</v>
      </c>
      <c r="J1843" s="3">
        <v>44202.581400462965</v>
      </c>
      <c r="K1843" cm="1">
        <f t="array" ref="K1843">sentimentCalc(C1843)</f>
        <v>3</v>
      </c>
      <c r="L1843" t="str" cm="1">
        <f t="array" ref="L1843">sentimentCategory(K1843)</f>
        <v>Positive</v>
      </c>
    </row>
    <row r="1844" spans="1:12" x14ac:dyDescent="0.25">
      <c r="A1844" t="s">
        <v>1394</v>
      </c>
      <c r="B1844" t="s">
        <v>2302</v>
      </c>
      <c r="C1844" t="str" cm="1">
        <f t="array" ref="C1844">CleanText(B1844)</f>
        <v>in barbies world a rapist could be perfect</v>
      </c>
      <c r="D1844">
        <v>1</v>
      </c>
      <c r="E1844">
        <v>0</v>
      </c>
      <c r="F1844" t="s">
        <v>10</v>
      </c>
      <c r="G1844" t="str" cm="1">
        <f t="array" ref="G1844">FindCountryName(F1844)</f>
        <v>None</v>
      </c>
      <c r="H1844" s="3">
        <v>45172.382013888891</v>
      </c>
      <c r="I1844" s="3">
        <v>45172.382013888891</v>
      </c>
      <c r="J1844" s="3">
        <v>43946.770439814813</v>
      </c>
      <c r="K1844" cm="1">
        <f t="array" ref="K1844">sentimentCalc(C1844)</f>
        <v>-1</v>
      </c>
      <c r="L1844" t="str" cm="1">
        <f t="array" ref="L1844">sentimentCategory(K1844)</f>
        <v>Negative</v>
      </c>
    </row>
    <row r="1845" spans="1:12" x14ac:dyDescent="0.25">
      <c r="A1845" t="s">
        <v>559</v>
      </c>
      <c r="B1845" t="s">
        <v>3873</v>
      </c>
      <c r="C1845" t="str" cm="1">
        <f t="array" ref="C1845">CleanText(B1845)</f>
        <v>in fact there is an idol named liccachan in our country nippon  and almost no one owns a barbie a hilarious visualization of the atomic bomb that killed hundreds of thousands of people i am amazed at its vulgarity the knowledge gap between japan and the united states may widen further in the future</v>
      </c>
      <c r="D1845">
        <v>0</v>
      </c>
      <c r="E1845">
        <v>2</v>
      </c>
      <c r="F1845" t="s">
        <v>10</v>
      </c>
      <c r="G1845" t="str" cm="1">
        <f t="array" ref="G1845">FindCountryName(F1845)</f>
        <v>None</v>
      </c>
      <c r="H1845" s="3">
        <v>45144.856400462966</v>
      </c>
      <c r="I1845" s="3">
        <v>45144.856400462966</v>
      </c>
      <c r="J1845" s="3">
        <v>44523.33189814815</v>
      </c>
      <c r="K1845" cm="1">
        <f t="array" ref="K1845">sentimentCalc(C1845)</f>
        <v>0</v>
      </c>
      <c r="L1845" t="str" cm="1">
        <f t="array" ref="L1845">sentimentCategory(K1845)</f>
        <v>Neutral</v>
      </c>
    </row>
    <row r="1846" spans="1:12" x14ac:dyDescent="0.25">
      <c r="A1846" t="s">
        <v>930</v>
      </c>
      <c r="B1846" t="s">
        <v>3612</v>
      </c>
      <c r="C1846" t="str" cm="1">
        <f t="array" ref="C1846">CleanText(B1846)</f>
        <v>in india chapriis</v>
      </c>
      <c r="D1846">
        <v>0</v>
      </c>
      <c r="E1846">
        <v>0</v>
      </c>
      <c r="F1846" t="s">
        <v>10</v>
      </c>
      <c r="G1846" t="str" cm="1">
        <f t="array" ref="G1846">FindCountryName(F1846)</f>
        <v>None</v>
      </c>
      <c r="H1846" s="3">
        <v>45147.108807870369</v>
      </c>
      <c r="I1846" s="3">
        <v>45147.108807870369</v>
      </c>
      <c r="J1846" s="3">
        <v>43074.375393518516</v>
      </c>
      <c r="K1846" cm="1">
        <f t="array" ref="K1846">sentimentCalc(C1846)</f>
        <v>0</v>
      </c>
      <c r="L1846" t="str" cm="1">
        <f t="array" ref="L1846">sentimentCategory(K1846)</f>
        <v>Neutral</v>
      </c>
    </row>
    <row r="1847" spans="1:12" x14ac:dyDescent="0.25">
      <c r="A1847" t="s">
        <v>2880</v>
      </c>
      <c r="B1847" t="s">
        <v>2881</v>
      </c>
      <c r="C1847" t="str" cm="1">
        <f t="array" ref="C1847">CleanText(B1847)</f>
        <v>in the film despise a woman just because she is pregnant barbie is one of the most despicable things that exist in life  i will never forget it  it was just done in the cinema and worldwide now i dont observe any protest about it  thanks to all the womens defenders for their work</v>
      </c>
      <c r="D1847">
        <v>2</v>
      </c>
      <c r="E1847">
        <v>3</v>
      </c>
      <c r="F1847" t="s">
        <v>10</v>
      </c>
      <c r="G1847" t="str" cm="1">
        <f t="array" ref="G1847">FindCountryName(F1847)</f>
        <v>None</v>
      </c>
      <c r="H1847" s="3">
        <v>45156.505335648151</v>
      </c>
      <c r="I1847" s="3">
        <v>45156.505335648151</v>
      </c>
      <c r="J1847" s="3">
        <v>42980.098333333335</v>
      </c>
      <c r="K1847" cm="1">
        <f t="array" ref="K1847">sentimentCalc(C1847)</f>
        <v>1</v>
      </c>
      <c r="L1847" t="str" cm="1">
        <f t="array" ref="L1847">sentimentCategory(K1847)</f>
        <v>Positive</v>
      </c>
    </row>
    <row r="1848" spans="1:12" x14ac:dyDescent="0.25">
      <c r="A1848" t="s">
        <v>213</v>
      </c>
      <c r="B1848" t="s">
        <v>3484</v>
      </c>
      <c r="C1848" t="str" cm="1">
        <f t="array" ref="C1848">CleanText(B1848)</f>
        <v>in the movie barbie says diet not dying</v>
      </c>
      <c r="D1848">
        <v>0</v>
      </c>
      <c r="E1848">
        <v>0</v>
      </c>
      <c r="F1848" t="s">
        <v>10</v>
      </c>
      <c r="G1848" t="str" cm="1">
        <f t="array" ref="G1848">FindCountryName(F1848)</f>
        <v>None</v>
      </c>
      <c r="H1848" s="3">
        <v>45148.398680555554</v>
      </c>
      <c r="I1848" s="3">
        <v>45148.398680555554</v>
      </c>
      <c r="J1848" s="3">
        <v>44102.2425</v>
      </c>
      <c r="K1848" cm="1">
        <f t="array" ref="K1848">sentimentCalc(C1848)</f>
        <v>0</v>
      </c>
      <c r="L1848" t="str" cm="1">
        <f t="array" ref="L1848">sentimentCategory(K1848)</f>
        <v>Neutral</v>
      </c>
    </row>
    <row r="1849" spans="1:12" x14ac:dyDescent="0.25">
      <c r="A1849" t="s">
        <v>1071</v>
      </c>
      <c r="B1849" t="s">
        <v>1072</v>
      </c>
      <c r="C1849" t="str" cm="1">
        <f t="array" ref="C1849">CleanText(B1849)</f>
        <v>in this movie we show what girls do with boys feelings in real life because boys feelings for girls are just a joke as shown in this movie</v>
      </c>
      <c r="D1849">
        <v>1</v>
      </c>
      <c r="E1849">
        <v>0</v>
      </c>
      <c r="F1849" t="s">
        <v>1073</v>
      </c>
      <c r="G1849" t="str" cm="1">
        <f t="array" ref="G1849">FindCountryName(F1849)</f>
        <v>India</v>
      </c>
      <c r="H1849" s="3">
        <v>45293.530428240738</v>
      </c>
      <c r="I1849" s="3">
        <v>45293.530428240738</v>
      </c>
      <c r="J1849" s="3">
        <v>42303.105358796296</v>
      </c>
      <c r="K1849" cm="1">
        <f t="array" ref="K1849">sentimentCalc(C1849)</f>
        <v>2</v>
      </c>
      <c r="L1849" t="str" cm="1">
        <f t="array" ref="L1849">sentimentCategory(K1849)</f>
        <v>Positive</v>
      </c>
    </row>
    <row r="1850" spans="1:12" x14ac:dyDescent="0.25">
      <c r="A1850" t="s">
        <v>365</v>
      </c>
      <c r="B1850" t="s">
        <v>2602</v>
      </c>
      <c r="C1850" t="str" cm="1">
        <f t="array" ref="C1850">CleanText(B1850)</f>
        <v>in this movie there are too many integrated advertisements</v>
      </c>
      <c r="D1850">
        <v>0</v>
      </c>
      <c r="E1850">
        <v>0</v>
      </c>
      <c r="F1850" t="s">
        <v>227</v>
      </c>
      <c r="G1850" t="str" cm="1">
        <f t="array" ref="G1850">FindCountryName(F1850)</f>
        <v>United States of America (the)</v>
      </c>
      <c r="H1850" s="3">
        <v>45162.185995370368</v>
      </c>
      <c r="I1850" s="3">
        <v>45162.185995370368</v>
      </c>
      <c r="J1850" s="3">
        <v>45008.472071759257</v>
      </c>
      <c r="K1850" cm="1">
        <f t="array" ref="K1850">sentimentCalc(C1850)</f>
        <v>0</v>
      </c>
      <c r="L1850" t="str" cm="1">
        <f t="array" ref="L1850">sentimentCategory(K1850)</f>
        <v>Neutral</v>
      </c>
    </row>
    <row r="1851" spans="1:12" x14ac:dyDescent="0.25">
      <c r="A1851" t="s">
        <v>66</v>
      </c>
      <c r="B1851" t="s">
        <v>2757</v>
      </c>
      <c r="C1851" t="str" cm="1">
        <f t="array" ref="C1851">CleanText(B1851)</f>
        <v>incarnation of stupidity</v>
      </c>
      <c r="D1851">
        <v>0</v>
      </c>
      <c r="E1851">
        <v>0</v>
      </c>
      <c r="F1851" t="s">
        <v>10</v>
      </c>
      <c r="G1851" t="str" cm="1">
        <f t="array" ref="G1851">FindCountryName(F1851)</f>
        <v>None</v>
      </c>
      <c r="H1851" s="3">
        <v>45158.461446759262</v>
      </c>
      <c r="I1851" s="3">
        <v>45158.461446759262</v>
      </c>
      <c r="J1851" s="3">
        <v>40817.272986111115</v>
      </c>
      <c r="K1851" cm="1">
        <f t="array" ref="K1851">sentimentCalc(C1851)</f>
        <v>0</v>
      </c>
      <c r="L1851" t="str" cm="1">
        <f t="array" ref="L1851">sentimentCategory(K1851)</f>
        <v>Neutral</v>
      </c>
    </row>
    <row r="1852" spans="1:12" x14ac:dyDescent="0.25">
      <c r="A1852" t="s">
        <v>1822</v>
      </c>
      <c r="B1852" t="s">
        <v>1823</v>
      </c>
      <c r="C1852" t="str" cm="1">
        <f t="array" ref="C1852">CleanText(B1852)</f>
        <v>incrvel</v>
      </c>
      <c r="D1852">
        <v>0</v>
      </c>
      <c r="E1852">
        <v>0</v>
      </c>
      <c r="F1852" t="s">
        <v>10</v>
      </c>
      <c r="G1852" t="str" cm="1">
        <f t="array" ref="G1852">FindCountryName(F1852)</f>
        <v>None</v>
      </c>
      <c r="H1852" s="3">
        <v>45192.448217592595</v>
      </c>
      <c r="I1852" s="3">
        <v>45192.448206018518</v>
      </c>
      <c r="J1852" s="3">
        <v>40831.844050925924</v>
      </c>
      <c r="K1852" cm="1">
        <f t="array" ref="K1852">sentimentCalc(C1852)</f>
        <v>0</v>
      </c>
      <c r="L1852" t="str" cm="1">
        <f t="array" ref="L1852">sentimentCategory(K1852)</f>
        <v>Neutral</v>
      </c>
    </row>
    <row r="1853" spans="1:12" x14ac:dyDescent="0.25">
      <c r="A1853" t="s">
        <v>1076</v>
      </c>
      <c r="B1853" t="s">
        <v>2258</v>
      </c>
      <c r="C1853" t="str" cm="1">
        <f t="array" ref="C1853">CleanText(B1853)</f>
        <v>incredible how many npcs around</v>
      </c>
      <c r="D1853">
        <v>2</v>
      </c>
      <c r="E1853">
        <v>4</v>
      </c>
      <c r="F1853" t="s">
        <v>10</v>
      </c>
      <c r="G1853" t="str" cm="1">
        <f t="array" ref="G1853">FindCountryName(F1853)</f>
        <v>None</v>
      </c>
      <c r="H1853" s="3">
        <v>45173.741030092591</v>
      </c>
      <c r="I1853" s="3">
        <v>45173.741030092591</v>
      </c>
      <c r="J1853" s="3">
        <v>42078.508587962962</v>
      </c>
      <c r="K1853" cm="1">
        <f t="array" ref="K1853">sentimentCalc(C1853)</f>
        <v>0</v>
      </c>
      <c r="L1853" t="str" cm="1">
        <f t="array" ref="L1853">sentimentCategory(K1853)</f>
        <v>Neutral</v>
      </c>
    </row>
    <row r="1854" spans="1:12" x14ac:dyDescent="0.25">
      <c r="A1854" t="s">
        <v>36</v>
      </c>
      <c r="B1854" t="s">
        <v>107</v>
      </c>
      <c r="C1854" t="str" cm="1">
        <f t="array" ref="C1854">CleanText(B1854)</f>
        <v>insan isi degil</v>
      </c>
      <c r="D1854">
        <v>0</v>
      </c>
      <c r="E1854">
        <v>0</v>
      </c>
      <c r="F1854" t="s">
        <v>10</v>
      </c>
      <c r="G1854" t="str" cm="1">
        <f t="array" ref="G1854">FindCountryName(F1854)</f>
        <v>None</v>
      </c>
      <c r="H1854" s="3">
        <v>45337.517569444448</v>
      </c>
      <c r="I1854" s="3">
        <v>45337.517569444448</v>
      </c>
      <c r="J1854" s="3">
        <v>41724.377662037034</v>
      </c>
      <c r="K1854" cm="1">
        <f t="array" ref="K1854">sentimentCalc(C1854)</f>
        <v>0</v>
      </c>
      <c r="L1854" t="str" cm="1">
        <f t="array" ref="L1854">sentimentCategory(K1854)</f>
        <v>Neutral</v>
      </c>
    </row>
    <row r="1855" spans="1:12" x14ac:dyDescent="0.25">
      <c r="A1855" t="s">
        <v>1561</v>
      </c>
      <c r="B1855" t="s">
        <v>1562</v>
      </c>
      <c r="C1855" t="str" cm="1">
        <f t="array" ref="C1855">CleanText(B1855)</f>
        <v>interessante um filme bem divertido</v>
      </c>
      <c r="D1855">
        <v>0</v>
      </c>
      <c r="E1855">
        <v>0</v>
      </c>
      <c r="F1855" t="s">
        <v>10</v>
      </c>
      <c r="G1855" t="str" cm="1">
        <f t="array" ref="G1855">FindCountryName(F1855)</f>
        <v>None</v>
      </c>
      <c r="H1855" s="3">
        <v>45214.322546296295</v>
      </c>
      <c r="I1855" s="3">
        <v>45214.322546296295</v>
      </c>
      <c r="J1855" s="3">
        <v>39234.63386574074</v>
      </c>
      <c r="K1855" cm="1">
        <f t="array" ref="K1855">sentimentCalc(C1855)</f>
        <v>0</v>
      </c>
      <c r="L1855" t="str" cm="1">
        <f t="array" ref="L1855">sentimentCategory(K1855)</f>
        <v>Neutral</v>
      </c>
    </row>
    <row r="1856" spans="1:12" x14ac:dyDescent="0.25">
      <c r="A1856" t="s">
        <v>3032</v>
      </c>
      <c r="B1856" t="s">
        <v>3033</v>
      </c>
      <c r="C1856" t="str" cm="1">
        <f t="array" ref="C1856">CleanText(B1856)</f>
        <v>interesting</v>
      </c>
      <c r="D1856">
        <v>0</v>
      </c>
      <c r="E1856">
        <v>0</v>
      </c>
      <c r="F1856" t="s">
        <v>10</v>
      </c>
      <c r="G1856" t="str" cm="1">
        <f t="array" ref="G1856">FindCountryName(F1856)</f>
        <v>None</v>
      </c>
      <c r="H1856" s="3">
        <v>45154.297858796293</v>
      </c>
      <c r="I1856" s="3">
        <v>45154.297858796293</v>
      </c>
      <c r="J1856" s="3">
        <v>45016.309837962966</v>
      </c>
      <c r="K1856" cm="1">
        <f t="array" ref="K1856">sentimentCalc(C1856)</f>
        <v>2</v>
      </c>
      <c r="L1856" t="str" cm="1">
        <f t="array" ref="L1856">sentimentCategory(K1856)</f>
        <v>Positive</v>
      </c>
    </row>
    <row r="1857" spans="1:12" x14ac:dyDescent="0.25">
      <c r="A1857" t="s">
        <v>878</v>
      </c>
      <c r="B1857" t="s">
        <v>1827</v>
      </c>
      <c r="C1857" t="str" cm="1">
        <f t="array" ref="C1857">CleanText(B1857)</f>
        <v>is already hate barbie because being a indian i am the biggest fan of bollywood and south films like kgfjawaangadarsalaarsaaho and bahubali etc i dont like hollywood movies whether it is marvel also just see kgf or gadar you get why i didnt like hollywood movies and i didnt expect this from hollywood worst</v>
      </c>
      <c r="D1857">
        <v>1</v>
      </c>
      <c r="E1857">
        <v>1</v>
      </c>
      <c r="F1857" t="s">
        <v>10</v>
      </c>
      <c r="G1857" t="str" cm="1">
        <f t="array" ref="G1857">FindCountryName(F1857)</f>
        <v>None</v>
      </c>
      <c r="H1857" s="3">
        <v>45192.313854166663</v>
      </c>
      <c r="I1857" s="3">
        <v>45192.313854166663</v>
      </c>
      <c r="J1857" s="3">
        <v>42522.237754629627</v>
      </c>
      <c r="K1857" cm="1">
        <f t="array" ref="K1857">sentimentCalc(C1857)</f>
        <v>6</v>
      </c>
      <c r="L1857" t="str" cm="1">
        <f t="array" ref="L1857">sentimentCategory(K1857)</f>
        <v>Positive</v>
      </c>
    </row>
    <row r="1858" spans="1:12" x14ac:dyDescent="0.25">
      <c r="A1858" t="s">
        <v>186</v>
      </c>
      <c r="B1858" t="s">
        <v>187</v>
      </c>
      <c r="C1858" t="str" cm="1">
        <f t="array" ref="C1858">CleanText(B1858)</f>
        <v>is anyone here</v>
      </c>
      <c r="D1858">
        <v>0</v>
      </c>
      <c r="E1858">
        <v>0</v>
      </c>
      <c r="F1858" t="s">
        <v>10</v>
      </c>
      <c r="G1858" t="str" cm="1">
        <f t="array" ref="G1858">FindCountryName(F1858)</f>
        <v>None</v>
      </c>
      <c r="H1858" s="3">
        <v>45335.124976851854</v>
      </c>
      <c r="I1858" s="3">
        <v>45335.124976851854</v>
      </c>
      <c r="J1858" s="3">
        <v>41548.737071759257</v>
      </c>
      <c r="K1858" cm="1">
        <f t="array" ref="K1858">sentimentCalc(C1858)</f>
        <v>0</v>
      </c>
      <c r="L1858" t="str" cm="1">
        <f t="array" ref="L1858">sentimentCategory(K1858)</f>
        <v>Neutral</v>
      </c>
    </row>
    <row r="1859" spans="1:12" x14ac:dyDescent="0.25">
      <c r="A1859" t="s">
        <v>43</v>
      </c>
      <c r="B1859" t="s">
        <v>44</v>
      </c>
      <c r="C1859" t="str" cm="1">
        <f t="array" ref="C1859">CleanText(B1859)</f>
        <v>is barbie on netflix</v>
      </c>
      <c r="D1859">
        <v>0</v>
      </c>
      <c r="E1859">
        <v>0</v>
      </c>
      <c r="F1859" t="s">
        <v>10</v>
      </c>
      <c r="G1859" t="str" cm="1">
        <f t="array" ref="G1859">FindCountryName(F1859)</f>
        <v>None</v>
      </c>
      <c r="H1859" s="3">
        <v>45345.907939814817</v>
      </c>
      <c r="I1859" s="3">
        <v>45345.907939814817</v>
      </c>
      <c r="J1859" s="3">
        <v>44916.999548611115</v>
      </c>
      <c r="K1859" cm="1">
        <f t="array" ref="K1859">sentimentCalc(C1859)</f>
        <v>0</v>
      </c>
      <c r="L1859" t="str" cm="1">
        <f t="array" ref="L1859">sentimentCategory(K1859)</f>
        <v>Neutral</v>
      </c>
    </row>
    <row r="1860" spans="1:12" x14ac:dyDescent="0.25">
      <c r="A1860" t="s">
        <v>735</v>
      </c>
      <c r="B1860" t="s">
        <v>2909</v>
      </c>
      <c r="C1860" t="str" cm="1">
        <f t="array" ref="C1860">CleanText(B1860)</f>
        <v>is dis reill</v>
      </c>
      <c r="D1860">
        <v>0</v>
      </c>
      <c r="E1860">
        <v>0</v>
      </c>
      <c r="F1860" t="s">
        <v>10</v>
      </c>
      <c r="G1860" t="str" cm="1">
        <f t="array" ref="G1860">FindCountryName(F1860)</f>
        <v>None</v>
      </c>
      <c r="H1860" s="3">
        <v>45156.071157407408</v>
      </c>
      <c r="I1860" s="3">
        <v>45156.071157407408</v>
      </c>
      <c r="J1860" s="3">
        <v>44300.244201388887</v>
      </c>
      <c r="K1860" cm="1">
        <f t="array" ref="K1860">sentimentCalc(C1860)</f>
        <v>0</v>
      </c>
      <c r="L1860" t="str" cm="1">
        <f t="array" ref="L1860">sentimentCategory(K1860)</f>
        <v>Neutral</v>
      </c>
    </row>
    <row r="1861" spans="1:12" x14ac:dyDescent="0.25">
      <c r="A1861" t="s">
        <v>232</v>
      </c>
      <c r="B1861" t="s">
        <v>233</v>
      </c>
      <c r="C1861" t="str" cm="1">
        <f t="array" ref="C1861">CleanText(B1861)</f>
        <v>is hollywood being paid to increase the stupidity of human beings</v>
      </c>
      <c r="D1861">
        <v>2</v>
      </c>
      <c r="E1861">
        <v>1</v>
      </c>
      <c r="F1861" t="s">
        <v>10</v>
      </c>
      <c r="G1861" t="str" cm="1">
        <f t="array" ref="G1861">FindCountryName(F1861)</f>
        <v>None</v>
      </c>
      <c r="H1861" s="3">
        <v>45328.383576388886</v>
      </c>
      <c r="I1861" s="3">
        <v>45328.383576388886</v>
      </c>
      <c r="J1861" s="3">
        <v>40183.738611111112</v>
      </c>
      <c r="K1861" cm="1">
        <f t="array" ref="K1861">sentimentCalc(C1861)</f>
        <v>1</v>
      </c>
      <c r="L1861" t="str" cm="1">
        <f t="array" ref="L1861">sentimentCategory(K1861)</f>
        <v>Positive</v>
      </c>
    </row>
    <row r="1862" spans="1:12" x14ac:dyDescent="0.25">
      <c r="A1862" t="s">
        <v>15</v>
      </c>
      <c r="B1862" t="s">
        <v>16</v>
      </c>
      <c r="C1862" t="str" cm="1">
        <f t="array" ref="C1862">CleanText(B1862)</f>
        <v>is it a musical  musical numbers are a turn off</v>
      </c>
      <c r="D1862">
        <v>0</v>
      </c>
      <c r="E1862">
        <v>1</v>
      </c>
      <c r="F1862" t="s">
        <v>10</v>
      </c>
      <c r="G1862" t="str" cm="1">
        <f t="array" ref="G1862">FindCountryName(F1862)</f>
        <v>None</v>
      </c>
      <c r="H1862" s="3">
        <v>45349.962418981479</v>
      </c>
      <c r="I1862" s="3">
        <v>45349.962418981479</v>
      </c>
      <c r="J1862" s="3">
        <v>41095.162256944444</v>
      </c>
      <c r="K1862" cm="1">
        <f t="array" ref="K1862">sentimentCalc(C1862)</f>
        <v>0</v>
      </c>
      <c r="L1862" t="str" cm="1">
        <f t="array" ref="L1862">sentimentCategory(K1862)</f>
        <v>Neutral</v>
      </c>
    </row>
    <row r="1863" spans="1:12" x14ac:dyDescent="0.25">
      <c r="A1863" t="s">
        <v>609</v>
      </c>
      <c r="B1863" t="s">
        <v>4221</v>
      </c>
      <c r="C1863" t="str" cm="1">
        <f t="array" ref="C1863">CleanText(B1863)</f>
        <v>is it also a musical or are they online singing in the trailer  i dont like musicals that why i am asking</v>
      </c>
      <c r="D1863">
        <v>0</v>
      </c>
      <c r="E1863">
        <v>4</v>
      </c>
      <c r="F1863" t="s">
        <v>10</v>
      </c>
      <c r="G1863" t="str" cm="1">
        <f t="array" ref="G1863">FindCountryName(F1863)</f>
        <v>None</v>
      </c>
      <c r="H1863" s="3">
        <v>45141.755046296297</v>
      </c>
      <c r="I1863" s="3">
        <v>45141.755046296297</v>
      </c>
      <c r="J1863" s="3">
        <v>42212.348101851851</v>
      </c>
      <c r="K1863" cm="1">
        <f t="array" ref="K1863">sentimentCalc(C1863)</f>
        <v>2</v>
      </c>
      <c r="L1863" t="str" cm="1">
        <f t="array" ref="L1863">sentimentCategory(K1863)</f>
        <v>Positive</v>
      </c>
    </row>
    <row r="1864" spans="1:12" x14ac:dyDescent="0.25">
      <c r="A1864" t="s">
        <v>103</v>
      </c>
      <c r="B1864" t="s">
        <v>1733</v>
      </c>
      <c r="C1864" t="str" cm="1">
        <f t="array" ref="C1864">CleanText(B1864)</f>
        <v>is it available in hindi</v>
      </c>
      <c r="D1864">
        <v>0</v>
      </c>
      <c r="E1864">
        <v>0</v>
      </c>
      <c r="F1864" t="s">
        <v>10</v>
      </c>
      <c r="G1864" t="str" cm="1">
        <f t="array" ref="G1864">FindCountryName(F1864)</f>
        <v>None</v>
      </c>
      <c r="H1864" s="3">
        <v>45198.349282407406</v>
      </c>
      <c r="I1864" s="3">
        <v>45198.349282407406</v>
      </c>
      <c r="J1864" s="3">
        <v>43283.270671296297</v>
      </c>
      <c r="K1864" cm="1">
        <f t="array" ref="K1864">sentimentCalc(C1864)</f>
        <v>0</v>
      </c>
      <c r="L1864" t="str" cm="1">
        <f t="array" ref="L1864">sentimentCategory(K1864)</f>
        <v>Neutral</v>
      </c>
    </row>
    <row r="1865" spans="1:12" x14ac:dyDescent="0.25">
      <c r="A1865" t="s">
        <v>135</v>
      </c>
      <c r="B1865" t="s">
        <v>3107</v>
      </c>
      <c r="C1865" t="str" cm="1">
        <f t="array" ref="C1865">CleanText(B1865)</f>
        <v>is it ok if i brush her hair and undress her anywhere</v>
      </c>
      <c r="D1865">
        <v>1</v>
      </c>
      <c r="E1865">
        <v>0</v>
      </c>
      <c r="F1865" t="s">
        <v>227</v>
      </c>
      <c r="G1865" t="str" cm="1">
        <f t="array" ref="G1865">FindCountryName(F1865)</f>
        <v>United States of America (the)</v>
      </c>
      <c r="H1865" s="3">
        <v>45153.395960648151</v>
      </c>
      <c r="I1865" s="3">
        <v>45153.395960648151</v>
      </c>
      <c r="J1865" s="3">
        <v>39674.767083333332</v>
      </c>
      <c r="K1865" cm="1">
        <f t="array" ref="K1865">sentimentCalc(C1865)</f>
        <v>0</v>
      </c>
      <c r="L1865" t="str" cm="1">
        <f t="array" ref="L1865">sentimentCategory(K1865)</f>
        <v>Neutral</v>
      </c>
    </row>
    <row r="1866" spans="1:12" x14ac:dyDescent="0.25">
      <c r="A1866" t="s">
        <v>296</v>
      </c>
      <c r="B1866" t="s">
        <v>3794</v>
      </c>
      <c r="C1866" t="str" cm="1">
        <f t="array" ref="C1866">CleanText(B1866)</f>
        <v>is it out nowthey wrote july now this is augustso is it out yet</v>
      </c>
      <c r="D1866">
        <v>0</v>
      </c>
      <c r="E1866">
        <v>0</v>
      </c>
      <c r="F1866" t="s">
        <v>10</v>
      </c>
      <c r="G1866" t="str" cm="1">
        <f t="array" ref="G1866">FindCountryName(F1866)</f>
        <v>None</v>
      </c>
      <c r="H1866" s="3">
        <v>45145.451006944444</v>
      </c>
      <c r="I1866" s="3">
        <v>45145.451006944444</v>
      </c>
      <c r="J1866" s="3">
        <v>45037.297280092593</v>
      </c>
      <c r="K1866" cm="1">
        <f t="array" ref="K1866">sentimentCalc(C1866)</f>
        <v>0</v>
      </c>
      <c r="L1866" t="str" cm="1">
        <f t="array" ref="L1866">sentimentCategory(K1866)</f>
        <v>Neutral</v>
      </c>
    </row>
    <row r="1867" spans="1:12" x14ac:dyDescent="0.25">
      <c r="A1867" t="s">
        <v>1485</v>
      </c>
      <c r="B1867" t="s">
        <v>1486</v>
      </c>
      <c r="C1867" t="str" cm="1">
        <f t="array" ref="C1867">CleanText(B1867)</f>
        <v>is it really men hating movie havent seen yet</v>
      </c>
      <c r="D1867">
        <v>2</v>
      </c>
      <c r="E1867">
        <v>1</v>
      </c>
      <c r="F1867" t="s">
        <v>10</v>
      </c>
      <c r="G1867" t="str" cm="1">
        <f t="array" ref="G1867">FindCountryName(F1867)</f>
        <v>None</v>
      </c>
      <c r="H1867" s="3">
        <v>45221.849502314813</v>
      </c>
      <c r="I1867" s="3">
        <v>45221.849502314813</v>
      </c>
      <c r="J1867" s="3">
        <v>38880.409583333334</v>
      </c>
      <c r="K1867" cm="1">
        <f t="array" ref="K1867">sentimentCalc(C1867)</f>
        <v>-3</v>
      </c>
      <c r="L1867" t="str" cm="1">
        <f t="array" ref="L1867">sentimentCategory(K1867)</f>
        <v>Negative</v>
      </c>
    </row>
    <row r="1868" spans="1:12" x14ac:dyDescent="0.25">
      <c r="A1868" t="s">
        <v>1035</v>
      </c>
      <c r="B1868" t="s">
        <v>4299</v>
      </c>
      <c r="C1868" t="str" cm="1">
        <f t="array" ref="C1868">CleanText(B1868)</f>
        <v>is it sad</v>
      </c>
      <c r="D1868">
        <v>0</v>
      </c>
      <c r="E1868">
        <v>0</v>
      </c>
      <c r="F1868" t="s">
        <v>10</v>
      </c>
      <c r="G1868" t="str" cm="1">
        <f t="array" ref="G1868">FindCountryName(F1868)</f>
        <v>None</v>
      </c>
      <c r="H1868" s="3">
        <v>45141.137835648151</v>
      </c>
      <c r="I1868" s="3">
        <v>45141.137835648151</v>
      </c>
      <c r="J1868" s="3">
        <v>44155.665150462963</v>
      </c>
      <c r="K1868" cm="1">
        <f t="array" ref="K1868">sentimentCalc(C1868)</f>
        <v>-2</v>
      </c>
      <c r="L1868" t="str" cm="1">
        <f t="array" ref="L1868">sentimentCategory(K1868)</f>
        <v>Negative</v>
      </c>
    </row>
    <row r="1869" spans="1:12" x14ac:dyDescent="0.25">
      <c r="A1869" t="s">
        <v>501</v>
      </c>
      <c r="B1869" t="s">
        <v>2369</v>
      </c>
      <c r="C1869" t="str" cm="1">
        <f t="array" ref="C1869">CleanText(B1869)</f>
        <v>is ken man from harry potter film</v>
      </c>
      <c r="D1869">
        <v>0</v>
      </c>
      <c r="E1869">
        <v>1</v>
      </c>
      <c r="F1869" t="s">
        <v>10</v>
      </c>
      <c r="G1869" t="str" cm="1">
        <f t="array" ref="G1869">FindCountryName(F1869)</f>
        <v>None</v>
      </c>
      <c r="H1869" s="3">
        <v>45170.289641203701</v>
      </c>
      <c r="I1869" s="3">
        <v>45170.289641203701</v>
      </c>
      <c r="J1869" s="3">
        <v>44756.977708333332</v>
      </c>
      <c r="K1869" cm="1">
        <f t="array" ref="K1869">sentimentCalc(C1869)</f>
        <v>0</v>
      </c>
      <c r="L1869" t="str" cm="1">
        <f t="array" ref="L1869">sentimentCategory(K1869)</f>
        <v>Neutral</v>
      </c>
    </row>
    <row r="1870" spans="1:12" x14ac:dyDescent="0.25">
      <c r="A1870" t="s">
        <v>3725</v>
      </c>
      <c r="B1870" t="s">
        <v>4038</v>
      </c>
      <c r="C1870" t="str" cm="1">
        <f t="array" ref="C1870">CleanText(B1870)</f>
        <v>is that a bad boy in harry potter</v>
      </c>
      <c r="D1870">
        <v>0</v>
      </c>
      <c r="E1870">
        <v>0</v>
      </c>
      <c r="F1870" t="s">
        <v>10</v>
      </c>
      <c r="G1870" t="str" cm="1">
        <f t="array" ref="G1870">FindCountryName(F1870)</f>
        <v>None</v>
      </c>
      <c r="H1870" s="3">
        <v>45143.472488425927</v>
      </c>
      <c r="I1870" s="3">
        <v>45143.472488425927</v>
      </c>
      <c r="J1870" s="3">
        <v>42173.403773148151</v>
      </c>
      <c r="K1870" cm="1">
        <f t="array" ref="K1870">sentimentCalc(C1870)</f>
        <v>-3</v>
      </c>
      <c r="L1870" t="str" cm="1">
        <f t="array" ref="L1870">sentimentCategory(K1870)</f>
        <v>Negative</v>
      </c>
    </row>
    <row r="1871" spans="1:12" x14ac:dyDescent="0.25">
      <c r="A1871" t="s">
        <v>83</v>
      </c>
      <c r="B1871" t="s">
        <v>4301</v>
      </c>
      <c r="C1871" t="str" cm="1">
        <f t="array" ref="C1871">CleanText(B1871)</f>
        <v>is the voice in song is of jiminaa</v>
      </c>
      <c r="D1871">
        <v>0</v>
      </c>
      <c r="E1871">
        <v>0</v>
      </c>
      <c r="F1871" t="s">
        <v>10</v>
      </c>
      <c r="G1871" t="str" cm="1">
        <f t="array" ref="G1871">FindCountryName(F1871)</f>
        <v>None</v>
      </c>
      <c r="H1871" s="3">
        <v>45141.126643518517</v>
      </c>
      <c r="I1871" s="3">
        <v>45141.126643518517</v>
      </c>
      <c r="J1871" s="3">
        <v>42842.225497685184</v>
      </c>
      <c r="K1871" cm="1">
        <f t="array" ref="K1871">sentimentCalc(C1871)</f>
        <v>0</v>
      </c>
      <c r="L1871" t="str" cm="1">
        <f t="array" ref="L1871">sentimentCategory(K1871)</f>
        <v>Neutral</v>
      </c>
    </row>
    <row r="1872" spans="1:12" x14ac:dyDescent="0.25">
      <c r="A1872" t="s">
        <v>197</v>
      </c>
      <c r="B1872" t="s">
        <v>4269</v>
      </c>
      <c r="C1872" t="str" cm="1">
        <f t="array" ref="C1872">CleanText(B1872)</f>
        <v>is their aishwarya rai here</v>
      </c>
      <c r="D1872">
        <v>1</v>
      </c>
      <c r="E1872">
        <v>0</v>
      </c>
      <c r="F1872" t="s">
        <v>10</v>
      </c>
      <c r="G1872" t="str" cm="1">
        <f t="array" ref="G1872">FindCountryName(F1872)</f>
        <v>None</v>
      </c>
      <c r="H1872" s="3">
        <v>45141.349699074075</v>
      </c>
      <c r="I1872" s="3">
        <v>45141.349699074075</v>
      </c>
      <c r="J1872" s="3">
        <v>41144.58185185185</v>
      </c>
      <c r="K1872" cm="1">
        <f t="array" ref="K1872">sentimentCalc(C1872)</f>
        <v>0</v>
      </c>
      <c r="L1872" t="str" cm="1">
        <f t="array" ref="L1872">sentimentCategory(K1872)</f>
        <v>Neutral</v>
      </c>
    </row>
    <row r="1873" spans="1:12" x14ac:dyDescent="0.25">
      <c r="A1873" t="s">
        <v>329</v>
      </c>
      <c r="B1873" t="s">
        <v>2712</v>
      </c>
      <c r="C1873" t="str" cm="1">
        <f t="array" ref="C1873">CleanText(B1873)</f>
        <v>is there an opinion from anyone who isnt a  year old girl or bot the movie was hyped beyond belief im genuinely confused if its good or if advertising via social media is just too effectivelike yes it has ryan gosling great but what else</v>
      </c>
      <c r="D1873">
        <v>1</v>
      </c>
      <c r="E1873">
        <v>3</v>
      </c>
      <c r="F1873" t="s">
        <v>10</v>
      </c>
      <c r="G1873" t="str" cm="1">
        <f t="array" ref="G1873">FindCountryName(F1873)</f>
        <v>None</v>
      </c>
      <c r="H1873" s="3">
        <v>45159.44866898148</v>
      </c>
      <c r="I1873" s="3">
        <v>45159.44866898148</v>
      </c>
      <c r="J1873" s="3">
        <v>42516.94122685185</v>
      </c>
      <c r="K1873" cm="1">
        <f t="array" ref="K1873">sentimentCalc(C1873)</f>
        <v>5</v>
      </c>
      <c r="L1873" t="str" cm="1">
        <f t="array" ref="L1873">sentimentCategory(K1873)</f>
        <v>Positive</v>
      </c>
    </row>
    <row r="1874" spans="1:12" x14ac:dyDescent="0.25">
      <c r="A1874" t="s">
        <v>137</v>
      </c>
      <c r="B1874" t="s">
        <v>2444</v>
      </c>
      <c r="C1874" t="str" cm="1">
        <f t="array" ref="C1874">CleanText(B1874)</f>
        <v>is there anyone remember the dress</v>
      </c>
      <c r="D1874">
        <v>0</v>
      </c>
      <c r="E1874">
        <v>0</v>
      </c>
      <c r="F1874" t="s">
        <v>10</v>
      </c>
      <c r="G1874" t="str" cm="1">
        <f t="array" ref="G1874">FindCountryName(F1874)</f>
        <v>None</v>
      </c>
      <c r="H1874" s="3">
        <v>45167.135868055557</v>
      </c>
      <c r="I1874" s="3">
        <v>45167.135868055557</v>
      </c>
      <c r="J1874" s="3">
        <v>44803.228842592594</v>
      </c>
      <c r="K1874" cm="1">
        <f t="array" ref="K1874">sentimentCalc(C1874)</f>
        <v>0</v>
      </c>
      <c r="L1874" t="str" cm="1">
        <f t="array" ref="L1874">sentimentCategory(K1874)</f>
        <v>Neutral</v>
      </c>
    </row>
    <row r="1875" spans="1:12" x14ac:dyDescent="0.25">
      <c r="A1875" t="s">
        <v>646</v>
      </c>
      <c r="B1875" t="s">
        <v>3933</v>
      </c>
      <c r="C1875" t="str" cm="1">
        <f t="array" ref="C1875">CleanText(B1875)</f>
        <v>is there some sort of meme that im not aware of why is everyone so insanely pleased with the movie in the comments its gotta be the same fake reactions like morbius had this movie is not good</v>
      </c>
      <c r="D1875">
        <v>2</v>
      </c>
      <c r="E1875">
        <v>4</v>
      </c>
      <c r="F1875" t="s">
        <v>10</v>
      </c>
      <c r="G1875" t="str" cm="1">
        <f t="array" ref="G1875">FindCountryName(F1875)</f>
        <v>None</v>
      </c>
      <c r="H1875" s="3">
        <v>45144.423541666663</v>
      </c>
      <c r="I1875" s="3">
        <v>45144.423541666663</v>
      </c>
      <c r="J1875" s="3">
        <v>43029.694722222222</v>
      </c>
      <c r="K1875" cm="1">
        <f t="array" ref="K1875">sentimentCalc(C1875)</f>
        <v>5</v>
      </c>
      <c r="L1875" t="str" cm="1">
        <f t="array" ref="L1875">sentimentCategory(K1875)</f>
        <v>Positive</v>
      </c>
    </row>
    <row r="1876" spans="1:12" x14ac:dyDescent="0.25">
      <c r="A1876" t="s">
        <v>1366</v>
      </c>
      <c r="B1876" t="s">
        <v>3217</v>
      </c>
      <c r="C1876" t="str" cm="1">
        <f t="array" ref="C1876">CleanText(B1876)</f>
        <v>is this adam  eve story man  woman in an everlasting place woman getting bored wants something else you ever think about dying man follows woman  they leave</v>
      </c>
      <c r="D1876">
        <v>1</v>
      </c>
      <c r="E1876">
        <v>0</v>
      </c>
      <c r="F1876" t="s">
        <v>10</v>
      </c>
      <c r="G1876" t="str" cm="1">
        <f t="array" ref="G1876">FindCountryName(F1876)</f>
        <v>None</v>
      </c>
      <c r="H1876" s="3">
        <v>45151.730381944442</v>
      </c>
      <c r="I1876" s="3">
        <v>45151.730381944442</v>
      </c>
      <c r="J1876" s="3">
        <v>41017.842476851853</v>
      </c>
      <c r="K1876" cm="1">
        <f t="array" ref="K1876">sentimentCalc(C1876)</f>
        <v>-3</v>
      </c>
      <c r="L1876" t="str" cm="1">
        <f t="array" ref="L1876">sentimentCategory(K1876)</f>
        <v>Negative</v>
      </c>
    </row>
    <row r="1877" spans="1:12" x14ac:dyDescent="0.25">
      <c r="A1877" t="s">
        <v>331</v>
      </c>
      <c r="B1877" t="s">
        <v>2871</v>
      </c>
      <c r="C1877" t="str" cm="1">
        <f t="array" ref="C1877">CleanText(B1877)</f>
        <v>is this barbie girl is from dhar mann too</v>
      </c>
      <c r="D1877">
        <v>0</v>
      </c>
      <c r="E1877">
        <v>0</v>
      </c>
      <c r="F1877" t="s">
        <v>10</v>
      </c>
      <c r="G1877" t="str" cm="1">
        <f t="array" ref="G1877">FindCountryName(F1877)</f>
        <v>None</v>
      </c>
      <c r="H1877" s="3">
        <v>45156.623773148145</v>
      </c>
      <c r="I1877" s="3">
        <v>45156.623773148145</v>
      </c>
      <c r="J1877" s="3">
        <v>44438.84269675926</v>
      </c>
      <c r="K1877" cm="1">
        <f t="array" ref="K1877">sentimentCalc(C1877)</f>
        <v>0</v>
      </c>
      <c r="L1877" t="str" cm="1">
        <f t="array" ref="L1877">sentimentCategory(K1877)</f>
        <v>Neutral</v>
      </c>
    </row>
    <row r="1878" spans="1:12" x14ac:dyDescent="0.25">
      <c r="A1878" t="s">
        <v>197</v>
      </c>
      <c r="B1878" t="s">
        <v>3811</v>
      </c>
      <c r="C1878" t="str" cm="1">
        <f t="array" ref="C1878">CleanText(B1878)</f>
        <v>is this movie about the wall</v>
      </c>
      <c r="D1878">
        <v>0</v>
      </c>
      <c r="E1878">
        <v>0</v>
      </c>
      <c r="F1878" t="s">
        <v>10</v>
      </c>
      <c r="G1878" t="str" cm="1">
        <f t="array" ref="G1878">FindCountryName(F1878)</f>
        <v>None</v>
      </c>
      <c r="H1878" s="3">
        <v>45145.330416666664</v>
      </c>
      <c r="I1878" s="3">
        <v>45145.330416666664</v>
      </c>
      <c r="J1878" s="3">
        <v>41037.499606481484</v>
      </c>
      <c r="K1878" cm="1">
        <f t="array" ref="K1878">sentimentCalc(C1878)</f>
        <v>0</v>
      </c>
      <c r="L1878" t="str" cm="1">
        <f t="array" ref="L1878">sentimentCategory(K1878)</f>
        <v>Neutral</v>
      </c>
    </row>
    <row r="1879" spans="1:12" x14ac:dyDescent="0.25">
      <c r="A1879" t="s">
        <v>3192</v>
      </c>
      <c r="B1879" t="s">
        <v>3193</v>
      </c>
      <c r="C1879" t="str" cm="1">
        <f t="array" ref="C1879">CleanText(B1879)</f>
        <v>is this movie for kids</v>
      </c>
      <c r="D1879">
        <v>0</v>
      </c>
      <c r="E1879">
        <v>4</v>
      </c>
      <c r="F1879" t="s">
        <v>10</v>
      </c>
      <c r="G1879" t="str" cm="1">
        <f t="array" ref="G1879">FindCountryName(F1879)</f>
        <v>None</v>
      </c>
      <c r="H1879" s="3">
        <v>45152.100914351853</v>
      </c>
      <c r="I1879" s="3">
        <v>45152.100914351853</v>
      </c>
      <c r="J1879" s="3">
        <v>38974.022349537037</v>
      </c>
      <c r="K1879" cm="1">
        <f t="array" ref="K1879">sentimentCalc(C1879)</f>
        <v>0</v>
      </c>
      <c r="L1879" t="str" cm="1">
        <f t="array" ref="L1879">sentimentCategory(K1879)</f>
        <v>Neutral</v>
      </c>
    </row>
    <row r="1880" spans="1:12" x14ac:dyDescent="0.25">
      <c r="A1880" t="s">
        <v>481</v>
      </c>
      <c r="B1880" t="s">
        <v>2429</v>
      </c>
      <c r="C1880" t="str" cm="1">
        <f t="array" ref="C1880">CleanText(B1880)</f>
        <v>is this movie good for someone under  years</v>
      </c>
      <c r="D1880">
        <v>0</v>
      </c>
      <c r="E1880">
        <v>2</v>
      </c>
      <c r="F1880" t="s">
        <v>1073</v>
      </c>
      <c r="G1880" t="str" cm="1">
        <f t="array" ref="G1880">FindCountryName(F1880)</f>
        <v>India</v>
      </c>
      <c r="H1880" s="3">
        <v>45167.460046296299</v>
      </c>
      <c r="I1880" s="3">
        <v>45167.460046296299</v>
      </c>
      <c r="J1880" s="3">
        <v>44499.07476851852</v>
      </c>
      <c r="K1880" cm="1">
        <f t="array" ref="K1880">sentimentCalc(C1880)</f>
        <v>3</v>
      </c>
      <c r="L1880" t="str" cm="1">
        <f t="array" ref="L1880">sentimentCategory(K1880)</f>
        <v>Positive</v>
      </c>
    </row>
    <row r="1881" spans="1:12" x14ac:dyDescent="0.25">
      <c r="A1881" t="s">
        <v>618</v>
      </c>
      <c r="B1881" t="s">
        <v>1574</v>
      </c>
      <c r="C1881" t="str" cm="1">
        <f t="array" ref="C1881">CleanText(B1881)</f>
        <v>is this movie nominated for any oscars</v>
      </c>
      <c r="D1881">
        <v>2</v>
      </c>
      <c r="E1881">
        <v>2</v>
      </c>
      <c r="F1881" t="s">
        <v>10</v>
      </c>
      <c r="G1881" t="str" cm="1">
        <f t="array" ref="G1881">FindCountryName(F1881)</f>
        <v>None</v>
      </c>
      <c r="H1881" s="3">
        <v>45213.914560185185</v>
      </c>
      <c r="I1881" s="3">
        <v>45213.914560185185</v>
      </c>
      <c r="J1881" s="3">
        <v>43889.654340277775</v>
      </c>
      <c r="K1881" cm="1">
        <f t="array" ref="K1881">sentimentCalc(C1881)</f>
        <v>0</v>
      </c>
      <c r="L1881" t="str" cm="1">
        <f t="array" ref="L1881">sentimentCategory(K1881)</f>
        <v>Neutral</v>
      </c>
    </row>
    <row r="1882" spans="1:12" x14ac:dyDescent="0.25">
      <c r="A1882" t="s">
        <v>4136</v>
      </c>
      <c r="B1882" t="s">
        <v>4137</v>
      </c>
      <c r="C1882" t="str" cm="1">
        <f t="array" ref="C1882">CleanText(B1882)</f>
        <v>is this movie suitable for kids</v>
      </c>
      <c r="D1882">
        <v>1</v>
      </c>
      <c r="E1882">
        <v>3</v>
      </c>
      <c r="F1882" t="s">
        <v>10</v>
      </c>
      <c r="G1882" t="str" cm="1">
        <f t="array" ref="G1882">FindCountryName(F1882)</f>
        <v>None</v>
      </c>
      <c r="H1882" s="3">
        <v>45142.607233796298</v>
      </c>
      <c r="I1882" s="3">
        <v>45142.607233796298</v>
      </c>
      <c r="J1882" s="3">
        <v>40649.406944444447</v>
      </c>
      <c r="K1882" cm="1">
        <f t="array" ref="K1882">sentimentCalc(C1882)</f>
        <v>0</v>
      </c>
      <c r="L1882" t="str" cm="1">
        <f t="array" ref="L1882">sentimentCategory(K1882)</f>
        <v>Neutral</v>
      </c>
    </row>
    <row r="1883" spans="1:12" x14ac:dyDescent="0.25">
      <c r="A1883" t="s">
        <v>3686</v>
      </c>
      <c r="B1883" t="s">
        <v>3687</v>
      </c>
      <c r="C1883" t="str" cm="1">
        <f t="array" ref="C1883">CleanText(B1883)</f>
        <v>is this real i love margot  ryan but wth lol</v>
      </c>
      <c r="D1883">
        <v>1</v>
      </c>
      <c r="E1883">
        <v>0</v>
      </c>
      <c r="F1883" t="s">
        <v>10</v>
      </c>
      <c r="G1883" t="str" cm="1">
        <f t="array" ref="G1883">FindCountryName(F1883)</f>
        <v>None</v>
      </c>
      <c r="H1883" s="3">
        <v>45146.420173611114</v>
      </c>
      <c r="I1883" s="3">
        <v>45146.420173611114</v>
      </c>
      <c r="J1883" s="3">
        <v>42100.986076388886</v>
      </c>
      <c r="K1883" cm="1">
        <f t="array" ref="K1883">sentimentCalc(C1883)</f>
        <v>3</v>
      </c>
      <c r="L1883" t="str" cm="1">
        <f t="array" ref="L1883">sentimentCategory(K1883)</f>
        <v>Positive</v>
      </c>
    </row>
    <row r="1884" spans="1:12" x14ac:dyDescent="0.25">
      <c r="A1884" t="s">
        <v>1008</v>
      </c>
      <c r="B1884" t="s">
        <v>3382</v>
      </c>
      <c r="C1884" t="str" cm="1">
        <f t="array" ref="C1884">CleanText(B1884)</f>
        <v>is this the new one</v>
      </c>
      <c r="D1884">
        <v>0</v>
      </c>
      <c r="E1884">
        <v>0</v>
      </c>
      <c r="F1884" t="s">
        <v>10</v>
      </c>
      <c r="G1884" t="str" cm="1">
        <f t="array" ref="G1884">FindCountryName(F1884)</f>
        <v>None</v>
      </c>
      <c r="H1884" s="3">
        <v>45149.404398148145</v>
      </c>
      <c r="I1884" s="3">
        <v>45149.404398148145</v>
      </c>
      <c r="J1884" s="3">
        <v>44862.075057870374</v>
      </c>
      <c r="K1884" cm="1">
        <f t="array" ref="K1884">sentimentCalc(C1884)</f>
        <v>0</v>
      </c>
      <c r="L1884" t="str" cm="1">
        <f t="array" ref="L1884">sentimentCategory(K1884)</f>
        <v>Neutral</v>
      </c>
    </row>
    <row r="1885" spans="1:12" x14ac:dyDescent="0.25">
      <c r="A1885" t="s">
        <v>345</v>
      </c>
      <c r="B1885" t="s">
        <v>3754</v>
      </c>
      <c r="C1885" t="str" cm="1">
        <f t="array" ref="C1885">CleanText(B1885)</f>
        <v>is this what people are watching the world is a weird place</v>
      </c>
      <c r="D1885">
        <v>1</v>
      </c>
      <c r="E1885">
        <v>0</v>
      </c>
      <c r="F1885" t="s">
        <v>10</v>
      </c>
      <c r="G1885" t="str" cm="1">
        <f t="array" ref="G1885">FindCountryName(F1885)</f>
        <v>None</v>
      </c>
      <c r="H1885" s="3">
        <v>45145.715798611112</v>
      </c>
      <c r="I1885" s="3">
        <v>45145.715798611112</v>
      </c>
      <c r="J1885" s="3">
        <v>42516.570335648146</v>
      </c>
      <c r="K1885" cm="1">
        <f t="array" ref="K1885">sentimentCalc(C1885)</f>
        <v>-2</v>
      </c>
      <c r="L1885" t="str" cm="1">
        <f t="array" ref="L1885">sentimentCategory(K1885)</f>
        <v>Negative</v>
      </c>
    </row>
    <row r="1886" spans="1:12" x14ac:dyDescent="0.25">
      <c r="A1886" t="s">
        <v>2469</v>
      </c>
      <c r="B1886" t="s">
        <v>4125</v>
      </c>
      <c r="C1886" t="str" cm="1">
        <f t="array" ref="C1886">CleanText(B1886)</f>
        <v>isnt ken supposed to be like  taller than barbie but that part wasnt important</v>
      </c>
      <c r="D1886">
        <v>0</v>
      </c>
      <c r="E1886">
        <v>0</v>
      </c>
      <c r="F1886" t="s">
        <v>10</v>
      </c>
      <c r="G1886" t="str" cm="1">
        <f t="array" ref="G1886">FindCountryName(F1886)</f>
        <v>None</v>
      </c>
      <c r="H1886" s="3">
        <v>45142.664837962962</v>
      </c>
      <c r="I1886" s="3">
        <v>45142.664837962962</v>
      </c>
      <c r="J1886" s="3">
        <v>43159.68277777778</v>
      </c>
      <c r="K1886" cm="1">
        <f t="array" ref="K1886">sentimentCalc(C1886)</f>
        <v>4</v>
      </c>
      <c r="L1886" t="str" cm="1">
        <f t="array" ref="L1886">sentimentCategory(K1886)</f>
        <v>Positive</v>
      </c>
    </row>
    <row r="1887" spans="1:12" x14ac:dyDescent="0.25">
      <c r="A1887" t="s">
        <v>1082</v>
      </c>
      <c r="B1887" t="s">
        <v>3786</v>
      </c>
      <c r="C1887" t="str" cm="1">
        <f t="array" ref="C1887">CleanText(B1887)</f>
        <v>isnt there one bad comment about this movie  im curious to watch it</v>
      </c>
      <c r="D1887">
        <v>0</v>
      </c>
      <c r="E1887">
        <v>1</v>
      </c>
      <c r="F1887" t="s">
        <v>10</v>
      </c>
      <c r="G1887" t="str" cm="1">
        <f t="array" ref="G1887">FindCountryName(F1887)</f>
        <v>None</v>
      </c>
      <c r="H1887" s="3">
        <v>45145.496400462966</v>
      </c>
      <c r="I1887" s="3">
        <v>45145.496400462966</v>
      </c>
      <c r="J1887" s="3">
        <v>43017.298252314817</v>
      </c>
      <c r="K1887" cm="1">
        <f t="array" ref="K1887">sentimentCalc(C1887)</f>
        <v>-2</v>
      </c>
      <c r="L1887" t="str" cm="1">
        <f t="array" ref="L1887">sentimentCategory(K1887)</f>
        <v>Negative</v>
      </c>
    </row>
    <row r="1888" spans="1:12" x14ac:dyDescent="0.25">
      <c r="A1888" t="s">
        <v>296</v>
      </c>
      <c r="B1888" t="s">
        <v>1534</v>
      </c>
      <c r="C1888" t="str" cm="1">
        <f t="array" ref="C1888">CleanText(B1888)</f>
        <v>it cool</v>
      </c>
      <c r="D1888">
        <v>0</v>
      </c>
      <c r="E1888">
        <v>0</v>
      </c>
      <c r="F1888" t="s">
        <v>10</v>
      </c>
      <c r="G1888" t="str" cm="1">
        <f t="array" ref="G1888">FindCountryName(F1888)</f>
        <v>None</v>
      </c>
      <c r="H1888" s="3">
        <v>45215.200416666667</v>
      </c>
      <c r="I1888" s="3">
        <v>45215.200416666667</v>
      </c>
      <c r="J1888" s="3">
        <v>45088.935787037037</v>
      </c>
      <c r="K1888" cm="1">
        <f t="array" ref="K1888">sentimentCalc(C1888)</f>
        <v>1</v>
      </c>
      <c r="L1888" t="str" cm="1">
        <f t="array" ref="L1888">sentimentCategory(K1888)</f>
        <v>Positive</v>
      </c>
    </row>
    <row r="1889" spans="1:12" x14ac:dyDescent="0.25">
      <c r="A1889" t="s">
        <v>503</v>
      </c>
      <c r="B1889" t="s">
        <v>1722</v>
      </c>
      <c r="C1889" t="str" cm="1">
        <f t="array" ref="C1889">CleanText(B1889)</f>
        <v>it could have been a good and world movie for all times and peoples but you ruined it with your damn nonsense about feminism and other nonsense after  minutes its worth watching rewind you are idiots and having penetrated under this nonsense you will burn out you deserve it you idiots</v>
      </c>
      <c r="D1889">
        <v>0</v>
      </c>
      <c r="E1889">
        <v>2</v>
      </c>
      <c r="F1889" t="s">
        <v>10</v>
      </c>
      <c r="G1889" t="str" cm="1">
        <f t="array" ref="G1889">FindCountryName(F1889)</f>
        <v>None</v>
      </c>
      <c r="H1889" s="3">
        <v>45199.427662037036</v>
      </c>
      <c r="I1889" s="3">
        <v>45199.428622685184</v>
      </c>
      <c r="J1889" s="3">
        <v>45138.005335648151</v>
      </c>
      <c r="K1889" cm="1">
        <f t="array" ref="K1889">sentimentCalc(C1889)</f>
        <v>-7</v>
      </c>
      <c r="L1889" t="str" cm="1">
        <f t="array" ref="L1889">sentimentCategory(K1889)</f>
        <v>Negative</v>
      </c>
    </row>
    <row r="1890" spans="1:12" x14ac:dyDescent="0.25">
      <c r="A1890" t="s">
        <v>17</v>
      </c>
      <c r="B1890" t="s">
        <v>2719</v>
      </c>
      <c r="C1890" t="str" cm="1">
        <f t="array" ref="C1890">CleanText(B1890)</f>
        <v>it has m views lol</v>
      </c>
      <c r="D1890">
        <v>0</v>
      </c>
      <c r="E1890">
        <v>0</v>
      </c>
      <c r="F1890" t="s">
        <v>10</v>
      </c>
      <c r="G1890" t="str" cm="1">
        <f t="array" ref="G1890">FindCountryName(F1890)</f>
        <v>None</v>
      </c>
      <c r="H1890" s="3">
        <v>45159.340231481481</v>
      </c>
      <c r="I1890" s="3">
        <v>45159.340231481481</v>
      </c>
      <c r="J1890" s="3">
        <v>44572.502500000002</v>
      </c>
      <c r="K1890" cm="1">
        <f t="array" ref="K1890">sentimentCalc(C1890)</f>
        <v>0</v>
      </c>
      <c r="L1890" t="str" cm="1">
        <f t="array" ref="L1890">sentimentCategory(K1890)</f>
        <v>Neutral</v>
      </c>
    </row>
    <row r="1891" spans="1:12" x14ac:dyDescent="0.25">
      <c r="A1891" t="s">
        <v>1592</v>
      </c>
      <c r="B1891" t="s">
        <v>2426</v>
      </c>
      <c r="C1891" t="str" cm="1">
        <f t="array" ref="C1891">CleanText(B1891)</f>
        <v>it is a great film so much to laugh about but sometimes with tears in my eyes i absoluteley loved the bench scene with the old lady i think it is the most important moment in the whole movie it sums up the message in a few words and a glance so heartwarming and touching  the heart of the movie it was undoubtedly the best part we can learn a lot from this</v>
      </c>
      <c r="D1891">
        <v>2</v>
      </c>
      <c r="E1891">
        <v>3</v>
      </c>
      <c r="F1891" t="s">
        <v>10</v>
      </c>
      <c r="G1891" t="str" cm="1">
        <f t="array" ref="G1891">FindCountryName(F1891)</f>
        <v>None</v>
      </c>
      <c r="H1891" s="3">
        <v>45167.799479166664</v>
      </c>
      <c r="I1891" s="3">
        <v>45167.803553240738</v>
      </c>
      <c r="J1891" s="3">
        <v>44705.655416666668</v>
      </c>
      <c r="K1891" cm="1">
        <f t="array" ref="K1891">sentimentCalc(C1891)</f>
        <v>10</v>
      </c>
      <c r="L1891" t="str" cm="1">
        <f t="array" ref="L1891">sentimentCategory(K1891)</f>
        <v>Positive</v>
      </c>
    </row>
    <row r="1892" spans="1:12" x14ac:dyDescent="0.25">
      <c r="A1892" t="s">
        <v>304</v>
      </c>
      <c r="B1892" t="s">
        <v>2675</v>
      </c>
      <c r="C1892" t="str" cm="1">
        <f t="array" ref="C1892">CleanText(B1892)</f>
        <v>it is a very beautiful movie i recommend it to everyone please let the nd part come</v>
      </c>
      <c r="D1892">
        <v>6</v>
      </c>
      <c r="E1892">
        <v>0</v>
      </c>
      <c r="F1892" t="s">
        <v>10</v>
      </c>
      <c r="G1892" t="str" cm="1">
        <f t="array" ref="G1892">FindCountryName(F1892)</f>
        <v>None</v>
      </c>
      <c r="H1892" s="3">
        <v>45160.369837962964</v>
      </c>
      <c r="I1892" s="3">
        <v>45160.369837962964</v>
      </c>
      <c r="J1892" s="3">
        <v>44153.151516203703</v>
      </c>
      <c r="K1892" cm="1">
        <f t="array" ref="K1892">sentimentCalc(C1892)</f>
        <v>6</v>
      </c>
      <c r="L1892" t="str" cm="1">
        <f t="array" ref="L1892">sentimentCategory(K1892)</f>
        <v>Positive</v>
      </c>
    </row>
    <row r="1893" spans="1:12" x14ac:dyDescent="0.25">
      <c r="A1893" t="s">
        <v>221</v>
      </c>
      <c r="B1893" t="s">
        <v>222</v>
      </c>
      <c r="C1893" t="str" cm="1">
        <f t="array" ref="C1893">CleanText(B1893)</f>
        <v>it is cringe movie but i respect ruth handler</v>
      </c>
      <c r="D1893">
        <v>0</v>
      </c>
      <c r="E1893">
        <v>0</v>
      </c>
      <c r="F1893" t="s">
        <v>10</v>
      </c>
      <c r="G1893" t="str" cm="1">
        <f t="array" ref="G1893">FindCountryName(F1893)</f>
        <v>None</v>
      </c>
      <c r="H1893" s="3">
        <v>45329.56890046296</v>
      </c>
      <c r="I1893" s="3">
        <v>45329.56890046296</v>
      </c>
      <c r="J1893" s="3">
        <v>38819.06354166667</v>
      </c>
      <c r="K1893" cm="1">
        <f t="array" ref="K1893">sentimentCalc(C1893)</f>
        <v>0</v>
      </c>
      <c r="L1893" t="str" cm="1">
        <f t="array" ref="L1893">sentimentCategory(K1893)</f>
        <v>Neutral</v>
      </c>
    </row>
    <row r="1894" spans="1:12" x14ac:dyDescent="0.25">
      <c r="A1894" t="s">
        <v>3434</v>
      </c>
      <c r="B1894" t="s">
        <v>3435</v>
      </c>
      <c r="C1894" t="str" cm="1">
        <f t="array" ref="C1894">CleanText(B1894)</f>
        <v>it is not shocking how immoral the world is getting</v>
      </c>
      <c r="D1894">
        <v>1</v>
      </c>
      <c r="E1894">
        <v>0</v>
      </c>
      <c r="F1894" t="s">
        <v>10</v>
      </c>
      <c r="G1894" t="str" cm="1">
        <f t="array" ref="G1894">FindCountryName(F1894)</f>
        <v>None</v>
      </c>
      <c r="H1894" s="3">
        <v>45148.960312499999</v>
      </c>
      <c r="I1894" s="3">
        <v>45148.960312499999</v>
      </c>
      <c r="J1894" s="3">
        <v>42457.84101851852</v>
      </c>
      <c r="K1894" cm="1">
        <f t="array" ref="K1894">sentimentCalc(C1894)</f>
        <v>-2</v>
      </c>
      <c r="L1894" t="str" cm="1">
        <f t="array" ref="L1894">sentimentCategory(K1894)</f>
        <v>Negative</v>
      </c>
    </row>
    <row r="1895" spans="1:12" x14ac:dyDescent="0.25">
      <c r="A1895" t="s">
        <v>830</v>
      </c>
      <c r="B1895" t="s">
        <v>3823</v>
      </c>
      <c r="C1895" t="str" cm="1">
        <f t="array" ref="C1895">CleanText(B1895)</f>
        <v>it is really a big fun</v>
      </c>
      <c r="D1895">
        <v>0</v>
      </c>
      <c r="E1895">
        <v>0</v>
      </c>
      <c r="F1895" t="s">
        <v>10</v>
      </c>
      <c r="G1895" t="str" cm="1">
        <f t="array" ref="G1895">FindCountryName(F1895)</f>
        <v>None</v>
      </c>
      <c r="H1895" s="3">
        <v>45145.26326388889</v>
      </c>
      <c r="I1895" s="3">
        <v>45145.26326388889</v>
      </c>
      <c r="J1895" s="3">
        <v>43558.322650462964</v>
      </c>
      <c r="K1895" cm="1">
        <f t="array" ref="K1895">sentimentCalc(C1895)</f>
        <v>5</v>
      </c>
      <c r="L1895" t="str" cm="1">
        <f t="array" ref="L1895">sentimentCategory(K1895)</f>
        <v>Positive</v>
      </c>
    </row>
    <row r="1896" spans="1:12" x14ac:dyDescent="0.25">
      <c r="A1896" t="s">
        <v>30</v>
      </c>
      <c r="B1896" t="s">
        <v>420</v>
      </c>
      <c r="C1896" t="str" cm="1">
        <f t="array" ref="C1896">CleanText(B1896)</f>
        <v>it is so colorfull</v>
      </c>
      <c r="D1896">
        <v>0</v>
      </c>
      <c r="E1896">
        <v>0</v>
      </c>
      <c r="F1896" t="s">
        <v>10</v>
      </c>
      <c r="G1896" t="str" cm="1">
        <f t="array" ref="G1896">FindCountryName(F1896)</f>
        <v>None</v>
      </c>
      <c r="H1896" s="3">
        <v>45322.272129629629</v>
      </c>
      <c r="I1896" s="3">
        <v>45322.272129629629</v>
      </c>
      <c r="J1896" s="3">
        <v>40932.193877314814</v>
      </c>
      <c r="K1896" cm="1">
        <f t="array" ref="K1896">sentimentCalc(C1896)</f>
        <v>0</v>
      </c>
      <c r="L1896" t="str" cm="1">
        <f t="array" ref="L1896">sentimentCategory(K1896)</f>
        <v>Neutral</v>
      </c>
    </row>
    <row r="1897" spans="1:12" x14ac:dyDescent="0.25">
      <c r="A1897" t="s">
        <v>382</v>
      </c>
      <c r="B1897" t="s">
        <v>3730</v>
      </c>
      <c r="C1897" t="str" cm="1">
        <f t="array" ref="C1897">CleanText(B1897)</f>
        <v>it is the dirtiest movie they will download that supports homosexuality it will be good for them generations have deviated what will happen after  years oh my god what is the use of changing your gender we will finish soon</v>
      </c>
      <c r="D1897">
        <v>1</v>
      </c>
      <c r="E1897">
        <v>0</v>
      </c>
      <c r="F1897" t="s">
        <v>10</v>
      </c>
      <c r="G1897" t="str" cm="1">
        <f t="array" ref="G1897">FindCountryName(F1897)</f>
        <v>None</v>
      </c>
      <c r="H1897" s="3">
        <v>45145.975856481484</v>
      </c>
      <c r="I1897" s="3">
        <v>45145.975856481484</v>
      </c>
      <c r="J1897" s="3">
        <v>45139.627581018518</v>
      </c>
      <c r="K1897" cm="1">
        <f t="array" ref="K1897">sentimentCalc(C1897)</f>
        <v>4</v>
      </c>
      <c r="L1897" t="str" cm="1">
        <f t="array" ref="L1897">sentimentCategory(K1897)</f>
        <v>Positive</v>
      </c>
    </row>
    <row r="1898" spans="1:12" x14ac:dyDescent="0.25">
      <c r="A1898" t="s">
        <v>1031</v>
      </c>
      <c r="B1898" t="s">
        <v>2186</v>
      </c>
      <c r="C1898" t="str" cm="1">
        <f t="array" ref="C1898">CleanText(B1898)</f>
        <v>it looks as funmoviei love margot robbie</v>
      </c>
      <c r="D1898">
        <v>0</v>
      </c>
      <c r="E1898">
        <v>0</v>
      </c>
      <c r="F1898" t="s">
        <v>10</v>
      </c>
      <c r="G1898" t="str" cm="1">
        <f t="array" ref="G1898">FindCountryName(F1898)</f>
        <v>None</v>
      </c>
      <c r="H1898" s="3">
        <v>45176.633437500001</v>
      </c>
      <c r="I1898" s="3">
        <v>45176.633437500001</v>
      </c>
      <c r="J1898" s="3">
        <v>45116.079745370371</v>
      </c>
      <c r="K1898" cm="1">
        <f t="array" ref="K1898">sentimentCalc(C1898)</f>
        <v>3</v>
      </c>
      <c r="L1898" t="str" cm="1">
        <f t="array" ref="L1898">sentimentCategory(K1898)</f>
        <v>Positive</v>
      </c>
    </row>
    <row r="1899" spans="1:12" x14ac:dyDescent="0.25">
      <c r="A1899" t="s">
        <v>60</v>
      </c>
      <c r="B1899" t="s">
        <v>3292</v>
      </c>
      <c r="C1899" t="str" cm="1">
        <f t="array" ref="C1899">CleanText(B1899)</f>
        <v>it looks interesting might watch now</v>
      </c>
      <c r="D1899">
        <v>0</v>
      </c>
      <c r="E1899">
        <v>0</v>
      </c>
      <c r="F1899" t="s">
        <v>10</v>
      </c>
      <c r="G1899" t="str" cm="1">
        <f t="array" ref="G1899">FindCountryName(F1899)</f>
        <v>None</v>
      </c>
      <c r="H1899" s="3">
        <v>45150.67628472222</v>
      </c>
      <c r="I1899" s="3">
        <v>45150.67628472222</v>
      </c>
      <c r="J1899" s="3">
        <v>42058.707986111112</v>
      </c>
      <c r="K1899" cm="1">
        <f t="array" ref="K1899">sentimentCalc(C1899)</f>
        <v>2</v>
      </c>
      <c r="L1899" t="str" cm="1">
        <f t="array" ref="L1899">sentimentCategory(K1899)</f>
        <v>Positive</v>
      </c>
    </row>
    <row r="1900" spans="1:12" x14ac:dyDescent="0.25">
      <c r="A1900" t="s">
        <v>859</v>
      </c>
      <c r="B1900" t="s">
        <v>3180</v>
      </c>
      <c r="C1900" t="str" cm="1">
        <f t="array" ref="C1900">CleanText(B1900)</f>
        <v>it should have been ryan reynolds</v>
      </c>
      <c r="D1900">
        <v>2</v>
      </c>
      <c r="E1900">
        <v>1</v>
      </c>
      <c r="F1900" t="s">
        <v>10</v>
      </c>
      <c r="G1900" t="str" cm="1">
        <f t="array" ref="G1900">FindCountryName(F1900)</f>
        <v>None</v>
      </c>
      <c r="H1900" s="3">
        <v>45152.333703703705</v>
      </c>
      <c r="I1900" s="3">
        <v>45152.333703703705</v>
      </c>
      <c r="J1900" s="3">
        <v>44946.203958333332</v>
      </c>
      <c r="K1900" cm="1">
        <f t="array" ref="K1900">sentimentCalc(C1900)</f>
        <v>0</v>
      </c>
      <c r="L1900" t="str" cm="1">
        <f t="array" ref="L1900">sentimentCategory(K1900)</f>
        <v>Neutral</v>
      </c>
    </row>
    <row r="1901" spans="1:12" x14ac:dyDescent="0.25">
      <c r="A1901" t="s">
        <v>32</v>
      </c>
      <c r="B1901" t="s">
        <v>2031</v>
      </c>
      <c r="C1901" t="str" cm="1">
        <f t="array" ref="C1901">CleanText(B1901)</f>
        <v>it starts off with little girls in dull boring outfits looking miserable taking care of they little play baby dolls and then when they see barbie they smash all their babies to pieces it felt demonic watching that part</v>
      </c>
      <c r="D1901">
        <v>0</v>
      </c>
      <c r="E1901">
        <v>1</v>
      </c>
      <c r="F1901" t="s">
        <v>10</v>
      </c>
      <c r="G1901" t="str" cm="1">
        <f t="array" ref="G1901">FindCountryName(F1901)</f>
        <v>None</v>
      </c>
      <c r="H1901" s="3">
        <v>45183.526192129626</v>
      </c>
      <c r="I1901" s="3">
        <v>45183.52716435185</v>
      </c>
      <c r="J1901" s="3">
        <v>42637.507557870369</v>
      </c>
      <c r="K1901" cm="1">
        <f t="array" ref="K1901">sentimentCalc(C1901)</f>
        <v>-6</v>
      </c>
      <c r="L1901" t="str" cm="1">
        <f t="array" ref="L1901">sentimentCategory(K1901)</f>
        <v>Negative</v>
      </c>
    </row>
    <row r="1902" spans="1:12" x14ac:dyDescent="0.25">
      <c r="A1902" t="s">
        <v>2682</v>
      </c>
      <c r="B1902" t="s">
        <v>2683</v>
      </c>
      <c r="C1902" t="str" cm="1">
        <f t="array" ref="C1902">CleanText(B1902)</f>
        <v>it time for oppenheimer</v>
      </c>
      <c r="D1902">
        <v>0</v>
      </c>
      <c r="E1902">
        <v>0</v>
      </c>
      <c r="F1902" t="s">
        <v>10</v>
      </c>
      <c r="G1902" t="str" cm="1">
        <f t="array" ref="G1902">FindCountryName(F1902)</f>
        <v>None</v>
      </c>
      <c r="H1902" s="3">
        <v>45160.233923611115</v>
      </c>
      <c r="I1902" s="3">
        <v>45160.233923611115</v>
      </c>
      <c r="J1902" s="3">
        <v>42474.229027777779</v>
      </c>
      <c r="K1902" cm="1">
        <f t="array" ref="K1902">sentimentCalc(C1902)</f>
        <v>0</v>
      </c>
      <c r="L1902" t="str" cm="1">
        <f t="array" ref="L1902">sentimentCategory(K1902)</f>
        <v>Neutral</v>
      </c>
    </row>
    <row r="1903" spans="1:12" x14ac:dyDescent="0.25">
      <c r="A1903" t="s">
        <v>1472</v>
      </c>
      <c r="B1903" t="s">
        <v>1473</v>
      </c>
      <c r="C1903" t="str" cm="1">
        <f t="array" ref="C1903">CleanText(B1903)</f>
        <v>it was a really really horrible movie</v>
      </c>
      <c r="D1903">
        <v>0</v>
      </c>
      <c r="E1903">
        <v>3</v>
      </c>
      <c r="F1903" t="s">
        <v>10</v>
      </c>
      <c r="G1903" t="str" cm="1">
        <f t="array" ref="G1903">FindCountryName(F1903)</f>
        <v>None</v>
      </c>
      <c r="H1903" s="3">
        <v>45225.594282407408</v>
      </c>
      <c r="I1903" s="3">
        <v>45225.594282407408</v>
      </c>
      <c r="J1903" s="3">
        <v>41150.173414351855</v>
      </c>
      <c r="K1903" cm="1">
        <f t="array" ref="K1903">sentimentCalc(C1903)</f>
        <v>-3</v>
      </c>
      <c r="L1903" t="str" cm="1">
        <f t="array" ref="L1903">sentimentCategory(K1903)</f>
        <v>Negative</v>
      </c>
    </row>
    <row r="1904" spans="1:12" x14ac:dyDescent="0.25">
      <c r="A1904" t="s">
        <v>2654</v>
      </c>
      <c r="B1904" t="s">
        <v>3360</v>
      </c>
      <c r="C1904" t="str" cm="1">
        <f t="array" ref="C1904">CleanText(B1904)</f>
        <v>it was in cinema  days ago i wish i went to see it</v>
      </c>
      <c r="D1904">
        <v>0</v>
      </c>
      <c r="E1904">
        <v>0</v>
      </c>
      <c r="F1904" t="s">
        <v>10</v>
      </c>
      <c r="G1904" t="str" cm="1">
        <f t="array" ref="G1904">FindCountryName(F1904)</f>
        <v>None</v>
      </c>
      <c r="H1904" s="3">
        <v>45149.673449074071</v>
      </c>
      <c r="I1904" s="3">
        <v>45149.673449074071</v>
      </c>
      <c r="J1904" s="3">
        <v>42423.409131944441</v>
      </c>
      <c r="K1904" cm="1">
        <f t="array" ref="K1904">sentimentCalc(C1904)</f>
        <v>1</v>
      </c>
      <c r="L1904" t="str" cm="1">
        <f t="array" ref="L1904">sentimentCategory(K1904)</f>
        <v>Positive</v>
      </c>
    </row>
    <row r="1905" spans="1:12" x14ac:dyDescent="0.25">
      <c r="A1905" t="s">
        <v>1008</v>
      </c>
      <c r="B1905" t="s">
        <v>4255</v>
      </c>
      <c r="C1905" t="str" cm="1">
        <f t="array" ref="C1905">CleanText(B1905)</f>
        <v>it were also a lot of barbie people here  with barbie small brains</v>
      </c>
      <c r="D1905">
        <v>2</v>
      </c>
      <c r="E1905">
        <v>0</v>
      </c>
      <c r="F1905" t="s">
        <v>10</v>
      </c>
      <c r="G1905" t="str" cm="1">
        <f t="array" ref="G1905">FindCountryName(F1905)</f>
        <v>None</v>
      </c>
      <c r="H1905" s="3">
        <v>45141.441770833335</v>
      </c>
      <c r="I1905" s="3">
        <v>45141.441770833335</v>
      </c>
      <c r="J1905" s="3">
        <v>42263.0780787037</v>
      </c>
      <c r="K1905" cm="1">
        <f t="array" ref="K1905">sentimentCalc(C1905)</f>
        <v>0</v>
      </c>
      <c r="L1905" t="str" cm="1">
        <f t="array" ref="L1905">sentimentCategory(K1905)</f>
        <v>Neutral</v>
      </c>
    </row>
    <row r="1906" spans="1:12" x14ac:dyDescent="0.25">
      <c r="A1906" t="s">
        <v>840</v>
      </c>
      <c r="B1906" t="s">
        <v>1127</v>
      </c>
      <c r="C1906" t="str" cm="1">
        <f t="array" ref="C1906">CleanText(B1906)</f>
        <v>it would take an exabyte one million terabytes to generate build a real barbie land</v>
      </c>
      <c r="D1906">
        <v>0</v>
      </c>
      <c r="E1906">
        <v>0</v>
      </c>
      <c r="F1906" t="s">
        <v>227</v>
      </c>
      <c r="G1906" t="str" cm="1">
        <f t="array" ref="G1906">FindCountryName(F1906)</f>
        <v>United States of America (the)</v>
      </c>
      <c r="H1906" s="3">
        <v>45285.621678240743</v>
      </c>
      <c r="I1906" s="3">
        <v>45285.621678240743</v>
      </c>
      <c r="J1906" s="3">
        <v>44935.021087962959</v>
      </c>
      <c r="K1906" cm="1">
        <f t="array" ref="K1906">sentimentCalc(C1906)</f>
        <v>0</v>
      </c>
      <c r="L1906" t="str" cm="1">
        <f t="array" ref="L1906">sentimentCategory(K1906)</f>
        <v>Neutral</v>
      </c>
    </row>
    <row r="1907" spans="1:12" x14ac:dyDescent="0.25">
      <c r="A1907" t="s">
        <v>2279</v>
      </c>
      <c r="B1907" t="s">
        <v>2280</v>
      </c>
      <c r="C1907" t="str" cm="1">
        <f t="array" ref="C1907">CleanText(B1907)</f>
        <v>its a god movie but mattel makes hot wheels</v>
      </c>
      <c r="D1907">
        <v>0</v>
      </c>
      <c r="E1907">
        <v>0</v>
      </c>
      <c r="F1907" t="s">
        <v>10</v>
      </c>
      <c r="G1907" t="str" cm="1">
        <f t="array" ref="G1907">FindCountryName(F1907)</f>
        <v>None</v>
      </c>
      <c r="H1907" s="3">
        <v>45172.982777777775</v>
      </c>
      <c r="I1907" s="3">
        <v>45172.982777777775</v>
      </c>
      <c r="J1907" s="3">
        <v>39286.051817129628</v>
      </c>
      <c r="K1907" cm="1">
        <f t="array" ref="K1907">sentimentCalc(C1907)</f>
        <v>1</v>
      </c>
      <c r="L1907" t="str" cm="1">
        <f t="array" ref="L1907">sentimentCategory(K1907)</f>
        <v>Positive</v>
      </c>
    </row>
    <row r="1908" spans="1:12" x14ac:dyDescent="0.25">
      <c r="A1908" t="s">
        <v>1076</v>
      </c>
      <c r="B1908" t="s">
        <v>2501</v>
      </c>
      <c r="C1908" t="str" cm="1">
        <f t="array" ref="C1908">CleanText(B1908)</f>
        <v>its a really good movie and finally a female lead thats well done and not cringy and doesnt win by being physically stronger than men</v>
      </c>
      <c r="D1908">
        <v>6</v>
      </c>
      <c r="E1908">
        <v>5</v>
      </c>
      <c r="F1908" t="s">
        <v>2502</v>
      </c>
      <c r="G1908" t="str" cm="1">
        <f t="array" ref="G1908">FindCountryName(F1908)</f>
        <v>Hungary</v>
      </c>
      <c r="H1908" s="3">
        <v>45164.898043981484</v>
      </c>
      <c r="I1908" s="3">
        <v>45164.898043981484</v>
      </c>
      <c r="J1908" s="3">
        <v>42810.346087962964</v>
      </c>
      <c r="K1908" cm="1">
        <f t="array" ref="K1908">sentimentCalc(C1908)</f>
        <v>9</v>
      </c>
      <c r="L1908" t="str" cm="1">
        <f t="array" ref="L1908">sentimentCategory(K1908)</f>
        <v>Positive</v>
      </c>
    </row>
    <row r="1909" spans="1:12" x14ac:dyDescent="0.25">
      <c r="A1909" t="s">
        <v>311</v>
      </c>
      <c r="B1909" t="s">
        <v>335</v>
      </c>
      <c r="C1909" t="str" cm="1">
        <f t="array" ref="C1909">CleanText(B1909)</f>
        <v>its barbie movie trailer</v>
      </c>
      <c r="D1909">
        <v>0</v>
      </c>
      <c r="E1909">
        <v>0</v>
      </c>
      <c r="F1909" t="s">
        <v>10</v>
      </c>
      <c r="G1909" t="str" cm="1">
        <f t="array" ref="G1909">FindCountryName(F1909)</f>
        <v>None</v>
      </c>
      <c r="H1909" s="3">
        <v>45322.286921296298</v>
      </c>
      <c r="I1909" s="3">
        <v>45322.286921296298</v>
      </c>
      <c r="J1909" s="3">
        <v>42558.479131944441</v>
      </c>
      <c r="K1909" cm="1">
        <f t="array" ref="K1909">sentimentCalc(C1909)</f>
        <v>0</v>
      </c>
      <c r="L1909" t="str" cm="1">
        <f t="array" ref="L1909">sentimentCategory(K1909)</f>
        <v>Neutral</v>
      </c>
    </row>
    <row r="1910" spans="1:12" x14ac:dyDescent="0.25">
      <c r="A1910" t="s">
        <v>3564</v>
      </c>
      <c r="B1910" t="s">
        <v>3565</v>
      </c>
      <c r="C1910" t="str" cm="1">
        <f t="array" ref="C1910">CleanText(B1910)</f>
        <v>its barbie time</v>
      </c>
      <c r="D1910">
        <v>1</v>
      </c>
      <c r="E1910">
        <v>0</v>
      </c>
      <c r="F1910" t="s">
        <v>10</v>
      </c>
      <c r="G1910" t="str" cm="1">
        <f t="array" ref="G1910">FindCountryName(F1910)</f>
        <v>None</v>
      </c>
      <c r="H1910" s="3">
        <v>45147.49077546296</v>
      </c>
      <c r="I1910" s="3">
        <v>45147.49077546296</v>
      </c>
      <c r="J1910" s="3">
        <v>39262.451944444445</v>
      </c>
      <c r="K1910" cm="1">
        <f t="array" ref="K1910">sentimentCalc(C1910)</f>
        <v>0</v>
      </c>
      <c r="L1910" t="str" cm="1">
        <f t="array" ref="L1910">sentimentCategory(K1910)</f>
        <v>Neutral</v>
      </c>
    </row>
    <row r="1911" spans="1:12" x14ac:dyDescent="0.25">
      <c r="A1911" t="s">
        <v>925</v>
      </c>
      <c r="B1911" t="s">
        <v>4328</v>
      </c>
      <c r="C1911" t="str" cm="1">
        <f t="array" ref="C1911">CleanText(B1911)</f>
        <v>its funny and sweet and sad  thoughtprovoking all at once go see it</v>
      </c>
      <c r="D1911">
        <v>0</v>
      </c>
      <c r="E1911">
        <v>1</v>
      </c>
      <c r="F1911" t="s">
        <v>10</v>
      </c>
      <c r="G1911" t="str" cm="1">
        <f t="array" ref="G1911">FindCountryName(F1911)</f>
        <v>None</v>
      </c>
      <c r="H1911" s="3">
        <v>45140.9297337963</v>
      </c>
      <c r="I1911" s="3">
        <v>45140.9297337963</v>
      </c>
      <c r="J1911" s="3">
        <v>38985.853148148148</v>
      </c>
      <c r="K1911" cm="1">
        <f t="array" ref="K1911">sentimentCalc(C1911)</f>
        <v>4</v>
      </c>
      <c r="L1911" t="str" cm="1">
        <f t="array" ref="L1911">sentimentCategory(K1911)</f>
        <v>Positive</v>
      </c>
    </row>
    <row r="1912" spans="1:12" x14ac:dyDescent="0.25">
      <c r="A1912" t="s">
        <v>3653</v>
      </c>
      <c r="B1912" t="s">
        <v>3654</v>
      </c>
      <c r="C1912" t="str" cm="1">
        <f t="array" ref="C1912">CleanText(B1912)</f>
        <v>its giving me similar memories to teen beach movie</v>
      </c>
      <c r="D1912">
        <v>0</v>
      </c>
      <c r="E1912">
        <v>0</v>
      </c>
      <c r="F1912" t="s">
        <v>10</v>
      </c>
      <c r="G1912" t="str" cm="1">
        <f t="array" ref="G1912">FindCountryName(F1912)</f>
        <v>None</v>
      </c>
      <c r="H1912" s="3">
        <v>45146.719155092593</v>
      </c>
      <c r="I1912" s="3">
        <v>45146.719282407408</v>
      </c>
      <c r="J1912" s="3">
        <v>44101.958738425928</v>
      </c>
      <c r="K1912" cm="1">
        <f t="array" ref="K1912">sentimentCalc(C1912)</f>
        <v>0</v>
      </c>
      <c r="L1912" t="str" cm="1">
        <f t="array" ref="L1912">sentimentCategory(K1912)</f>
        <v>Neutral</v>
      </c>
    </row>
    <row r="1913" spans="1:12" x14ac:dyDescent="0.25">
      <c r="A1913" t="s">
        <v>830</v>
      </c>
      <c r="B1913" t="s">
        <v>4382</v>
      </c>
      <c r="C1913" t="str" cm="1">
        <f t="array" ref="C1913">CleanText(B1913)</f>
        <v>its going to be a summer remember</v>
      </c>
      <c r="D1913">
        <v>0</v>
      </c>
      <c r="E1913">
        <v>2</v>
      </c>
      <c r="F1913" t="s">
        <v>10</v>
      </c>
      <c r="G1913" t="str" cm="1">
        <f t="array" ref="G1913">FindCountryName(F1913)</f>
        <v>None</v>
      </c>
      <c r="H1913" s="3">
        <v>45140.532048611109</v>
      </c>
      <c r="I1913" s="3">
        <v>45140.532048611109</v>
      </c>
      <c r="J1913" s="3">
        <v>42074.101655092592</v>
      </c>
      <c r="K1913" cm="1">
        <f t="array" ref="K1913">sentimentCalc(C1913)</f>
        <v>0</v>
      </c>
      <c r="L1913" t="str" cm="1">
        <f t="array" ref="L1913">sentimentCategory(K1913)</f>
        <v>Neutral</v>
      </c>
    </row>
    <row r="1914" spans="1:12" x14ac:dyDescent="0.25">
      <c r="A1914" t="s">
        <v>914</v>
      </c>
      <c r="B1914" t="s">
        <v>1315</v>
      </c>
      <c r="C1914" t="str" cm="1">
        <f t="array" ref="C1914">CleanText(B1914)</f>
        <v>its ok movie dont know why such hype</v>
      </c>
      <c r="D1914">
        <v>4</v>
      </c>
      <c r="E1914">
        <v>6</v>
      </c>
      <c r="F1914" t="s">
        <v>10</v>
      </c>
      <c r="G1914" t="str" cm="1">
        <f t="array" ref="G1914">FindCountryName(F1914)</f>
        <v>None</v>
      </c>
      <c r="H1914" s="3">
        <v>45246.770636574074</v>
      </c>
      <c r="I1914" s="3">
        <v>45246.770636574074</v>
      </c>
      <c r="J1914" s="3">
        <v>40446.703263888892</v>
      </c>
      <c r="K1914" cm="1">
        <f t="array" ref="K1914">sentimentCalc(C1914)</f>
        <v>0</v>
      </c>
      <c r="L1914" t="str" cm="1">
        <f t="array" ref="L1914">sentimentCategory(K1914)</f>
        <v>Neutral</v>
      </c>
    </row>
    <row r="1915" spans="1:12" x14ac:dyDescent="0.25">
      <c r="A1915" t="s">
        <v>453</v>
      </c>
      <c r="B1915" t="s">
        <v>3568</v>
      </c>
      <c r="C1915" t="str" cm="1">
        <f t="array" ref="C1915">CleanText(B1915)</f>
        <v>its oppenheimer time</v>
      </c>
      <c r="D1915">
        <v>0</v>
      </c>
      <c r="E1915">
        <v>0</v>
      </c>
      <c r="F1915" t="s">
        <v>10</v>
      </c>
      <c r="G1915" t="str" cm="1">
        <f t="array" ref="G1915">FindCountryName(F1915)</f>
        <v>None</v>
      </c>
      <c r="H1915" s="3">
        <v>45147.479594907411</v>
      </c>
      <c r="I1915" s="3">
        <v>45147.479594907411</v>
      </c>
      <c r="J1915" s="3">
        <v>44277.441423611112</v>
      </c>
      <c r="K1915" cm="1">
        <f t="array" ref="K1915">sentimentCalc(C1915)</f>
        <v>0</v>
      </c>
      <c r="L1915" t="str" cm="1">
        <f t="array" ref="L1915">sentimentCategory(K1915)</f>
        <v>Neutral</v>
      </c>
    </row>
    <row r="1916" spans="1:12" x14ac:dyDescent="0.25">
      <c r="A1916" t="s">
        <v>311</v>
      </c>
      <c r="B1916" t="s">
        <v>1214</v>
      </c>
      <c r="C1916" t="str" cm="1">
        <f t="array" ref="C1916">CleanText(B1916)</f>
        <v>its a great movie</v>
      </c>
      <c r="D1916">
        <v>0</v>
      </c>
      <c r="E1916">
        <v>0</v>
      </c>
      <c r="F1916" t="s">
        <v>10</v>
      </c>
      <c r="G1916" t="str" cm="1">
        <f t="array" ref="G1916">FindCountryName(F1916)</f>
        <v>None</v>
      </c>
      <c r="H1916" s="3">
        <v>45275.699664351851</v>
      </c>
      <c r="I1916" s="3">
        <v>45275.699664351851</v>
      </c>
      <c r="J1916" s="3">
        <v>43070.613564814812</v>
      </c>
      <c r="K1916" cm="1">
        <f t="array" ref="K1916">sentimentCalc(C1916)</f>
        <v>3</v>
      </c>
      <c r="L1916" t="str" cm="1">
        <f t="array" ref="L1916">sentimentCategory(K1916)</f>
        <v>Positive</v>
      </c>
    </row>
    <row r="1917" spans="1:12" x14ac:dyDescent="0.25">
      <c r="A1917" t="s">
        <v>3964</v>
      </c>
      <c r="B1917" t="s">
        <v>3965</v>
      </c>
      <c r="C1917" t="str" cm="1">
        <f t="array" ref="C1917">CleanText(B1917)</f>
        <v>its a very bad movie</v>
      </c>
      <c r="D1917">
        <v>0</v>
      </c>
      <c r="E1917">
        <v>0</v>
      </c>
      <c r="F1917" t="s">
        <v>227</v>
      </c>
      <c r="G1917" t="str" cm="1">
        <f t="array" ref="G1917">FindCountryName(F1917)</f>
        <v>United States of America (the)</v>
      </c>
      <c r="H1917" s="3">
        <v>45144.145370370374</v>
      </c>
      <c r="I1917" s="3">
        <v>45144.145370370374</v>
      </c>
      <c r="J1917" s="3">
        <v>42727.84175925926</v>
      </c>
      <c r="K1917" cm="1">
        <f t="array" ref="K1917">sentimentCalc(C1917)</f>
        <v>-3</v>
      </c>
      <c r="L1917" t="str" cm="1">
        <f t="array" ref="L1917">sentimentCategory(K1917)</f>
        <v>Negative</v>
      </c>
    </row>
    <row r="1918" spans="1:12" x14ac:dyDescent="0.25">
      <c r="A1918" t="s">
        <v>290</v>
      </c>
      <c r="B1918" t="s">
        <v>291</v>
      </c>
      <c r="C1918" t="str" cm="1">
        <f t="array" ref="C1918">CleanText(B1918)</f>
        <v>its absolutely gorgeous movie i like that</v>
      </c>
      <c r="D1918">
        <v>0</v>
      </c>
      <c r="E1918">
        <v>0</v>
      </c>
      <c r="F1918" t="s">
        <v>10</v>
      </c>
      <c r="G1918" t="str" cm="1">
        <f t="array" ref="G1918">FindCountryName(F1918)</f>
        <v>None</v>
      </c>
      <c r="H1918" s="3">
        <v>45322.434837962966</v>
      </c>
      <c r="I1918" s="3">
        <v>45322.434837962966</v>
      </c>
      <c r="J1918" s="3">
        <v>43059.387141203704</v>
      </c>
      <c r="K1918" cm="1">
        <f t="array" ref="K1918">sentimentCalc(C1918)</f>
        <v>2</v>
      </c>
      <c r="L1918" t="str" cm="1">
        <f t="array" ref="L1918">sentimentCategory(K1918)</f>
        <v>Positive</v>
      </c>
    </row>
    <row r="1919" spans="1:12" x14ac:dyDescent="0.25">
      <c r="A1919" t="s">
        <v>1433</v>
      </c>
      <c r="B1919" t="s">
        <v>3490</v>
      </c>
      <c r="C1919" t="str" cm="1">
        <f t="array" ref="C1919">CleanText(B1919)</f>
        <v>its amazin that barbie gets so much attention but the movie sound of freedom only get backlashes what a time to be alive lol</v>
      </c>
      <c r="D1919">
        <v>1</v>
      </c>
      <c r="E1919">
        <v>1</v>
      </c>
      <c r="F1919" t="s">
        <v>10</v>
      </c>
      <c r="G1919" t="str" cm="1">
        <f t="array" ref="G1919">FindCountryName(F1919)</f>
        <v>None</v>
      </c>
      <c r="H1919" s="3">
        <v>45148.309791666667</v>
      </c>
      <c r="I1919" s="3">
        <v>45148.309791666667</v>
      </c>
      <c r="J1919" s="3">
        <v>40819.259062500001</v>
      </c>
      <c r="K1919" cm="1">
        <f t="array" ref="K1919">sentimentCalc(C1919)</f>
        <v>3</v>
      </c>
      <c r="L1919" t="str" cm="1">
        <f t="array" ref="L1919">sentimentCategory(K1919)</f>
        <v>Positive</v>
      </c>
    </row>
    <row r="1920" spans="1:12" x14ac:dyDescent="0.25">
      <c r="A1920" t="s">
        <v>331</v>
      </c>
      <c r="B1920" t="s">
        <v>1438</v>
      </c>
      <c r="C1920" t="str" cm="1">
        <f t="array" ref="C1920">CleanText(B1920)</f>
        <v>its an ok film liked more the background than the actual story which was just a mild one between man vs woman world  no representation of the actual world just a heterocanonical thing</v>
      </c>
      <c r="D1920">
        <v>0</v>
      </c>
      <c r="E1920">
        <v>4</v>
      </c>
      <c r="F1920" t="s">
        <v>10</v>
      </c>
      <c r="G1920" t="str" cm="1">
        <f t="array" ref="G1920">FindCountryName(F1920)</f>
        <v>None</v>
      </c>
      <c r="H1920" s="3">
        <v>45226.827638888892</v>
      </c>
      <c r="I1920" s="3">
        <v>45226.827638888892</v>
      </c>
      <c r="J1920" s="3">
        <v>41482.402905092589</v>
      </c>
      <c r="K1920" cm="1">
        <f t="array" ref="K1920">sentimentCalc(C1920)</f>
        <v>1</v>
      </c>
      <c r="L1920" t="str" cm="1">
        <f t="array" ref="L1920">sentimentCategory(K1920)</f>
        <v>Positive</v>
      </c>
    </row>
    <row r="1921" spans="1:12" x14ac:dyDescent="0.25">
      <c r="A1921" t="s">
        <v>126</v>
      </c>
      <c r="B1921" t="s">
        <v>3007</v>
      </c>
      <c r="C1921" t="str" cm="1">
        <f t="array" ref="C1921">CleanText(B1921)</f>
        <v>its an upside down adam and eve storry</v>
      </c>
      <c r="D1921">
        <v>0</v>
      </c>
      <c r="E1921">
        <v>0</v>
      </c>
      <c r="F1921" t="s">
        <v>3008</v>
      </c>
      <c r="G1921" t="str" cm="1">
        <f t="array" ref="G1921">FindCountryName(F1921)</f>
        <v>Norway</v>
      </c>
      <c r="H1921" s="3">
        <v>45154.51090277778</v>
      </c>
      <c r="I1921" s="3">
        <v>45154.51090277778</v>
      </c>
      <c r="J1921" s="3">
        <v>43064.495266203703</v>
      </c>
      <c r="K1921" cm="1">
        <f t="array" ref="K1921">sentimentCalc(C1921)</f>
        <v>0</v>
      </c>
      <c r="L1921" t="str" cm="1">
        <f t="array" ref="L1921">sentimentCategory(K1921)</f>
        <v>Neutral</v>
      </c>
    </row>
    <row r="1922" spans="1:12" x14ac:dyDescent="0.25">
      <c r="A1922" t="s">
        <v>2467</v>
      </c>
      <c r="B1922" t="s">
        <v>2468</v>
      </c>
      <c r="C1922" t="str" cm="1">
        <f t="array" ref="C1922">CleanText(B1922)</f>
        <v>its astounding that this is going to be the largest grossing movie ever  the audience they cater too has got to be kids and low iq  this is about a doll  what happened to the godfathers the saving private ryans the dr zhivagosthe graduates  you can tell this has been coming over the last several years the best picture oscar winners were in my book so unworthy it was ridiculous oh well soon ill be dead and i wont care anymore its just sad because in my life ive loved and seen so many films even attended some awards shows now it seems the bar is so low that almost any nonsensical idea makes billions  also in the movie when barbie goes to mattel its all men  truth and facts are in reality its   so bashing men is the main theme once again in all these female  driven movies  have fun and enjoy the movie</v>
      </c>
      <c r="D1922">
        <v>3</v>
      </c>
      <c r="E1922">
        <v>5</v>
      </c>
      <c r="F1922" t="s">
        <v>10</v>
      </c>
      <c r="G1922" t="str" cm="1">
        <f t="array" ref="G1922">FindCountryName(F1922)</f>
        <v>None</v>
      </c>
      <c r="H1922" s="3">
        <v>45165.935289351852</v>
      </c>
      <c r="I1922" s="3">
        <v>45311.445</v>
      </c>
      <c r="J1922" s="3">
        <v>41386.724502314813</v>
      </c>
      <c r="K1922" cm="1">
        <f t="array" ref="K1922">sentimentCalc(C1922)</f>
        <v>8</v>
      </c>
      <c r="L1922" t="str" cm="1">
        <f t="array" ref="L1922">sentimentCategory(K1922)</f>
        <v>Positive</v>
      </c>
    </row>
    <row r="1923" spans="1:12" x14ac:dyDescent="0.25">
      <c r="A1923" t="s">
        <v>2105</v>
      </c>
      <c r="B1923" t="s">
        <v>3657</v>
      </c>
      <c r="C1923" t="str" cm="1">
        <f t="array" ref="C1923">CleanText(B1923)</f>
        <v>its babrin time</v>
      </c>
      <c r="D1923">
        <v>0</v>
      </c>
      <c r="E1923">
        <v>0</v>
      </c>
      <c r="F1923" t="s">
        <v>10</v>
      </c>
      <c r="G1923" t="str" cm="1">
        <f t="array" ref="G1923">FindCountryName(F1923)</f>
        <v>None</v>
      </c>
      <c r="H1923" s="3">
        <v>45146.701770833337</v>
      </c>
      <c r="I1923" s="3">
        <v>45146.701770833337</v>
      </c>
      <c r="J1923" s="3">
        <v>43037.715590277781</v>
      </c>
      <c r="K1923" cm="1">
        <f t="array" ref="K1923">sentimentCalc(C1923)</f>
        <v>0</v>
      </c>
      <c r="L1923" t="str" cm="1">
        <f t="array" ref="L1923">sentimentCategory(K1923)</f>
        <v>Neutral</v>
      </c>
    </row>
    <row r="1924" spans="1:12" x14ac:dyDescent="0.25">
      <c r="A1924" t="s">
        <v>871</v>
      </c>
      <c r="B1924" t="s">
        <v>2128</v>
      </c>
      <c r="C1924" t="str" cm="1">
        <f t="array" ref="C1924">CleanText(B1924)</f>
        <v>its been pretty cool to you e im glad to see that i will see what happens with my dad at my moms</v>
      </c>
      <c r="D1924">
        <v>0</v>
      </c>
      <c r="E1924">
        <v>0</v>
      </c>
      <c r="F1924" t="s">
        <v>10</v>
      </c>
      <c r="G1924" t="str" cm="1">
        <f t="array" ref="G1924">FindCountryName(F1924)</f>
        <v>None</v>
      </c>
      <c r="H1924" s="3">
        <v>45179.508425925924</v>
      </c>
      <c r="I1924" s="3">
        <v>45179.508425925924</v>
      </c>
      <c r="J1924" s="3">
        <v>43216.940335648149</v>
      </c>
      <c r="K1924" cm="1">
        <f t="array" ref="K1924">sentimentCalc(C1924)</f>
        <v>5</v>
      </c>
      <c r="L1924" t="str" cm="1">
        <f t="array" ref="L1924">sentimentCategory(K1924)</f>
        <v>Positive</v>
      </c>
    </row>
    <row r="1925" spans="1:12" x14ac:dyDescent="0.25">
      <c r="A1925" t="s">
        <v>1963</v>
      </c>
      <c r="B1925" t="s">
        <v>1964</v>
      </c>
      <c r="C1925" t="str" cm="1">
        <f t="array" ref="C1925">CleanText(B1925)</f>
        <v>its disgusting that literally every movie now is filled with sjw propaganda</v>
      </c>
      <c r="D1925">
        <v>3</v>
      </c>
      <c r="E1925">
        <v>10</v>
      </c>
      <c r="F1925" t="s">
        <v>10</v>
      </c>
      <c r="G1925" t="str" cm="1">
        <f t="array" ref="G1925">FindCountryName(F1925)</f>
        <v>None</v>
      </c>
      <c r="H1925" s="3">
        <v>45186.389826388891</v>
      </c>
      <c r="I1925" s="3">
        <v>45186.389826388891</v>
      </c>
      <c r="J1925" s="3">
        <v>44226.514884259261</v>
      </c>
      <c r="K1925" cm="1">
        <f t="array" ref="K1925">sentimentCalc(C1925)</f>
        <v>-5</v>
      </c>
      <c r="L1925" t="str" cm="1">
        <f t="array" ref="L1925">sentimentCategory(K1925)</f>
        <v>Negative</v>
      </c>
    </row>
    <row r="1926" spans="1:12" x14ac:dyDescent="0.25">
      <c r="A1926" t="s">
        <v>1949</v>
      </c>
      <c r="B1926" t="s">
        <v>3433</v>
      </c>
      <c r="C1926" t="str" cm="1">
        <f t="array" ref="C1926">CleanText(B1926)</f>
        <v>its funny how men who support andrew tate and like to disparage women online harassment women and post pics of her body without womens consent are outraged by the film</v>
      </c>
      <c r="D1926">
        <v>5</v>
      </c>
      <c r="E1926">
        <v>3</v>
      </c>
      <c r="F1926" t="s">
        <v>10</v>
      </c>
      <c r="G1926" t="str" cm="1">
        <f t="array" ref="G1926">FindCountryName(F1926)</f>
        <v>None</v>
      </c>
      <c r="H1926" s="3">
        <v>45148.965740740743</v>
      </c>
      <c r="I1926" s="3">
        <v>45148.965740740743</v>
      </c>
      <c r="J1926" s="3">
        <v>45144.565474537034</v>
      </c>
      <c r="K1926" cm="1">
        <f t="array" ref="K1926">sentimentCalc(C1926)</f>
        <v>5</v>
      </c>
      <c r="L1926" t="str" cm="1">
        <f t="array" ref="L1926">sentimentCategory(K1926)</f>
        <v>Positive</v>
      </c>
    </row>
    <row r="1927" spans="1:12" x14ac:dyDescent="0.25">
      <c r="A1927" t="s">
        <v>3301</v>
      </c>
      <c r="B1927" t="s">
        <v>3302</v>
      </c>
      <c r="C1927" t="str" cm="1">
        <f t="array" ref="C1927">CleanText(B1927)</f>
        <v>its funny how waner bros also did government work and it so happen to have the same initial project wb but stand for weapons b project</v>
      </c>
      <c r="D1927">
        <v>0</v>
      </c>
      <c r="E1927">
        <v>0</v>
      </c>
      <c r="F1927" t="s">
        <v>10</v>
      </c>
      <c r="G1927" t="str" cm="1">
        <f t="array" ref="G1927">FindCountryName(F1927)</f>
        <v>None</v>
      </c>
      <c r="H1927" s="3">
        <v>45150.552511574075</v>
      </c>
      <c r="I1927" s="3">
        <v>45150.552511574075</v>
      </c>
      <c r="J1927" s="3">
        <v>40702.858506944445</v>
      </c>
      <c r="K1927" cm="1">
        <f t="array" ref="K1927">sentimentCalc(C1927)</f>
        <v>4</v>
      </c>
      <c r="L1927" t="str" cm="1">
        <f t="array" ref="L1927">sentimentCategory(K1927)</f>
        <v>Positive</v>
      </c>
    </row>
    <row r="1928" spans="1:12" x14ac:dyDescent="0.25">
      <c r="A1928" t="s">
        <v>447</v>
      </c>
      <c r="B1928" t="s">
        <v>1994</v>
      </c>
      <c r="C1928" t="str" cm="1">
        <f t="array" ref="C1928">CleanText(B1928)</f>
        <v>its getting better every time i watch it and i still have  promises to fulfill so still  more dates with this wonderful movie its def not what i expected its smart and hilarious and moving to see the kens galopping like king arthur in monty pythons melted my hears so did the other smart movie references but a monty python reference in a barbie movie just wow greta is great</v>
      </c>
      <c r="D1928">
        <v>4</v>
      </c>
      <c r="E1928">
        <v>0</v>
      </c>
      <c r="F1928" t="s">
        <v>10</v>
      </c>
      <c r="G1928" t="str" cm="1">
        <f t="array" ref="G1928">FindCountryName(F1928)</f>
        <v>None</v>
      </c>
      <c r="H1928" s="3">
        <v>45185.181307870371</v>
      </c>
      <c r="I1928" s="3">
        <v>45185.181307870371</v>
      </c>
      <c r="J1928" s="3">
        <v>42418.192974537036</v>
      </c>
      <c r="K1928" cm="1">
        <f t="array" ref="K1928">sentimentCalc(C1928)</f>
        <v>22</v>
      </c>
      <c r="L1928" t="str" cm="1">
        <f t="array" ref="L1928">sentimentCategory(K1928)</f>
        <v>Positive</v>
      </c>
    </row>
    <row r="1929" spans="1:12" x14ac:dyDescent="0.25">
      <c r="A1929" t="s">
        <v>239</v>
      </c>
      <c r="B1929" t="s">
        <v>4437</v>
      </c>
      <c r="C1929" t="str" cm="1">
        <f t="array" ref="C1929">CleanText(B1929)</f>
        <v>its great movie</v>
      </c>
      <c r="D1929">
        <v>0</v>
      </c>
      <c r="E1929">
        <v>2</v>
      </c>
      <c r="F1929" t="s">
        <v>10</v>
      </c>
      <c r="G1929" t="str" cm="1">
        <f t="array" ref="G1929">FindCountryName(F1929)</f>
        <v>None</v>
      </c>
      <c r="H1929" s="3">
        <v>45140.280671296299</v>
      </c>
      <c r="I1929" s="3">
        <v>45140.280671296299</v>
      </c>
      <c r="J1929" s="3">
        <v>42721.014537037037</v>
      </c>
      <c r="K1929" cm="1">
        <f t="array" ref="K1929">sentimentCalc(C1929)</f>
        <v>3</v>
      </c>
      <c r="L1929" t="str" cm="1">
        <f t="array" ref="L1929">sentimentCategory(K1929)</f>
        <v>Positive</v>
      </c>
    </row>
    <row r="1930" spans="1:12" x14ac:dyDescent="0.25">
      <c r="A1930" t="s">
        <v>2112</v>
      </c>
      <c r="B1930" t="s">
        <v>2113</v>
      </c>
      <c r="C1930" t="str" cm="1">
        <f t="array" ref="C1930">CleanText(B1930)</f>
        <v>its like jordan peterson for kens and barbies</v>
      </c>
      <c r="D1930">
        <v>0</v>
      </c>
      <c r="E1930">
        <v>3</v>
      </c>
      <c r="F1930" t="s">
        <v>10</v>
      </c>
      <c r="G1930" t="str" cm="1">
        <f t="array" ref="G1930">FindCountryName(F1930)</f>
        <v>None</v>
      </c>
      <c r="H1930" s="3">
        <v>45180.169560185182</v>
      </c>
      <c r="I1930" s="3">
        <v>45180.169560185182</v>
      </c>
      <c r="J1930" s="3">
        <v>40839.891377314816</v>
      </c>
      <c r="K1930" cm="1">
        <f t="array" ref="K1930">sentimentCalc(C1930)</f>
        <v>2</v>
      </c>
      <c r="L1930" t="str" cm="1">
        <f t="array" ref="L1930">sentimentCategory(K1930)</f>
        <v>Positive</v>
      </c>
    </row>
    <row r="1931" spans="1:12" x14ac:dyDescent="0.25">
      <c r="A1931" t="s">
        <v>1142</v>
      </c>
      <c r="B1931" t="s">
        <v>2992</v>
      </c>
      <c r="C1931" t="str" cm="1">
        <f t="array" ref="C1931">CleanText(B1931)</f>
        <v>its look stupid</v>
      </c>
      <c r="D1931">
        <v>4</v>
      </c>
      <c r="E1931">
        <v>0</v>
      </c>
      <c r="F1931" t="s">
        <v>10</v>
      </c>
      <c r="G1931" t="str" cm="1">
        <f t="array" ref="G1931">FindCountryName(F1931)</f>
        <v>None</v>
      </c>
      <c r="H1931" s="3">
        <v>45154.675497685188</v>
      </c>
      <c r="I1931" s="3">
        <v>45154.675497685188</v>
      </c>
      <c r="J1931" s="3">
        <v>44110.532268518517</v>
      </c>
      <c r="K1931" cm="1">
        <f t="array" ref="K1931">sentimentCalc(C1931)</f>
        <v>-2</v>
      </c>
      <c r="L1931" t="str" cm="1">
        <f t="array" ref="L1931">sentimentCategory(K1931)</f>
        <v>Negative</v>
      </c>
    </row>
    <row r="1932" spans="1:12" x14ac:dyDescent="0.25">
      <c r="A1932" t="s">
        <v>2200</v>
      </c>
      <c r="B1932" t="s">
        <v>3759</v>
      </c>
      <c r="C1932" t="str" cm="1">
        <f t="array" ref="C1932">CleanText(B1932)</f>
        <v>its made  billion wtf</v>
      </c>
      <c r="D1932">
        <v>2</v>
      </c>
      <c r="E1932">
        <v>0</v>
      </c>
      <c r="F1932" t="s">
        <v>10</v>
      </c>
      <c r="G1932" t="str" cm="1">
        <f t="array" ref="G1932">FindCountryName(F1932)</f>
        <v>None</v>
      </c>
      <c r="H1932" s="3">
        <v>45145.689780092594</v>
      </c>
      <c r="I1932" s="3">
        <v>45145.689780092594</v>
      </c>
      <c r="J1932" s="3">
        <v>39198.31318287037</v>
      </c>
      <c r="K1932" cm="1">
        <f t="array" ref="K1932">sentimentCalc(C1932)</f>
        <v>0</v>
      </c>
      <c r="L1932" t="str" cm="1">
        <f t="array" ref="L1932">sentimentCategory(K1932)</f>
        <v>Neutral</v>
      </c>
    </row>
    <row r="1933" spans="1:12" x14ac:dyDescent="0.25">
      <c r="A1933" t="s">
        <v>156</v>
      </c>
      <c r="B1933" t="s">
        <v>2715</v>
      </c>
      <c r="C1933" t="str" cm="1">
        <f t="array" ref="C1933">CleanText(B1933)</f>
        <v>its mens film broo</v>
      </c>
      <c r="D1933">
        <v>0</v>
      </c>
      <c r="E1933">
        <v>0</v>
      </c>
      <c r="F1933" t="s">
        <v>10</v>
      </c>
      <c r="G1933" t="str" cm="1">
        <f t="array" ref="G1933">FindCountryName(F1933)</f>
        <v>None</v>
      </c>
      <c r="H1933" s="3">
        <v>45159.429629629631</v>
      </c>
      <c r="I1933" s="3">
        <v>45159.429629629631</v>
      </c>
      <c r="J1933" s="3">
        <v>44831.265694444446</v>
      </c>
      <c r="K1933" cm="1">
        <f t="array" ref="K1933">sentimentCalc(C1933)</f>
        <v>0</v>
      </c>
      <c r="L1933" t="str" cm="1">
        <f t="array" ref="L1933">sentimentCategory(K1933)</f>
        <v>Neutral</v>
      </c>
    </row>
    <row r="1934" spans="1:12" x14ac:dyDescent="0.25">
      <c r="A1934" t="s">
        <v>3040</v>
      </c>
      <c r="B1934" t="s">
        <v>3041</v>
      </c>
      <c r="C1934" t="str" cm="1">
        <f t="array" ref="C1934">CleanText(B1934)</f>
        <v>its nice from them nicki minaj ice spice fifty fiftycharli xcxdua lipa ava max sam smith lizzo pinkpantheressbillie eilish its really nice of them</v>
      </c>
      <c r="D1934">
        <v>0</v>
      </c>
      <c r="E1934">
        <v>0</v>
      </c>
      <c r="F1934" t="s">
        <v>10</v>
      </c>
      <c r="G1934" t="str" cm="1">
        <f t="array" ref="G1934">FindCountryName(F1934)</f>
        <v>None</v>
      </c>
      <c r="H1934" s="3">
        <v>45154.158784722225</v>
      </c>
      <c r="I1934" s="3">
        <v>45154.158773148149</v>
      </c>
      <c r="J1934" s="3">
        <v>43627.495347222219</v>
      </c>
      <c r="K1934" cm="1">
        <f t="array" ref="K1934">sentimentCalc(C1934)</f>
        <v>6</v>
      </c>
      <c r="L1934" t="str" cm="1">
        <f t="array" ref="L1934">sentimentCategory(K1934)</f>
        <v>Positive</v>
      </c>
    </row>
    <row r="1935" spans="1:12" x14ac:dyDescent="0.25">
      <c r="A1935" t="s">
        <v>186</v>
      </c>
      <c r="B1935" t="s">
        <v>806</v>
      </c>
      <c r="C1935" t="str" cm="1">
        <f t="array" ref="C1935">CleanText(B1935)</f>
        <v>its not a barbie its pure goosebumps</v>
      </c>
      <c r="D1935">
        <v>4</v>
      </c>
      <c r="E1935">
        <v>0</v>
      </c>
      <c r="F1935" t="s">
        <v>10</v>
      </c>
      <c r="G1935" t="str" cm="1">
        <f t="array" ref="G1935">FindCountryName(F1935)</f>
        <v>None</v>
      </c>
      <c r="H1935" s="3">
        <v>45306.546111111114</v>
      </c>
      <c r="I1935" s="3">
        <v>45306.546111111114</v>
      </c>
      <c r="J1935" s="3">
        <v>41548.737071759257</v>
      </c>
      <c r="K1935" cm="1">
        <f t="array" ref="K1935">sentimentCalc(C1935)</f>
        <v>0</v>
      </c>
      <c r="L1935" t="str" cm="1">
        <f t="array" ref="L1935">sentimentCategory(K1935)</f>
        <v>Neutral</v>
      </c>
    </row>
    <row r="1936" spans="1:12" x14ac:dyDescent="0.25">
      <c r="A1936" t="s">
        <v>186</v>
      </c>
      <c r="B1936" t="s">
        <v>807</v>
      </c>
      <c r="C1936" t="str" cm="1">
        <f t="array" ref="C1936">CleanText(B1936)</f>
        <v>its not a main trailer its pure goosebumps</v>
      </c>
      <c r="D1936">
        <v>16</v>
      </c>
      <c r="E1936">
        <v>0</v>
      </c>
      <c r="F1936" t="s">
        <v>10</v>
      </c>
      <c r="G1936" t="str" cm="1">
        <f t="array" ref="G1936">FindCountryName(F1936)</f>
        <v>None</v>
      </c>
      <c r="H1936" s="3">
        <v>45306.544641203705</v>
      </c>
      <c r="I1936" s="3">
        <v>45306.544641203705</v>
      </c>
      <c r="J1936" s="3">
        <v>41548.737071759257</v>
      </c>
      <c r="K1936" cm="1">
        <f t="array" ref="K1936">sentimentCalc(C1936)</f>
        <v>0</v>
      </c>
      <c r="L1936" t="str" cm="1">
        <f t="array" ref="L1936">sentimentCategory(K1936)</f>
        <v>Neutral</v>
      </c>
    </row>
    <row r="1937" spans="1:12" x14ac:dyDescent="0.25">
      <c r="A1937" t="s">
        <v>1785</v>
      </c>
      <c r="B1937" t="s">
        <v>1786</v>
      </c>
      <c r="C1937" t="str" cm="1">
        <f t="array" ref="C1937">CleanText(B1937)</f>
        <v>its s good entertaining movie and some messages at the core but it goes to show the modern mentality that this movie is warner bros biggest movie ever  at end of the day its a popcorn movie with a message or two</v>
      </c>
      <c r="D1937">
        <v>0</v>
      </c>
      <c r="E1937">
        <v>0</v>
      </c>
      <c r="F1937" t="s">
        <v>10</v>
      </c>
      <c r="G1937" t="str" cm="1">
        <f t="array" ref="G1937">FindCountryName(F1937)</f>
        <v>None</v>
      </c>
      <c r="H1937" s="3">
        <v>45194.7815162037</v>
      </c>
      <c r="I1937" s="3">
        <v>45194.781504629631</v>
      </c>
      <c r="J1937" s="3">
        <v>42127.376620370371</v>
      </c>
      <c r="K1937" cm="1">
        <f t="array" ref="K1937">sentimentCalc(C1937)</f>
        <v>5</v>
      </c>
      <c r="L1937" t="str" cm="1">
        <f t="array" ref="L1937">sentimentCategory(K1937)</f>
        <v>Positive</v>
      </c>
    </row>
    <row r="1938" spans="1:12" x14ac:dyDescent="0.25">
      <c r="A1938" t="s">
        <v>749</v>
      </c>
      <c r="B1938" t="s">
        <v>750</v>
      </c>
      <c r="C1938" t="str" cm="1">
        <f t="array" ref="C1938">CleanText(B1938)</f>
        <v>its soo good i like the barbie</v>
      </c>
      <c r="D1938">
        <v>0</v>
      </c>
      <c r="E1938">
        <v>0</v>
      </c>
      <c r="F1938" t="s">
        <v>139</v>
      </c>
      <c r="G1938" t="str" cm="1">
        <f t="array" ref="G1938">FindCountryName(F1938)</f>
        <v>Turkey</v>
      </c>
      <c r="H1938" s="3">
        <v>45310.251493055555</v>
      </c>
      <c r="I1938" s="3">
        <v>45310.251493055555</v>
      </c>
      <c r="J1938" s="3">
        <v>42581.440405092595</v>
      </c>
      <c r="K1938" cm="1">
        <f t="array" ref="K1938">sentimentCalc(C1938)</f>
        <v>5</v>
      </c>
      <c r="L1938" t="str" cm="1">
        <f t="array" ref="L1938">sentimentCategory(K1938)</f>
        <v>Positive</v>
      </c>
    </row>
    <row r="1939" spans="1:12" x14ac:dyDescent="0.25">
      <c r="A1939" t="s">
        <v>120</v>
      </c>
      <c r="B1939" t="s">
        <v>2423</v>
      </c>
      <c r="C1939" t="str" cm="1">
        <f t="array" ref="C1939">CleanText(B1939)</f>
        <v>its stupid i hate it im</v>
      </c>
      <c r="D1939">
        <v>1</v>
      </c>
      <c r="E1939">
        <v>0</v>
      </c>
      <c r="F1939" t="s">
        <v>10</v>
      </c>
      <c r="G1939" t="str" cm="1">
        <f t="array" ref="G1939">FindCountryName(F1939)</f>
        <v>None</v>
      </c>
      <c r="H1939" s="3">
        <v>45167.903969907406</v>
      </c>
      <c r="I1939" s="3">
        <v>45167.903969907406</v>
      </c>
      <c r="J1939" s="3">
        <v>45167.903946759259</v>
      </c>
      <c r="K1939" cm="1">
        <f t="array" ref="K1939">sentimentCalc(C1939)</f>
        <v>-5</v>
      </c>
      <c r="L1939" t="str" cm="1">
        <f t="array" ref="L1939">sentimentCategory(K1939)</f>
        <v>Negative</v>
      </c>
    </row>
    <row r="1940" spans="1:12" x14ac:dyDescent="0.25">
      <c r="A1940" t="s">
        <v>171</v>
      </c>
      <c r="B1940" t="s">
        <v>2626</v>
      </c>
      <c r="C1940" t="str" cm="1">
        <f t="array" ref="C1940">CleanText(B1940)</f>
        <v>its suppose to be gender equality not gender equality</v>
      </c>
      <c r="D1940">
        <v>0</v>
      </c>
      <c r="E1940">
        <v>0</v>
      </c>
      <c r="F1940" t="s">
        <v>10</v>
      </c>
      <c r="G1940" t="str" cm="1">
        <f t="array" ref="G1940">FindCountryName(F1940)</f>
        <v>None</v>
      </c>
      <c r="H1940" s="3">
        <v>45161.46979166667</v>
      </c>
      <c r="I1940" s="3">
        <v>45161.46979166667</v>
      </c>
      <c r="J1940" s="3">
        <v>45003.252060185187</v>
      </c>
      <c r="K1940" cm="1">
        <f t="array" ref="K1940">sentimentCalc(C1940)</f>
        <v>0</v>
      </c>
      <c r="L1940" t="str" cm="1">
        <f t="array" ref="L1940">sentimentCategory(K1940)</f>
        <v>Neutral</v>
      </c>
    </row>
    <row r="1941" spans="1:12" x14ac:dyDescent="0.25">
      <c r="A1941" t="s">
        <v>508</v>
      </c>
      <c r="B1941" t="s">
        <v>4330</v>
      </c>
      <c r="C1941" t="str" cm="1">
        <f t="array" ref="C1941">CleanText(B1941)</f>
        <v>its the same gnostic story repackaged but what really is surprising is the barbies are so hard core fascist that one of the kens had to pretend to be a barbie to get ahead and for the first time you considered fascism good in one way which really shows how youve shifted from we must have chaos to unless we can get this form of headship</v>
      </c>
      <c r="D1941">
        <v>0</v>
      </c>
      <c r="E1941">
        <v>1</v>
      </c>
      <c r="F1941" t="s">
        <v>10</v>
      </c>
      <c r="G1941" t="str" cm="1">
        <f t="array" ref="G1941">FindCountryName(F1941)</f>
        <v>None</v>
      </c>
      <c r="H1941" s="3">
        <v>45140.917326388888</v>
      </c>
      <c r="I1941" s="3">
        <v>45140.917326388888</v>
      </c>
      <c r="J1941" s="3">
        <v>42660.817175925928</v>
      </c>
      <c r="K1941" cm="1">
        <f t="array" ref="K1941">sentimentCalc(C1941)</f>
        <v>-3</v>
      </c>
      <c r="L1941" t="str" cm="1">
        <f t="array" ref="L1941">sentimentCategory(K1941)</f>
        <v>Negative</v>
      </c>
    </row>
    <row r="1942" spans="1:12" x14ac:dyDescent="0.25">
      <c r="A1942" t="s">
        <v>275</v>
      </c>
      <c r="B1942" t="s">
        <v>2274</v>
      </c>
      <c r="C1942" t="str" cm="1">
        <f t="array" ref="C1942">CleanText(B1942)</f>
        <v>its the song from free guy</v>
      </c>
      <c r="D1942">
        <v>1</v>
      </c>
      <c r="E1942">
        <v>0</v>
      </c>
      <c r="F1942" t="s">
        <v>10</v>
      </c>
      <c r="G1942" t="str" cm="1">
        <f t="array" ref="G1942">FindCountryName(F1942)</f>
        <v>None</v>
      </c>
      <c r="H1942" s="3">
        <v>45173.099560185183</v>
      </c>
      <c r="I1942" s="3">
        <v>45173.099560185183</v>
      </c>
      <c r="J1942" s="3">
        <v>44629.178240740737</v>
      </c>
      <c r="K1942" cm="1">
        <f t="array" ref="K1942">sentimentCalc(C1942)</f>
        <v>1</v>
      </c>
      <c r="L1942" t="str" cm="1">
        <f t="array" ref="L1942">sentimentCategory(K1942)</f>
        <v>Positive</v>
      </c>
    </row>
    <row r="1943" spans="1:12" x14ac:dyDescent="0.25">
      <c r="A1943" t="s">
        <v>751</v>
      </c>
      <c r="B1943" t="s">
        <v>752</v>
      </c>
      <c r="C1943" t="str" cm="1">
        <f t="array" ref="C1943">CleanText(B1943)</f>
        <v>its very nice thank you</v>
      </c>
      <c r="D1943">
        <v>0</v>
      </c>
      <c r="E1943">
        <v>0</v>
      </c>
      <c r="F1943" t="s">
        <v>10</v>
      </c>
      <c r="G1943" t="str" cm="1">
        <f t="array" ref="G1943">FindCountryName(F1943)</f>
        <v>None</v>
      </c>
      <c r="H1943" s="3">
        <v>45310.251284722224</v>
      </c>
      <c r="I1943" s="3">
        <v>45310.251284722224</v>
      </c>
      <c r="J1943" s="3">
        <v>42034.229305555556</v>
      </c>
      <c r="K1943" cm="1">
        <f t="array" ref="K1943">sentimentCalc(C1943)</f>
        <v>5</v>
      </c>
      <c r="L1943" t="str" cm="1">
        <f t="array" ref="L1943">sentimentCategory(K1943)</f>
        <v>Positive</v>
      </c>
    </row>
    <row r="1944" spans="1:12" x14ac:dyDescent="0.25">
      <c r="A1944" t="s">
        <v>17</v>
      </c>
      <c r="B1944" t="s">
        <v>18</v>
      </c>
      <c r="C1944" t="str" cm="1">
        <f t="array" ref="C1944">CleanText(B1944)</f>
        <v>its wasnt bad kinda liked it</v>
      </c>
      <c r="D1944">
        <v>0</v>
      </c>
      <c r="E1944">
        <v>0</v>
      </c>
      <c r="F1944" t="s">
        <v>19</v>
      </c>
      <c r="G1944" t="str" cm="1">
        <f t="array" ref="G1944">FindCountryName(F1944)</f>
        <v>Liberia</v>
      </c>
      <c r="H1944" s="3">
        <v>45349.854016203702</v>
      </c>
      <c r="I1944" s="3">
        <v>45349.854016203702</v>
      </c>
      <c r="J1944" s="3">
        <v>41852.641157407408</v>
      </c>
      <c r="K1944" cm="1">
        <f t="array" ref="K1944">sentimentCalc(C1944)</f>
        <v>-1</v>
      </c>
      <c r="L1944" t="str" cm="1">
        <f t="array" ref="L1944">sentimentCategory(K1944)</f>
        <v>Negative</v>
      </c>
    </row>
    <row r="1945" spans="1:12" x14ac:dyDescent="0.25">
      <c r="A1945" t="s">
        <v>499</v>
      </c>
      <c r="B1945" t="s">
        <v>500</v>
      </c>
      <c r="C1945" t="str" cm="1">
        <f t="array" ref="C1945">CleanText(B1945)</f>
        <v>its young cinderella</v>
      </c>
      <c r="D1945">
        <v>0</v>
      </c>
      <c r="E1945">
        <v>0</v>
      </c>
      <c r="F1945" t="s">
        <v>10</v>
      </c>
      <c r="G1945" t="str" cm="1">
        <f t="array" ref="G1945">FindCountryName(F1945)</f>
        <v>None</v>
      </c>
      <c r="H1945" s="3">
        <v>45318.310995370368</v>
      </c>
      <c r="I1945" s="3">
        <v>45318.310995370368</v>
      </c>
      <c r="J1945" s="3">
        <v>45279.699282407404</v>
      </c>
      <c r="K1945" cm="1">
        <f t="array" ref="K1945">sentimentCalc(C1945)</f>
        <v>0</v>
      </c>
      <c r="L1945" t="str" cm="1">
        <f t="array" ref="L1945">sentimentCategory(K1945)</f>
        <v>Neutral</v>
      </c>
    </row>
    <row r="1946" spans="1:12" x14ac:dyDescent="0.25">
      <c r="A1946" t="s">
        <v>201</v>
      </c>
      <c r="B1946" t="s">
        <v>1357</v>
      </c>
      <c r="C1946" t="str" cm="1">
        <f t="array" ref="C1946">CleanText(B1946)</f>
        <v>iu</v>
      </c>
      <c r="D1946">
        <v>1</v>
      </c>
      <c r="E1946">
        <v>0</v>
      </c>
      <c r="F1946" t="s">
        <v>10</v>
      </c>
      <c r="G1946" t="str" cm="1">
        <f t="array" ref="G1946">FindCountryName(F1946)</f>
        <v>None</v>
      </c>
      <c r="H1946" s="3">
        <v>45241.747870370367</v>
      </c>
      <c r="I1946" s="3">
        <v>45241.747870370367</v>
      </c>
      <c r="J1946" s="3">
        <v>45186.814166666663</v>
      </c>
      <c r="K1946" cm="1">
        <f t="array" ref="K1946">sentimentCalc(C1946)</f>
        <v>0</v>
      </c>
      <c r="L1946" t="str" cm="1">
        <f t="array" ref="L1946">sentimentCategory(K1946)</f>
        <v>Neutral</v>
      </c>
    </row>
    <row r="1947" spans="1:12" x14ac:dyDescent="0.25">
      <c r="A1947" t="s">
        <v>296</v>
      </c>
      <c r="B1947" t="s">
        <v>3231</v>
      </c>
      <c r="C1947" t="str" cm="1">
        <f t="array" ref="C1947">CleanText(B1947)</f>
        <v>ive seen the movie</v>
      </c>
      <c r="D1947">
        <v>1</v>
      </c>
      <c r="E1947">
        <v>1</v>
      </c>
      <c r="F1947" t="s">
        <v>10</v>
      </c>
      <c r="G1947" t="str" cm="1">
        <f t="array" ref="G1947">FindCountryName(F1947)</f>
        <v>None</v>
      </c>
      <c r="H1947" s="3">
        <v>45151.495925925927</v>
      </c>
      <c r="I1947" s="3">
        <v>45151.495925925927</v>
      </c>
      <c r="J1947" s="3">
        <v>41551.746921296297</v>
      </c>
      <c r="K1947" cm="1">
        <f t="array" ref="K1947">sentimentCalc(C1947)</f>
        <v>0</v>
      </c>
      <c r="L1947" t="str" cm="1">
        <f t="array" ref="L1947">sentimentCategory(K1947)</f>
        <v>Neutral</v>
      </c>
    </row>
    <row r="1948" spans="1:12" x14ac:dyDescent="0.25">
      <c r="A1948" t="s">
        <v>83</v>
      </c>
      <c r="B1948" t="s">
        <v>3369</v>
      </c>
      <c r="C1948" t="str" cm="1">
        <f t="array" ref="C1948">CleanText(B1948)</f>
        <v>ive watched  seconds of this and am wretching vomit vomit vomit</v>
      </c>
      <c r="D1948">
        <v>1</v>
      </c>
      <c r="E1948">
        <v>0</v>
      </c>
      <c r="F1948" t="s">
        <v>10</v>
      </c>
      <c r="G1948" t="str" cm="1">
        <f t="array" ref="G1948">FindCountryName(F1948)</f>
        <v>None</v>
      </c>
      <c r="H1948" s="3">
        <v>45149.512731481482</v>
      </c>
      <c r="I1948" s="3">
        <v>45149.512881944444</v>
      </c>
      <c r="J1948" s="3">
        <v>42377.719212962962</v>
      </c>
      <c r="K1948" cm="1">
        <f t="array" ref="K1948">sentimentCalc(C1948)</f>
        <v>0</v>
      </c>
      <c r="L1948" t="str" cm="1">
        <f t="array" ref="L1948">sentimentCategory(K1948)</f>
        <v>Neutral</v>
      </c>
    </row>
    <row r="1949" spans="1:12" x14ac:dyDescent="0.25">
      <c r="A1949" t="s">
        <v>3263</v>
      </c>
      <c r="B1949" t="s">
        <v>3264</v>
      </c>
      <c r="C1949" t="str" cm="1">
        <f t="array" ref="C1949">CleanText(B1949)</f>
        <v>ive watched this movie twice so far and it gets better every time the first time i watched it the whole cinema was laughing the entire time this movie will never ever be boring to me</v>
      </c>
      <c r="D1949">
        <v>313</v>
      </c>
      <c r="E1949">
        <v>15</v>
      </c>
      <c r="F1949" t="s">
        <v>10</v>
      </c>
      <c r="G1949" t="str" cm="1">
        <f t="array" ref="G1949">FindCountryName(F1949)</f>
        <v>None</v>
      </c>
      <c r="H1949" s="3">
        <v>45151.143414351849</v>
      </c>
      <c r="I1949" s="3">
        <v>45151.143414351849</v>
      </c>
      <c r="J1949" s="3">
        <v>44928.02820601852</v>
      </c>
      <c r="K1949" cm="1">
        <f t="array" ref="K1949">sentimentCalc(C1949)</f>
        <v>0</v>
      </c>
      <c r="L1949" t="str" cm="1">
        <f t="array" ref="L1949">sentimentCategory(K1949)</f>
        <v>Neutral</v>
      </c>
    </row>
    <row r="1950" spans="1:12" x14ac:dyDescent="0.25">
      <c r="A1950" t="s">
        <v>197</v>
      </c>
      <c r="B1950" t="s">
        <v>3511</v>
      </c>
      <c r="C1950" t="str" cm="1">
        <f t="array" ref="C1950">CleanText(B1950)</f>
        <v>ive watched this trailer several times and i cant wait to watch it im going to see the movie next monday th august</v>
      </c>
      <c r="D1950">
        <v>0</v>
      </c>
      <c r="E1950">
        <v>0</v>
      </c>
      <c r="F1950" t="s">
        <v>10</v>
      </c>
      <c r="G1950" t="str" cm="1">
        <f t="array" ref="G1950">FindCountryName(F1950)</f>
        <v>None</v>
      </c>
      <c r="H1950" s="3">
        <v>45148.155798611115</v>
      </c>
      <c r="I1950" s="3">
        <v>45148.155798611115</v>
      </c>
      <c r="J1950" s="3">
        <v>42034.669907407406</v>
      </c>
      <c r="K1950" cm="1">
        <f t="array" ref="K1950">sentimentCalc(C1950)</f>
        <v>0</v>
      </c>
      <c r="L1950" t="str" cm="1">
        <f t="array" ref="L1950">sentimentCategory(K1950)</f>
        <v>Neutral</v>
      </c>
    </row>
    <row r="1951" spans="1:12" x14ac:dyDescent="0.25">
      <c r="A1951" t="s">
        <v>92</v>
      </c>
      <c r="B1951" t="s">
        <v>3052</v>
      </c>
      <c r="C1951" t="str" cm="1">
        <f t="array" ref="C1951">CleanText(B1951)</f>
        <v>ivwanna see a black barbie movie</v>
      </c>
      <c r="D1951">
        <v>0</v>
      </c>
      <c r="E1951">
        <v>0</v>
      </c>
      <c r="F1951" t="s">
        <v>10</v>
      </c>
      <c r="G1951" t="str" cm="1">
        <f t="array" ref="G1951">FindCountryName(F1951)</f>
        <v>None</v>
      </c>
      <c r="H1951" s="3">
        <v>45154.004930555559</v>
      </c>
      <c r="I1951" s="3">
        <v>45154.004930555559</v>
      </c>
      <c r="J1951" s="3">
        <v>42672.592951388891</v>
      </c>
      <c r="K1951" cm="1">
        <f t="array" ref="K1951">sentimentCalc(C1951)</f>
        <v>0</v>
      </c>
      <c r="L1951" t="str" cm="1">
        <f t="array" ref="L1951">sentimentCategory(K1951)</f>
        <v>Neutral</v>
      </c>
    </row>
    <row r="1952" spans="1:12" x14ac:dyDescent="0.25">
      <c r="A1952" t="s">
        <v>543</v>
      </c>
      <c r="B1952" t="s">
        <v>544</v>
      </c>
      <c r="C1952" t="str" cm="1">
        <f t="array" ref="C1952">CleanText(B1952)</f>
        <v>izledigim en iyi filmdi cok gzel</v>
      </c>
      <c r="D1952">
        <v>0</v>
      </c>
      <c r="E1952">
        <v>0</v>
      </c>
      <c r="F1952" t="s">
        <v>139</v>
      </c>
      <c r="G1952" t="str" cm="1">
        <f t="array" ref="G1952">FindCountryName(F1952)</f>
        <v>Turkey</v>
      </c>
      <c r="H1952" s="3">
        <v>45317.276423611111</v>
      </c>
      <c r="I1952" s="3">
        <v>45317.276423611111</v>
      </c>
      <c r="J1952" s="3">
        <v>42229.165208333332</v>
      </c>
      <c r="K1952" cm="1">
        <f t="array" ref="K1952">sentimentCalc(C1952)</f>
        <v>0</v>
      </c>
      <c r="L1952" t="str" cm="1">
        <f t="array" ref="L1952">sentimentCategory(K1952)</f>
        <v>Neutral</v>
      </c>
    </row>
    <row r="1953" spans="1:12" x14ac:dyDescent="0.25">
      <c r="A1953" t="s">
        <v>555</v>
      </c>
      <c r="B1953" t="s">
        <v>556</v>
      </c>
      <c r="C1953" t="str" cm="1">
        <f t="array" ref="C1953">CleanText(B1953)</f>
        <v>izlemstm guzel br flm tavsye ederm pisman duymazsn</v>
      </c>
      <c r="D1953">
        <v>0</v>
      </c>
      <c r="E1953">
        <v>0</v>
      </c>
      <c r="F1953" t="s">
        <v>10</v>
      </c>
      <c r="G1953" t="str" cm="1">
        <f t="array" ref="G1953">FindCountryName(F1953)</f>
        <v>None</v>
      </c>
      <c r="H1953" s="3">
        <v>45317.274212962962</v>
      </c>
      <c r="I1953" s="3">
        <v>45317.274212962962</v>
      </c>
      <c r="J1953" s="3">
        <v>42353.630624999998</v>
      </c>
      <c r="K1953" cm="1">
        <f t="array" ref="K1953">sentimentCalc(C1953)</f>
        <v>0</v>
      </c>
      <c r="L1953" t="str" cm="1">
        <f t="array" ref="L1953">sentimentCategory(K1953)</f>
        <v>Neutral</v>
      </c>
    </row>
    <row r="1954" spans="1:12" x14ac:dyDescent="0.25">
      <c r="A1954" t="s">
        <v>449</v>
      </c>
      <c r="B1954" t="s">
        <v>1452</v>
      </c>
      <c r="C1954" t="str" cm="1">
        <f t="array" ref="C1954">CleanText(B1954)</f>
        <v>ja assisti pensei at que no gostaria mas gostei muito bom</v>
      </c>
      <c r="D1954">
        <v>0</v>
      </c>
      <c r="E1954">
        <v>0</v>
      </c>
      <c r="F1954" t="s">
        <v>10</v>
      </c>
      <c r="G1954" t="str" cm="1">
        <f t="array" ref="G1954">FindCountryName(F1954)</f>
        <v>None</v>
      </c>
      <c r="H1954" s="3">
        <v>45226.504479166666</v>
      </c>
      <c r="I1954" s="3">
        <v>45226.504479166666</v>
      </c>
      <c r="J1954" s="3">
        <v>41467.364074074074</v>
      </c>
      <c r="K1954" cm="1">
        <f t="array" ref="K1954">sentimentCalc(C1954)</f>
        <v>-1</v>
      </c>
      <c r="L1954" t="str" cm="1">
        <f t="array" ref="L1954">sentimentCategory(K1954)</f>
        <v>Negative</v>
      </c>
    </row>
    <row r="1955" spans="1:12" x14ac:dyDescent="0.25">
      <c r="A1955" t="s">
        <v>43</v>
      </c>
      <c r="B1955" t="s">
        <v>1342</v>
      </c>
      <c r="C1955" t="str" cm="1">
        <f t="array" ref="C1955">CleanText(B1955)</f>
        <v>j at vi o filme muito engraado e legal aconselho muito</v>
      </c>
      <c r="D1955">
        <v>1</v>
      </c>
      <c r="E1955">
        <v>0</v>
      </c>
      <c r="F1955" t="s">
        <v>10</v>
      </c>
      <c r="G1955" t="str" cm="1">
        <f t="array" ref="G1955">FindCountryName(F1955)</f>
        <v>None</v>
      </c>
      <c r="H1955" s="3">
        <v>45242.649062500001</v>
      </c>
      <c r="I1955" s="3">
        <v>45242.649062500001</v>
      </c>
      <c r="J1955" s="3">
        <v>43942.760706018518</v>
      </c>
      <c r="K1955" cm="1">
        <f t="array" ref="K1955">sentimentCalc(C1955)</f>
        <v>1</v>
      </c>
      <c r="L1955" t="str" cm="1">
        <f t="array" ref="L1955">sentimentCategory(K1955)</f>
        <v>Positive</v>
      </c>
    </row>
    <row r="1956" spans="1:12" x14ac:dyDescent="0.25">
      <c r="A1956" t="s">
        <v>559</v>
      </c>
      <c r="B1956" t="s">
        <v>3869</v>
      </c>
      <c r="C1956" t="str" cm="1">
        <f t="array" ref="C1956">CleanText(B1956)</f>
        <v>japan contributes  billion yen approximately  in us dollars to the maintenance of the us armed forces each yeardo you wake up when we pull it all up</v>
      </c>
      <c r="D1956">
        <v>0</v>
      </c>
      <c r="E1956">
        <v>0</v>
      </c>
      <c r="F1956" t="s">
        <v>10</v>
      </c>
      <c r="G1956" t="str" cm="1">
        <f t="array" ref="G1956">FindCountryName(F1956)</f>
        <v>None</v>
      </c>
      <c r="H1956" s="3">
        <v>45144.871805555558</v>
      </c>
      <c r="I1956" s="3">
        <v>45144.871805555558</v>
      </c>
      <c r="J1956" s="3">
        <v>44523.33189814815</v>
      </c>
      <c r="K1956" cm="1">
        <f t="array" ref="K1956">sentimentCalc(C1956)</f>
        <v>0</v>
      </c>
      <c r="L1956" t="str" cm="1">
        <f t="array" ref="L1956">sentimentCategory(K1956)</f>
        <v>Neutral</v>
      </c>
    </row>
    <row r="1957" spans="1:12" x14ac:dyDescent="0.25">
      <c r="A1957" t="s">
        <v>205</v>
      </c>
      <c r="B1957" t="s">
        <v>1313</v>
      </c>
      <c r="C1957" t="str" cm="1">
        <f t="array" ref="C1957">CleanText(B1957)</f>
        <v>jaxons sister saw it on the plane</v>
      </c>
      <c r="D1957">
        <v>1</v>
      </c>
      <c r="E1957">
        <v>0</v>
      </c>
      <c r="F1957" t="s">
        <v>10</v>
      </c>
      <c r="G1957" t="str" cm="1">
        <f t="array" ref="G1957">FindCountryName(F1957)</f>
        <v>None</v>
      </c>
      <c r="H1957" s="3">
        <v>45248.61519675926</v>
      </c>
      <c r="I1957" s="3">
        <v>45248.61519675926</v>
      </c>
      <c r="J1957" s="3">
        <v>44534.571643518517</v>
      </c>
      <c r="K1957" cm="1">
        <f t="array" ref="K1957">sentimentCalc(C1957)</f>
        <v>0</v>
      </c>
      <c r="L1957" t="str" cm="1">
        <f t="array" ref="L1957">sentimentCategory(K1957)</f>
        <v>Neutral</v>
      </c>
    </row>
    <row r="1958" spans="1:12" x14ac:dyDescent="0.25">
      <c r="A1958" t="s">
        <v>503</v>
      </c>
      <c r="B1958" t="s">
        <v>1466</v>
      </c>
      <c r="C1958" t="str" cm="1">
        <f t="array" ref="C1958">CleanText(B1958)</f>
        <v>je taime</v>
      </c>
      <c r="D1958">
        <v>0</v>
      </c>
      <c r="E1958">
        <v>0</v>
      </c>
      <c r="F1958" t="s">
        <v>10</v>
      </c>
      <c r="G1958" t="str" cm="1">
        <f t="array" ref="G1958">FindCountryName(F1958)</f>
        <v>None</v>
      </c>
      <c r="H1958" s="3">
        <v>45226.317256944443</v>
      </c>
      <c r="I1958" s="3">
        <v>45226.317256944443</v>
      </c>
      <c r="J1958" s="3">
        <v>45226.314074074071</v>
      </c>
      <c r="K1958" cm="1">
        <f t="array" ref="K1958">sentimentCalc(C1958)</f>
        <v>0</v>
      </c>
      <c r="L1958" t="str" cm="1">
        <f t="array" ref="L1958">sentimentCategory(K1958)</f>
        <v>Neutral</v>
      </c>
    </row>
    <row r="1959" spans="1:12" x14ac:dyDescent="0.25">
      <c r="A1959" t="s">
        <v>54</v>
      </c>
      <c r="B1959" t="s">
        <v>55</v>
      </c>
      <c r="C1959" t="str" cm="1">
        <f t="array" ref="C1959">CleanText(B1959)</f>
        <v>jennifer jason leigh is such a good replacement for this chick whom im told skates</v>
      </c>
      <c r="D1959">
        <v>0</v>
      </c>
      <c r="E1959">
        <v>6</v>
      </c>
      <c r="F1959" t="s">
        <v>10</v>
      </c>
      <c r="G1959" t="str" cm="1">
        <f t="array" ref="G1959">FindCountryName(F1959)</f>
        <v>None</v>
      </c>
      <c r="H1959" s="3">
        <v>45343.850486111114</v>
      </c>
      <c r="I1959" s="3">
        <v>45343.850486111114</v>
      </c>
      <c r="J1959" s="3">
        <v>44313.223969907405</v>
      </c>
      <c r="K1959" cm="1">
        <f t="array" ref="K1959">sentimentCalc(C1959)</f>
        <v>3</v>
      </c>
      <c r="L1959" t="str" cm="1">
        <f t="array" ref="L1959">sentimentCategory(K1959)</f>
        <v>Positive</v>
      </c>
    </row>
    <row r="1960" spans="1:12" x14ac:dyDescent="0.25">
      <c r="A1960" t="s">
        <v>1582</v>
      </c>
      <c r="B1960" t="s">
        <v>4115</v>
      </c>
      <c r="C1960" t="str" cm="1">
        <f t="array" ref="C1960">CleanText(B1960)</f>
        <v>jesus loves you</v>
      </c>
      <c r="D1960">
        <v>2</v>
      </c>
      <c r="E1960">
        <v>0</v>
      </c>
      <c r="F1960" t="s">
        <v>10</v>
      </c>
      <c r="G1960" t="str" cm="1">
        <f t="array" ref="G1960">FindCountryName(F1960)</f>
        <v>None</v>
      </c>
      <c r="H1960" s="3">
        <v>45142.741712962961</v>
      </c>
      <c r="I1960" s="3">
        <v>45142.741712962961</v>
      </c>
      <c r="J1960" s="3">
        <v>43430.662291666667</v>
      </c>
      <c r="K1960" cm="1">
        <f t="array" ref="K1960">sentimentCalc(C1960)</f>
        <v>1</v>
      </c>
      <c r="L1960" t="str" cm="1">
        <f t="array" ref="L1960">sentimentCategory(K1960)</f>
        <v>Positive</v>
      </c>
    </row>
    <row r="1961" spans="1:12" x14ac:dyDescent="0.25">
      <c r="A1961" t="s">
        <v>1107</v>
      </c>
      <c r="B1961" t="s">
        <v>1108</v>
      </c>
      <c r="C1961" t="str" cm="1">
        <f t="array" ref="C1961">CleanText(B1961)</f>
        <v>jesuueuejrjlekowiroieiejcakxh</v>
      </c>
      <c r="D1961">
        <v>0</v>
      </c>
      <c r="E1961">
        <v>0</v>
      </c>
      <c r="F1961" t="s">
        <v>10</v>
      </c>
      <c r="G1961" t="str" cm="1">
        <f t="array" ref="G1961">FindCountryName(F1961)</f>
        <v>None</v>
      </c>
      <c r="H1961" s="3">
        <v>45289.2965625</v>
      </c>
      <c r="I1961" s="3">
        <v>45289.2965625</v>
      </c>
      <c r="J1961" s="3">
        <v>42967.373090277775</v>
      </c>
      <c r="K1961" cm="1">
        <f t="array" ref="K1961">sentimentCalc(C1961)</f>
        <v>0</v>
      </c>
      <c r="L1961" t="str" cm="1">
        <f t="array" ref="L1961">sentimentCategory(K1961)</f>
        <v>Neutral</v>
      </c>
    </row>
    <row r="1962" spans="1:12" x14ac:dyDescent="0.25">
      <c r="A1962" t="s">
        <v>60</v>
      </c>
      <c r="B1962" t="s">
        <v>4413</v>
      </c>
      <c r="C1962" t="str" cm="1">
        <f t="array" ref="C1962">CleanText(B1962)</f>
        <v>jimins outfit</v>
      </c>
      <c r="D1962">
        <v>0</v>
      </c>
      <c r="E1962">
        <v>0</v>
      </c>
      <c r="F1962" t="s">
        <v>1942</v>
      </c>
      <c r="G1962" t="str" cm="1">
        <f t="array" ref="G1962">FindCountryName(F1962)</f>
        <v>Pakistan</v>
      </c>
      <c r="H1962" s="3">
        <v>45140.41983796296</v>
      </c>
      <c r="I1962" s="3">
        <v>45140.41983796296</v>
      </c>
      <c r="J1962" s="3">
        <v>42813.099363425928</v>
      </c>
      <c r="K1962" cm="1">
        <f t="array" ref="K1962">sentimentCalc(C1962)</f>
        <v>0</v>
      </c>
      <c r="L1962" t="str" cm="1">
        <f t="array" ref="L1962">sentimentCategory(K1962)</f>
        <v>Neutral</v>
      </c>
    </row>
    <row r="1963" spans="1:12" x14ac:dyDescent="0.25">
      <c r="A1963" t="s">
        <v>1556</v>
      </c>
      <c r="B1963" t="s">
        <v>1557</v>
      </c>
      <c r="C1963" t="str" cm="1">
        <f t="array" ref="C1963">CleanText(B1963)</f>
        <v>job bhhhbjbi</v>
      </c>
      <c r="D1963">
        <v>0</v>
      </c>
      <c r="E1963">
        <v>0</v>
      </c>
      <c r="F1963" t="s">
        <v>10</v>
      </c>
      <c r="G1963" t="str" cm="1">
        <f t="array" ref="G1963">FindCountryName(F1963)</f>
        <v>None</v>
      </c>
      <c r="H1963" s="3">
        <v>45214.392094907409</v>
      </c>
      <c r="I1963" s="3">
        <v>45214.392094907409</v>
      </c>
      <c r="J1963" s="3">
        <v>44021.696481481478</v>
      </c>
      <c r="K1963" cm="1">
        <f t="array" ref="K1963">sentimentCalc(C1963)</f>
        <v>0</v>
      </c>
      <c r="L1963" t="str" cm="1">
        <f t="array" ref="L1963">sentimentCategory(K1963)</f>
        <v>Neutral</v>
      </c>
    </row>
    <row r="1964" spans="1:12" x14ac:dyDescent="0.25">
      <c r="A1964" t="s">
        <v>3459</v>
      </c>
      <c r="B1964" t="s">
        <v>3460</v>
      </c>
      <c r="C1964" t="str" cm="1">
        <f t="array" ref="C1964">CleanText(B1964)</f>
        <v>jsvssl rt eleyleddgeltdepeyelvx s sedosrwskdekewldw</v>
      </c>
      <c r="D1964">
        <v>1</v>
      </c>
      <c r="E1964">
        <v>0</v>
      </c>
      <c r="F1964" t="s">
        <v>10</v>
      </c>
      <c r="G1964" t="str" cm="1">
        <f t="array" ref="G1964">FindCountryName(F1964)</f>
        <v>None</v>
      </c>
      <c r="H1964" s="3">
        <v>45148.628125000003</v>
      </c>
      <c r="I1964" s="3">
        <v>45148.628125000003</v>
      </c>
      <c r="J1964" s="3">
        <v>45097.602719907409</v>
      </c>
      <c r="K1964" cm="1">
        <f t="array" ref="K1964">sentimentCalc(C1964)</f>
        <v>0</v>
      </c>
      <c r="L1964" t="str" cm="1">
        <f t="array" ref="L1964">sentimentCategory(K1964)</f>
        <v>Neutral</v>
      </c>
    </row>
    <row r="1965" spans="1:12" x14ac:dyDescent="0.25">
      <c r="A1965" t="s">
        <v>2246</v>
      </c>
      <c r="B1965" t="s">
        <v>4261</v>
      </c>
      <c r="C1965" t="str" cm="1">
        <f t="array" ref="C1965">CleanText(B1965)</f>
        <v>july st is my birthday</v>
      </c>
      <c r="D1965">
        <v>0</v>
      </c>
      <c r="E1965">
        <v>0</v>
      </c>
      <c r="F1965" t="s">
        <v>10</v>
      </c>
      <c r="G1965" t="str" cm="1">
        <f t="array" ref="G1965">FindCountryName(F1965)</f>
        <v>None</v>
      </c>
      <c r="H1965" s="3">
        <v>45141.407430555555</v>
      </c>
      <c r="I1965" s="3">
        <v>45141.407430555555</v>
      </c>
      <c r="J1965" s="3">
        <v>44719.316064814811</v>
      </c>
      <c r="K1965" cm="1">
        <f t="array" ref="K1965">sentimentCalc(C1965)</f>
        <v>0</v>
      </c>
      <c r="L1965" t="str" cm="1">
        <f t="array" ref="L1965">sentimentCategory(K1965)</f>
        <v>Neutral</v>
      </c>
    </row>
    <row r="1966" spans="1:12" x14ac:dyDescent="0.25">
      <c r="A1966" t="s">
        <v>294</v>
      </c>
      <c r="B1966" t="s">
        <v>2817</v>
      </c>
      <c r="C1966" t="str" cm="1">
        <f t="array" ref="C1966">CleanText(B1966)</f>
        <v>jus watched the movie trust me its sooo worth it</v>
      </c>
      <c r="D1966">
        <v>2</v>
      </c>
      <c r="E1966">
        <v>2</v>
      </c>
      <c r="F1966" t="s">
        <v>10</v>
      </c>
      <c r="G1966" t="str" cm="1">
        <f t="array" ref="G1966">FindCountryName(F1966)</f>
        <v>None</v>
      </c>
      <c r="H1966" s="3">
        <v>45157.422719907408</v>
      </c>
      <c r="I1966" s="3">
        <v>45157.422719907408</v>
      </c>
      <c r="J1966" s="3">
        <v>44039.028067129628</v>
      </c>
      <c r="K1966" cm="1">
        <f t="array" ref="K1966">sentimentCalc(C1966)</f>
        <v>3</v>
      </c>
      <c r="L1966" t="str" cm="1">
        <f t="array" ref="L1966">sentimentCategory(K1966)</f>
        <v>Positive</v>
      </c>
    </row>
    <row r="1967" spans="1:12" x14ac:dyDescent="0.25">
      <c r="A1967" t="s">
        <v>114</v>
      </c>
      <c r="B1967" t="s">
        <v>1286</v>
      </c>
      <c r="C1967" t="str" cm="1">
        <f t="array" ref="C1967">CleanText(B1967)</f>
        <v>just a boring movie</v>
      </c>
      <c r="D1967">
        <v>6</v>
      </c>
      <c r="E1967">
        <v>8</v>
      </c>
      <c r="F1967" t="s">
        <v>10</v>
      </c>
      <c r="G1967" t="str" cm="1">
        <f t="array" ref="G1967">FindCountryName(F1967)</f>
        <v>None</v>
      </c>
      <c r="H1967" s="3">
        <v>45257.638171296298</v>
      </c>
      <c r="I1967" s="3">
        <v>45257.638171296298</v>
      </c>
      <c r="J1967" s="3">
        <v>44237.695462962962</v>
      </c>
      <c r="K1967" cm="1">
        <f t="array" ref="K1967">sentimentCalc(C1967)</f>
        <v>-3</v>
      </c>
      <c r="L1967" t="str" cm="1">
        <f t="array" ref="L1967">sentimentCategory(K1967)</f>
        <v>Negative</v>
      </c>
    </row>
    <row r="1968" spans="1:12" x14ac:dyDescent="0.25">
      <c r="A1968" t="s">
        <v>1848</v>
      </c>
      <c r="B1968" t="s">
        <v>1849</v>
      </c>
      <c r="C1968" t="str" cm="1">
        <f t="array" ref="C1968">CleanText(B1968)</f>
        <v>just as expected  minutes of film and ashley katchadourian wasnt watching the door for a single one of them</v>
      </c>
      <c r="D1968">
        <v>1</v>
      </c>
      <c r="E1968">
        <v>0</v>
      </c>
      <c r="F1968" t="s">
        <v>10</v>
      </c>
      <c r="G1968" t="str" cm="1">
        <f t="array" ref="G1968">FindCountryName(F1968)</f>
        <v>None</v>
      </c>
      <c r="H1968" s="3">
        <v>45190.894814814812</v>
      </c>
      <c r="I1968" s="3">
        <v>45190.894814814812</v>
      </c>
      <c r="J1968" s="3">
        <v>40149.832152777781</v>
      </c>
      <c r="K1968" cm="1">
        <f t="array" ref="K1968">sentimentCalc(C1968)</f>
        <v>0</v>
      </c>
      <c r="L1968" t="str" cm="1">
        <f t="array" ref="L1968">sentimentCategory(K1968)</f>
        <v>Neutral</v>
      </c>
    </row>
    <row r="1969" spans="1:12" x14ac:dyDescent="0.25">
      <c r="A1969" t="s">
        <v>3234</v>
      </c>
      <c r="B1969" t="s">
        <v>3235</v>
      </c>
      <c r="C1969" t="str" cm="1">
        <f t="array" ref="C1969">CleanText(B1969)</f>
        <v>just came out of the movies and i can say that propaganda works and made me watch a barbie movie and i was not disappointed it was actually really funny</v>
      </c>
      <c r="D1969">
        <v>2</v>
      </c>
      <c r="E1969">
        <v>0</v>
      </c>
      <c r="F1969" t="s">
        <v>10</v>
      </c>
      <c r="G1969" t="str" cm="1">
        <f t="array" ref="G1969">FindCountryName(F1969)</f>
        <v>None</v>
      </c>
      <c r="H1969" s="3">
        <v>45151.473877314813</v>
      </c>
      <c r="I1969" s="3">
        <v>45151.473877314813</v>
      </c>
      <c r="J1969" s="3">
        <v>39414.594270833331</v>
      </c>
      <c r="K1969" cm="1">
        <f t="array" ref="K1969">sentimentCalc(C1969)</f>
        <v>0</v>
      </c>
      <c r="L1969" t="str" cm="1">
        <f t="array" ref="L1969">sentimentCategory(K1969)</f>
        <v>Neutral</v>
      </c>
    </row>
    <row r="1970" spans="1:12" x14ac:dyDescent="0.25">
      <c r="A1970" t="s">
        <v>322</v>
      </c>
      <c r="B1970" t="s">
        <v>2658</v>
      </c>
      <c r="C1970" t="str" cm="1">
        <f t="array" ref="C1970">CleanText(B1970)</f>
        <v>just came to dislike</v>
      </c>
      <c r="D1970">
        <v>0</v>
      </c>
      <c r="E1970">
        <v>1</v>
      </c>
      <c r="F1970" t="s">
        <v>10</v>
      </c>
      <c r="G1970" t="str" cm="1">
        <f t="array" ref="G1970">FindCountryName(F1970)</f>
        <v>None</v>
      </c>
      <c r="H1970" s="3">
        <v>45160.553090277775</v>
      </c>
      <c r="I1970" s="3">
        <v>45160.553090277775</v>
      </c>
      <c r="J1970" s="3">
        <v>41585.623761574076</v>
      </c>
      <c r="K1970" cm="1">
        <f t="array" ref="K1970">sentimentCalc(C1970)</f>
        <v>-2</v>
      </c>
      <c r="L1970" t="str" cm="1">
        <f t="array" ref="L1970">sentimentCategory(K1970)</f>
        <v>Negative</v>
      </c>
    </row>
    <row r="1971" spans="1:12" x14ac:dyDescent="0.25">
      <c r="A1971" t="s">
        <v>3373</v>
      </c>
      <c r="B1971" t="s">
        <v>3646</v>
      </c>
      <c r="C1971" t="str" cm="1">
        <f t="array" ref="C1971">CleanText(B1971)</f>
        <v>just got out of theater i loved the part when barbie said its barbin time and barbied all over the place</v>
      </c>
      <c r="D1971">
        <v>2</v>
      </c>
      <c r="E1971">
        <v>2</v>
      </c>
      <c r="F1971" t="s">
        <v>1073</v>
      </c>
      <c r="G1971" t="str" cm="1">
        <f t="array" ref="G1971">FindCountryName(F1971)</f>
        <v>India</v>
      </c>
      <c r="H1971" s="3">
        <v>45146.824317129627</v>
      </c>
      <c r="I1971" s="3">
        <v>45146.824317129627</v>
      </c>
      <c r="J1971" s="3">
        <v>41589.143935185188</v>
      </c>
      <c r="K1971" cm="1">
        <f t="array" ref="K1971">sentimentCalc(C1971)</f>
        <v>3</v>
      </c>
      <c r="L1971" t="str" cm="1">
        <f t="array" ref="L1971">sentimentCategory(K1971)</f>
        <v>Positive</v>
      </c>
    </row>
    <row r="1972" spans="1:12" x14ac:dyDescent="0.25">
      <c r="A1972" t="s">
        <v>1771</v>
      </c>
      <c r="B1972" t="s">
        <v>4015</v>
      </c>
      <c r="C1972" t="str" cm="1">
        <f t="array" ref="C1972">CleanText(B1972)</f>
        <v>just got out so good literally would watch a thousand times over</v>
      </c>
      <c r="D1972">
        <v>1</v>
      </c>
      <c r="E1972">
        <v>9</v>
      </c>
      <c r="F1972" t="s">
        <v>10</v>
      </c>
      <c r="G1972" t="str" cm="1">
        <f t="array" ref="G1972">FindCountryName(F1972)</f>
        <v>None</v>
      </c>
      <c r="H1972" s="3">
        <v>45143.70689814815</v>
      </c>
      <c r="I1972" s="3">
        <v>45143.70689814815</v>
      </c>
      <c r="J1972" s="3">
        <v>44555.790208333332</v>
      </c>
      <c r="K1972" cm="1">
        <f t="array" ref="K1972">sentimentCalc(C1972)</f>
        <v>3</v>
      </c>
      <c r="L1972" t="str" cm="1">
        <f t="array" ref="L1972">sentimentCategory(K1972)</f>
        <v>Positive</v>
      </c>
    </row>
    <row r="1973" spans="1:12" x14ac:dyDescent="0.25">
      <c r="A1973" t="s">
        <v>566</v>
      </c>
      <c r="B1973" t="s">
        <v>3663</v>
      </c>
      <c r="C1973" t="str" cm="1">
        <f t="array" ref="C1973">CleanText(B1973)</f>
        <v>just incase nobody knew the barbie movie has sh in it</v>
      </c>
      <c r="D1973">
        <v>0</v>
      </c>
      <c r="E1973">
        <v>0</v>
      </c>
      <c r="F1973" t="s">
        <v>10</v>
      </c>
      <c r="G1973" t="str" cm="1">
        <f t="array" ref="G1973">FindCountryName(F1973)</f>
        <v>None</v>
      </c>
      <c r="H1973" s="3">
        <v>45146.664386574077</v>
      </c>
      <c r="I1973" s="3">
        <v>45146.664386574077</v>
      </c>
      <c r="J1973" s="3">
        <v>44724.624259259261</v>
      </c>
      <c r="K1973" cm="1">
        <f t="array" ref="K1973">sentimentCalc(C1973)</f>
        <v>0</v>
      </c>
      <c r="L1973" t="str" cm="1">
        <f t="array" ref="L1973">sentimentCategory(K1973)</f>
        <v>Neutral</v>
      </c>
    </row>
    <row r="1974" spans="1:12" x14ac:dyDescent="0.25">
      <c r="A1974" t="s">
        <v>1060</v>
      </c>
      <c r="B1974" t="s">
        <v>3739</v>
      </c>
      <c r="C1974" t="str" cm="1">
        <f t="array" ref="C1974">CleanText(B1974)</f>
        <v>just like barbie its perfect</v>
      </c>
      <c r="D1974">
        <v>0</v>
      </c>
      <c r="E1974">
        <v>0</v>
      </c>
      <c r="F1974" t="s">
        <v>10</v>
      </c>
      <c r="G1974" t="str" cm="1">
        <f t="array" ref="G1974">FindCountryName(F1974)</f>
        <v>None</v>
      </c>
      <c r="H1974" s="3">
        <v>45145.864328703705</v>
      </c>
      <c r="I1974" s="3">
        <v>45145.864328703705</v>
      </c>
      <c r="J1974" s="3">
        <v>39546.389745370368</v>
      </c>
      <c r="K1974" cm="1">
        <f t="array" ref="K1974">sentimentCalc(C1974)</f>
        <v>5</v>
      </c>
      <c r="L1974" t="str" cm="1">
        <f t="array" ref="L1974">sentimentCategory(K1974)</f>
        <v>Positive</v>
      </c>
    </row>
    <row r="1975" spans="1:12" x14ac:dyDescent="0.25">
      <c r="A1975" t="s">
        <v>1485</v>
      </c>
      <c r="B1975" t="s">
        <v>3555</v>
      </c>
      <c r="C1975" t="str" cm="1">
        <f t="array" ref="C1975">CleanText(B1975)</f>
        <v>just one word i would like to say no offense pleease  papa ki pari</v>
      </c>
      <c r="D1975">
        <v>0</v>
      </c>
      <c r="E1975">
        <v>0</v>
      </c>
      <c r="F1975" t="s">
        <v>10</v>
      </c>
      <c r="G1975" t="str" cm="1">
        <f t="array" ref="G1975">FindCountryName(F1975)</f>
        <v>None</v>
      </c>
      <c r="H1975" s="3">
        <v>45147.567835648151</v>
      </c>
      <c r="I1975" s="3">
        <v>45147.567835648151</v>
      </c>
      <c r="J1975" s="3">
        <v>43934.082037037035</v>
      </c>
      <c r="K1975" cm="1">
        <f t="array" ref="K1975">sentimentCalc(C1975)</f>
        <v>1</v>
      </c>
      <c r="L1975" t="str" cm="1">
        <f t="array" ref="L1975">sentimentCategory(K1975)</f>
        <v>Positive</v>
      </c>
    </row>
    <row r="1976" spans="1:12" x14ac:dyDescent="0.25">
      <c r="A1976" t="s">
        <v>1995</v>
      </c>
      <c r="B1976" t="s">
        <v>1996</v>
      </c>
      <c r="C1976" t="str" cm="1">
        <f t="array" ref="C1976">CleanText(B1976)</f>
        <v>just saw this movie for anyone who hasnt seen it ill describe it in one word feminism</v>
      </c>
      <c r="D1976">
        <v>0</v>
      </c>
      <c r="E1976">
        <v>0</v>
      </c>
      <c r="F1976" t="s">
        <v>10</v>
      </c>
      <c r="G1976" t="str" cm="1">
        <f t="array" ref="G1976">FindCountryName(F1976)</f>
        <v>None</v>
      </c>
      <c r="H1976" s="3">
        <v>45185.141840277778</v>
      </c>
      <c r="I1976" s="3">
        <v>45185.141840277778</v>
      </c>
      <c r="J1976" s="3">
        <v>39825.83971064815</v>
      </c>
      <c r="K1976" cm="1">
        <f t="array" ref="K1976">sentimentCalc(C1976)</f>
        <v>-2</v>
      </c>
      <c r="L1976" t="str" cm="1">
        <f t="array" ref="L1976">sentimentCategory(K1976)</f>
        <v>Negative</v>
      </c>
    </row>
    <row r="1977" spans="1:12" x14ac:dyDescent="0.25">
      <c r="A1977" t="s">
        <v>171</v>
      </c>
      <c r="B1977" t="s">
        <v>3903</v>
      </c>
      <c r="C1977" t="str" cm="1">
        <f t="array" ref="C1977">CleanText(B1977)</f>
        <v>just seen this film at i max theater really cute fun film imax theater experience way to film on the big totally cool experience</v>
      </c>
      <c r="D1977">
        <v>1</v>
      </c>
      <c r="E1977">
        <v>2</v>
      </c>
      <c r="F1977" t="s">
        <v>10</v>
      </c>
      <c r="G1977" t="str" cm="1">
        <f t="array" ref="G1977">FindCountryName(F1977)</f>
        <v>None</v>
      </c>
      <c r="H1977" s="3">
        <v>45144.600219907406</v>
      </c>
      <c r="I1977" s="3">
        <v>45144.600219907406</v>
      </c>
      <c r="J1977" s="3">
        <v>45133.740324074075</v>
      </c>
      <c r="K1977" cm="1">
        <f t="array" ref="K1977">sentimentCalc(C1977)</f>
        <v>8</v>
      </c>
      <c r="L1977" t="str" cm="1">
        <f t="array" ref="L1977">sentimentCategory(K1977)</f>
        <v>Positive</v>
      </c>
    </row>
    <row r="1978" spans="1:12" x14ac:dyDescent="0.25">
      <c r="A1978" t="s">
        <v>54</v>
      </c>
      <c r="B1978" t="s">
        <v>3901</v>
      </c>
      <c r="C1978" t="str" cm="1">
        <f t="array" ref="C1978">CleanText(B1978)</f>
        <v>just surpassed b at the box office</v>
      </c>
      <c r="D1978">
        <v>6</v>
      </c>
      <c r="E1978">
        <v>0</v>
      </c>
      <c r="F1978" t="s">
        <v>10</v>
      </c>
      <c r="G1978" t="str" cm="1">
        <f t="array" ref="G1978">FindCountryName(F1978)</f>
        <v>None</v>
      </c>
      <c r="H1978" s="3">
        <v>45144.608946759261</v>
      </c>
      <c r="I1978" s="3">
        <v>45144.608946759261</v>
      </c>
      <c r="J1978" s="3">
        <v>40133.995127314818</v>
      </c>
      <c r="K1978" cm="1">
        <f t="array" ref="K1978">sentimentCalc(C1978)</f>
        <v>0</v>
      </c>
      <c r="L1978" t="str" cm="1">
        <f t="array" ref="L1978">sentimentCategory(K1978)</f>
        <v>Neutral</v>
      </c>
    </row>
    <row r="1979" spans="1:12" x14ac:dyDescent="0.25">
      <c r="A1979" t="s">
        <v>2616</v>
      </c>
      <c r="B1979" t="s">
        <v>2617</v>
      </c>
      <c r="C1979" t="str" cm="1">
        <f t="array" ref="C1979">CleanText(B1979)</f>
        <v>just they want to watch this because of money</v>
      </c>
      <c r="D1979">
        <v>0</v>
      </c>
      <c r="E1979">
        <v>0</v>
      </c>
      <c r="F1979" t="s">
        <v>10</v>
      </c>
      <c r="G1979" t="str" cm="1">
        <f t="array" ref="G1979">FindCountryName(F1979)</f>
        <v>None</v>
      </c>
      <c r="H1979" s="3">
        <v>45161.784594907411</v>
      </c>
      <c r="I1979" s="3">
        <v>45161.784583333334</v>
      </c>
      <c r="J1979" s="3">
        <v>44749.537916666668</v>
      </c>
      <c r="K1979" cm="1">
        <f t="array" ref="K1979">sentimentCalc(C1979)</f>
        <v>1</v>
      </c>
      <c r="L1979" t="str" cm="1">
        <f t="array" ref="L1979">sentimentCategory(K1979)</f>
        <v>Positive</v>
      </c>
    </row>
    <row r="1980" spans="1:12" x14ac:dyDescent="0.25">
      <c r="A1980" t="s">
        <v>1498</v>
      </c>
      <c r="B1980" t="s">
        <v>4294</v>
      </c>
      <c r="C1980" t="str" cm="1">
        <f t="array" ref="C1980">CleanText(B1980)</f>
        <v>just watch oppenheimer better to spend your  dollars on action if you are an adult</v>
      </c>
      <c r="D1980">
        <v>1</v>
      </c>
      <c r="E1980">
        <v>0</v>
      </c>
      <c r="F1980" t="s">
        <v>10</v>
      </c>
      <c r="G1980" t="str" cm="1">
        <f t="array" ref="G1980">FindCountryName(F1980)</f>
        <v>None</v>
      </c>
      <c r="H1980" s="3">
        <v>45141.149687500001</v>
      </c>
      <c r="I1980" s="3">
        <v>45141.149687500001</v>
      </c>
      <c r="J1980" s="3">
        <v>45044.582442129627</v>
      </c>
      <c r="K1980" cm="1">
        <f t="array" ref="K1980">sentimentCalc(C1980)</f>
        <v>2</v>
      </c>
      <c r="L1980" t="str" cm="1">
        <f t="array" ref="L1980">sentimentCategory(K1980)</f>
        <v>Positive</v>
      </c>
    </row>
    <row r="1981" spans="1:12" x14ac:dyDescent="0.25">
      <c r="A1981" t="s">
        <v>103</v>
      </c>
      <c r="B1981" t="s">
        <v>1484</v>
      </c>
      <c r="C1981" t="str" cm="1">
        <f t="array" ref="C1981">CleanText(B1981)</f>
        <v>just watched and i cant believe that this came from a toy brand that is just insane to me</v>
      </c>
      <c r="D1981">
        <v>2</v>
      </c>
      <c r="E1981">
        <v>0</v>
      </c>
      <c r="F1981" t="s">
        <v>10</v>
      </c>
      <c r="G1981" t="str" cm="1">
        <f t="array" ref="G1981">FindCountryName(F1981)</f>
        <v>None</v>
      </c>
      <c r="H1981" s="3">
        <v>45221.999699074076</v>
      </c>
      <c r="I1981" s="3">
        <v>45221.999699074076</v>
      </c>
      <c r="J1981" s="3">
        <v>43633.873379629629</v>
      </c>
      <c r="K1981" cm="1">
        <f t="array" ref="K1981">sentimentCalc(C1981)</f>
        <v>-2</v>
      </c>
      <c r="L1981" t="str" cm="1">
        <f t="array" ref="L1981">sentimentCategory(K1981)</f>
        <v>Negative</v>
      </c>
    </row>
    <row r="1982" spans="1:12" x14ac:dyDescent="0.25">
      <c r="A1982" t="s">
        <v>1142</v>
      </c>
      <c r="B1982" t="s">
        <v>1145</v>
      </c>
      <c r="C1982" t="str" cm="1">
        <f t="array" ref="C1982">CleanText(B1982)</f>
        <v>just watched it we were fairly disappointed no strong good story plot constant woke mentions like white savior or getting offended over phrases like si se puede and calling it appropriation the hate for men by calling it patriarchy the fact that they treated ken like an idiot and he didnt even end up with barbie they completely ignored the true meaning of barbie and her friends and used it for wokeness this movie blows im glad i didnt spend money at the movies oppenheimer is still number one for me</v>
      </c>
      <c r="D1982">
        <v>1</v>
      </c>
      <c r="E1982">
        <v>1</v>
      </c>
      <c r="F1982" t="s">
        <v>10</v>
      </c>
      <c r="G1982" t="str" cm="1">
        <f t="array" ref="G1982">FindCountryName(F1982)</f>
        <v>None</v>
      </c>
      <c r="H1982" s="3">
        <v>45283.7187037037</v>
      </c>
      <c r="I1982" s="3">
        <v>45283.7187037037</v>
      </c>
      <c r="J1982" s="3">
        <v>40970.004189814812</v>
      </c>
      <c r="K1982" cm="1">
        <f t="array" ref="K1982">sentimentCalc(C1982)</f>
        <v>3</v>
      </c>
      <c r="L1982" t="str" cm="1">
        <f t="array" ref="L1982">sentimentCategory(K1982)</f>
        <v>Positive</v>
      </c>
    </row>
    <row r="1983" spans="1:12" x14ac:dyDescent="0.25">
      <c r="A1983" t="s">
        <v>1670</v>
      </c>
      <c r="B1983" t="s">
        <v>3202</v>
      </c>
      <c r="C1983" t="str" cm="1">
        <f t="array" ref="C1983">CleanText(B1983)</f>
        <v>just watched the movie it was pretty good</v>
      </c>
      <c r="D1983">
        <v>0</v>
      </c>
      <c r="E1983">
        <v>0</v>
      </c>
      <c r="F1983" t="s">
        <v>10</v>
      </c>
      <c r="G1983" t="str" cm="1">
        <f t="array" ref="G1983">FindCountryName(F1983)</f>
        <v>None</v>
      </c>
      <c r="H1983" s="3">
        <v>45151.978009259263</v>
      </c>
      <c r="I1983" s="3">
        <v>45151.977997685186</v>
      </c>
      <c r="J1983" s="3">
        <v>45073.452534722222</v>
      </c>
      <c r="K1983" cm="1">
        <f t="array" ref="K1983">sentimentCalc(C1983)</f>
        <v>4</v>
      </c>
      <c r="L1983" t="str" cm="1">
        <f t="array" ref="L1983">sentimentCategory(K1983)</f>
        <v>Positive</v>
      </c>
    </row>
    <row r="1984" spans="1:12" x14ac:dyDescent="0.25">
      <c r="A1984" t="s">
        <v>2844</v>
      </c>
      <c r="B1984" t="s">
        <v>2845</v>
      </c>
      <c r="C1984" t="str" cm="1">
        <f t="array" ref="C1984">CleanText(B1984)</f>
        <v>just watched the movie only the worst ive seen this year</v>
      </c>
      <c r="D1984">
        <v>0</v>
      </c>
      <c r="E1984">
        <v>0</v>
      </c>
      <c r="F1984" t="s">
        <v>227</v>
      </c>
      <c r="G1984" t="str" cm="1">
        <f t="array" ref="G1984">FindCountryName(F1984)</f>
        <v>United States of America (the)</v>
      </c>
      <c r="H1984" s="3">
        <v>45156.925335648149</v>
      </c>
      <c r="I1984" s="3">
        <v>45156.925335648149</v>
      </c>
      <c r="J1984" s="3">
        <v>43487.701874999999</v>
      </c>
      <c r="K1984" cm="1">
        <f t="array" ref="K1984">sentimentCalc(C1984)</f>
        <v>-3</v>
      </c>
      <c r="L1984" t="str" cm="1">
        <f t="array" ref="L1984">sentimentCategory(K1984)</f>
        <v>Negative</v>
      </c>
    </row>
    <row r="1985" spans="1:12" x14ac:dyDescent="0.25">
      <c r="A1985" t="s">
        <v>3434</v>
      </c>
      <c r="B1985" t="s">
        <v>3557</v>
      </c>
      <c r="C1985" t="str" cm="1">
        <f t="array" ref="C1985">CleanText(B1985)</f>
        <v>just watched this film today i was rlly good would def reccomend seeing it</v>
      </c>
      <c r="D1985">
        <v>2</v>
      </c>
      <c r="E1985">
        <v>0</v>
      </c>
      <c r="F1985" t="s">
        <v>10</v>
      </c>
      <c r="G1985" t="str" cm="1">
        <f t="array" ref="G1985">FindCountryName(F1985)</f>
        <v>None</v>
      </c>
      <c r="H1985" s="3">
        <v>45147.546111111114</v>
      </c>
      <c r="I1985" s="3">
        <v>45147.546111111114</v>
      </c>
      <c r="J1985" s="3">
        <v>45078.335949074077</v>
      </c>
      <c r="K1985" cm="1">
        <f t="array" ref="K1985">sentimentCalc(C1985)</f>
        <v>3</v>
      </c>
      <c r="L1985" t="str" cm="1">
        <f t="array" ref="L1985">sentimentCategory(K1985)</f>
        <v>Positive</v>
      </c>
    </row>
    <row r="1986" spans="1:12" x14ac:dyDescent="0.25">
      <c r="A1986" t="s">
        <v>472</v>
      </c>
      <c r="B1986" t="s">
        <v>2797</v>
      </c>
      <c r="C1986" t="str" cm="1">
        <f t="array" ref="C1986">CleanText(B1986)</f>
        <v>just watched this movie last week loved every second of it probably the best movie ive seen in modern history</v>
      </c>
      <c r="D1986">
        <v>37</v>
      </c>
      <c r="E1986">
        <v>9</v>
      </c>
      <c r="F1986" t="s">
        <v>10</v>
      </c>
      <c r="G1986" t="str" cm="1">
        <f t="array" ref="G1986">FindCountryName(F1986)</f>
        <v>None</v>
      </c>
      <c r="H1986" s="3">
        <v>45157.763310185182</v>
      </c>
      <c r="I1986" s="3">
        <v>45160.840138888889</v>
      </c>
      <c r="J1986" s="3">
        <v>42812.648796296293</v>
      </c>
      <c r="K1986" cm="1">
        <f t="array" ref="K1986">sentimentCalc(C1986)</f>
        <v>6</v>
      </c>
      <c r="L1986" t="str" cm="1">
        <f t="array" ref="L1986">sentimentCategory(K1986)</f>
        <v>Positive</v>
      </c>
    </row>
    <row r="1987" spans="1:12" x14ac:dyDescent="0.25">
      <c r="A1987" t="s">
        <v>1908</v>
      </c>
      <c r="B1987" t="s">
        <v>4279</v>
      </c>
      <c r="C1987" t="str" cm="1">
        <f t="array" ref="C1987">CleanText(B1987)</f>
        <v>just watched this movie i would say that this movie is not suitable for kids because theres a subliminal message about men are stupid and women deserve to be in power theyre showing how stupid the men of mattel was and portraying ken in the gayest way possible teaching kids the word fascist sexist feminist patriarchy which most of lgbt woke people normally use</v>
      </c>
      <c r="D1987">
        <v>4</v>
      </c>
      <c r="E1987">
        <v>3</v>
      </c>
      <c r="F1987" t="s">
        <v>2878</v>
      </c>
      <c r="G1987" t="str" cm="1">
        <f t="array" ref="G1987">FindCountryName(F1987)</f>
        <v>Malaysia</v>
      </c>
      <c r="H1987" s="3">
        <v>45141.273969907408</v>
      </c>
      <c r="I1987" s="3">
        <v>45141.273969907408</v>
      </c>
      <c r="J1987" s="3">
        <v>41268.611180555556</v>
      </c>
      <c r="K1987" cm="1">
        <f t="array" ref="K1987">sentimentCalc(C1987)</f>
        <v>-6</v>
      </c>
      <c r="L1987" t="str" cm="1">
        <f t="array" ref="L1987">sentimentCategory(K1987)</f>
        <v>Negative</v>
      </c>
    </row>
    <row r="1988" spans="1:12" x14ac:dyDescent="0.25">
      <c r="A1988" t="s">
        <v>3961</v>
      </c>
      <c r="B1988" t="s">
        <v>3962</v>
      </c>
      <c r="C1988" t="str" cm="1">
        <f t="array" ref="C1988">CleanText(B1988)</f>
        <v>just watched this let me tell you guys  dont waste your time its boring just a very very simple movie i expected too much because its barbie guess its my fault yeah</v>
      </c>
      <c r="D1988">
        <v>1</v>
      </c>
      <c r="E1988">
        <v>2</v>
      </c>
      <c r="F1988" t="s">
        <v>10</v>
      </c>
      <c r="G1988" t="str" cm="1">
        <f t="array" ref="G1988">FindCountryName(F1988)</f>
        <v>None</v>
      </c>
      <c r="H1988" s="3">
        <v>45144.151435185187</v>
      </c>
      <c r="I1988" s="3">
        <v>45144.151435185187</v>
      </c>
      <c r="J1988" s="3">
        <v>44266.472939814812</v>
      </c>
      <c r="K1988" cm="1">
        <f t="array" ref="K1988">sentimentCalc(C1988)</f>
        <v>-3</v>
      </c>
      <c r="L1988" t="str" cm="1">
        <f t="array" ref="L1988">sentimentCategory(K1988)</f>
        <v>Negative</v>
      </c>
    </row>
    <row r="1989" spans="1:12" x14ac:dyDescent="0.25">
      <c r="A1989" t="s">
        <v>103</v>
      </c>
      <c r="B1989" t="s">
        <v>4071</v>
      </c>
      <c r="C1989" t="str" cm="1">
        <f t="array" ref="C1989">CleanText(B1989)</f>
        <v>ka bawasir bana diye ho be</v>
      </c>
      <c r="D1989">
        <v>1</v>
      </c>
      <c r="E1989">
        <v>1</v>
      </c>
      <c r="F1989" t="s">
        <v>10</v>
      </c>
      <c r="G1989" t="str" cm="1">
        <f t="array" ref="G1989">FindCountryName(F1989)</f>
        <v>None</v>
      </c>
      <c r="H1989" s="3">
        <v>45143.135740740741</v>
      </c>
      <c r="I1989" s="3">
        <v>45143.135740740741</v>
      </c>
      <c r="J1989" s="3">
        <v>44152.169004629628</v>
      </c>
      <c r="K1989" cm="1">
        <f t="array" ref="K1989">sentimentCalc(C1989)</f>
        <v>0</v>
      </c>
      <c r="L1989" t="str" cm="1">
        <f t="array" ref="L1989">sentimentCategory(K1989)</f>
        <v>Neutral</v>
      </c>
    </row>
    <row r="1990" spans="1:12" x14ac:dyDescent="0.25">
      <c r="A1990" t="s">
        <v>143</v>
      </c>
      <c r="B1990" t="s">
        <v>539</v>
      </c>
      <c r="C1990" t="str" cm="1">
        <f t="array" ref="C1990">CleanText(B1990)</f>
        <v>kz ocuklarnn ok sevdii karakter gzel yapm olmu</v>
      </c>
      <c r="D1990">
        <v>0</v>
      </c>
      <c r="E1990">
        <v>0</v>
      </c>
      <c r="F1990" t="s">
        <v>10</v>
      </c>
      <c r="G1990" t="str" cm="1">
        <f t="array" ref="G1990">FindCountryName(F1990)</f>
        <v>None</v>
      </c>
      <c r="H1990" s="3">
        <v>45317.277928240743</v>
      </c>
      <c r="I1990" s="3">
        <v>45317.277928240743</v>
      </c>
      <c r="J1990" s="3">
        <v>45128.862222222226</v>
      </c>
      <c r="K1990" cm="1">
        <f t="array" ref="K1990">sentimentCalc(C1990)</f>
        <v>0</v>
      </c>
      <c r="L1990" t="str" cm="1">
        <f t="array" ref="L1990">sentimentCategory(K1990)</f>
        <v>Neutral</v>
      </c>
    </row>
    <row r="1991" spans="1:12" x14ac:dyDescent="0.25">
      <c r="A1991" t="s">
        <v>143</v>
      </c>
      <c r="B1991" t="s">
        <v>907</v>
      </c>
      <c r="C1991" t="str" cm="1">
        <f t="array" ref="C1991">CleanText(B1991)</f>
        <v>kzm iin gzel bir film olmu tebrikler</v>
      </c>
      <c r="D1991">
        <v>0</v>
      </c>
      <c r="E1991">
        <v>0</v>
      </c>
      <c r="F1991" t="s">
        <v>10</v>
      </c>
      <c r="G1991" t="str" cm="1">
        <f t="array" ref="G1991">FindCountryName(F1991)</f>
        <v>None</v>
      </c>
      <c r="H1991" s="3">
        <v>45299.290219907409</v>
      </c>
      <c r="I1991" s="3">
        <v>45299.290219907409</v>
      </c>
      <c r="J1991" s="3">
        <v>41838.062800925924</v>
      </c>
      <c r="K1991" cm="1">
        <f t="array" ref="K1991">sentimentCalc(C1991)</f>
        <v>0</v>
      </c>
      <c r="L1991" t="str" cm="1">
        <f t="array" ref="L1991">sentimentCategory(K1991)</f>
        <v>Neutral</v>
      </c>
    </row>
    <row r="1992" spans="1:12" x14ac:dyDescent="0.25">
      <c r="A1992" t="s">
        <v>555</v>
      </c>
      <c r="B1992" t="s">
        <v>951</v>
      </c>
      <c r="C1992" t="str" cm="1">
        <f t="array" ref="C1992">CleanText(B1992)</f>
        <v>kzmla beraber seyrettik ok gzel bir filmdi</v>
      </c>
      <c r="D1992">
        <v>0</v>
      </c>
      <c r="E1992">
        <v>0</v>
      </c>
      <c r="F1992" t="s">
        <v>10</v>
      </c>
      <c r="G1992" t="str" cm="1">
        <f t="array" ref="G1992">FindCountryName(F1992)</f>
        <v>None</v>
      </c>
      <c r="H1992" s="3">
        <v>45299.257418981484</v>
      </c>
      <c r="I1992" s="3">
        <v>45299.257418981484</v>
      </c>
      <c r="J1992" s="3">
        <v>41961.551979166667</v>
      </c>
      <c r="K1992" cm="1">
        <f t="array" ref="K1992">sentimentCalc(C1992)</f>
        <v>0</v>
      </c>
      <c r="L1992" t="str" cm="1">
        <f t="array" ref="L1992">sentimentCategory(K1992)</f>
        <v>Neutral</v>
      </c>
    </row>
    <row r="1993" spans="1:12" x14ac:dyDescent="0.25">
      <c r="A1993" t="s">
        <v>722</v>
      </c>
      <c r="B1993" t="s">
        <v>723</v>
      </c>
      <c r="C1993" t="str" cm="1">
        <f t="array" ref="C1993">CleanText(B1993)</f>
        <v>kt deil  kz ocuunuzla izlenebilirsiniz</v>
      </c>
      <c r="D1993">
        <v>1</v>
      </c>
      <c r="E1993">
        <v>0</v>
      </c>
      <c r="F1993" t="s">
        <v>10</v>
      </c>
      <c r="G1993" t="str" cm="1">
        <f t="array" ref="G1993">FindCountryName(F1993)</f>
        <v>None</v>
      </c>
      <c r="H1993" s="3">
        <v>45310.397870370369</v>
      </c>
      <c r="I1993" s="3">
        <v>45310.397870370369</v>
      </c>
      <c r="J1993" s="3">
        <v>41974.436932870369</v>
      </c>
      <c r="K1993" cm="1">
        <f t="array" ref="K1993">sentimentCalc(C1993)</f>
        <v>0</v>
      </c>
      <c r="L1993" t="str" cm="1">
        <f t="array" ref="L1993">sentimentCategory(K1993)</f>
        <v>Neutral</v>
      </c>
    </row>
    <row r="1994" spans="1:12" x14ac:dyDescent="0.25">
      <c r="A1994" t="s">
        <v>114</v>
      </c>
      <c r="B1994" t="s">
        <v>686</v>
      </c>
      <c r="C1994" t="str" cm="1">
        <f t="array" ref="C1994">CleanText(B1994)</f>
        <v>kadna baylyorum zaten yine harika bir film de</v>
      </c>
      <c r="D1994">
        <v>0</v>
      </c>
      <c r="E1994">
        <v>0</v>
      </c>
      <c r="F1994" t="s">
        <v>10</v>
      </c>
      <c r="G1994" t="str" cm="1">
        <f t="array" ref="G1994">FindCountryName(F1994)</f>
        <v>None</v>
      </c>
      <c r="H1994" s="3">
        <v>45314.271481481483</v>
      </c>
      <c r="I1994" s="3">
        <v>45314.271481481483</v>
      </c>
      <c r="J1994" s="3">
        <v>42294.209270833337</v>
      </c>
      <c r="K1994" cm="1">
        <f t="array" ref="K1994">sentimentCalc(C1994)</f>
        <v>0</v>
      </c>
      <c r="L1994" t="str" cm="1">
        <f t="array" ref="L1994">sentimentCategory(K1994)</f>
        <v>Neutral</v>
      </c>
    </row>
    <row r="1995" spans="1:12" x14ac:dyDescent="0.25">
      <c r="A1995" t="s">
        <v>2089</v>
      </c>
      <c r="B1995" t="s">
        <v>4336</v>
      </c>
      <c r="C1995" t="str" cm="1">
        <f t="array" ref="C1995">CleanText(B1995)</f>
        <v>kangana is best barbi</v>
      </c>
      <c r="D1995">
        <v>0</v>
      </c>
      <c r="E1995">
        <v>0</v>
      </c>
      <c r="F1995" t="s">
        <v>10</v>
      </c>
      <c r="G1995" t="str" cm="1">
        <f t="array" ref="G1995">FindCountryName(F1995)</f>
        <v>None</v>
      </c>
      <c r="H1995" s="3">
        <v>45140.845358796294</v>
      </c>
      <c r="I1995" s="3">
        <v>45140.845358796294</v>
      </c>
      <c r="J1995" s="3">
        <v>44449.848923611113</v>
      </c>
      <c r="K1995" cm="1">
        <f t="array" ref="K1995">sentimentCalc(C1995)</f>
        <v>3</v>
      </c>
      <c r="L1995" t="str" cm="1">
        <f t="array" ref="L1995">sentimentCategory(K1995)</f>
        <v>Positive</v>
      </c>
    </row>
    <row r="1996" spans="1:12" x14ac:dyDescent="0.25">
      <c r="A1996" t="s">
        <v>2403</v>
      </c>
      <c r="B1996" t="s">
        <v>2838</v>
      </c>
      <c r="C1996" t="str" cm="1">
        <f t="array" ref="C1996">CleanText(B1996)</f>
        <v>kayyisa</v>
      </c>
      <c r="D1996">
        <v>2</v>
      </c>
      <c r="E1996">
        <v>0</v>
      </c>
      <c r="F1996" t="s">
        <v>10</v>
      </c>
      <c r="G1996" t="str" cm="1">
        <f t="array" ref="G1996">FindCountryName(F1996)</f>
        <v>None</v>
      </c>
      <c r="H1996" s="3">
        <v>45156.959201388891</v>
      </c>
      <c r="I1996" s="3">
        <v>45156.959201388891</v>
      </c>
      <c r="J1996" s="3">
        <v>43819.255624999998</v>
      </c>
      <c r="K1996" cm="1">
        <f t="array" ref="K1996">sentimentCalc(C1996)</f>
        <v>0</v>
      </c>
      <c r="L1996" t="str" cm="1">
        <f t="array" ref="L1996">sentimentCategory(K1996)</f>
        <v>Neutral</v>
      </c>
    </row>
    <row r="1997" spans="1:12" x14ac:dyDescent="0.25">
      <c r="A1997" t="s">
        <v>387</v>
      </c>
      <c r="B1997" t="s">
        <v>4199</v>
      </c>
      <c r="C1997" t="str" cm="1">
        <f t="array" ref="C1997">CleanText(B1997)</f>
        <v>ken always number  even in this trailer he has nd credit</v>
      </c>
      <c r="D1997">
        <v>1</v>
      </c>
      <c r="E1997">
        <v>0</v>
      </c>
      <c r="F1997" t="s">
        <v>10</v>
      </c>
      <c r="G1997" t="str" cm="1">
        <f t="array" ref="G1997">FindCountryName(F1997)</f>
        <v>None</v>
      </c>
      <c r="H1997" s="3">
        <v>45142.011597222219</v>
      </c>
      <c r="I1997" s="3">
        <v>45142.011597222219</v>
      </c>
      <c r="J1997" s="3">
        <v>44438.92633101852</v>
      </c>
      <c r="K1997" cm="1">
        <f t="array" ref="K1997">sentimentCalc(C1997)</f>
        <v>0</v>
      </c>
      <c r="L1997" t="str" cm="1">
        <f t="array" ref="L1997">sentimentCategory(K1997)</f>
        <v>Neutral</v>
      </c>
    </row>
    <row r="1998" spans="1:12" x14ac:dyDescent="0.25">
      <c r="A1998" t="s">
        <v>3797</v>
      </c>
      <c r="B1998" t="s">
        <v>3798</v>
      </c>
      <c r="C1998" t="str" cm="1">
        <f t="array" ref="C1998">CleanText(B1998)</f>
        <v>ken and barbis are actually siblings</v>
      </c>
      <c r="D1998">
        <v>0</v>
      </c>
      <c r="E1998">
        <v>0</v>
      </c>
      <c r="F1998" t="s">
        <v>10</v>
      </c>
      <c r="G1998" t="str" cm="1">
        <f t="array" ref="G1998">FindCountryName(F1998)</f>
        <v>None</v>
      </c>
      <c r="H1998" s="3">
        <v>45145.413611111115</v>
      </c>
      <c r="I1998" s="3">
        <v>45145.413611111115</v>
      </c>
      <c r="J1998" s="3">
        <v>39406.380069444444</v>
      </c>
      <c r="K1998" cm="1">
        <f t="array" ref="K1998">sentimentCalc(C1998)</f>
        <v>0</v>
      </c>
      <c r="L1998" t="str" cm="1">
        <f t="array" ref="L1998">sentimentCategory(K1998)</f>
        <v>Neutral</v>
      </c>
    </row>
    <row r="1999" spans="1:12" x14ac:dyDescent="0.25">
      <c r="A1999" t="s">
        <v>3347</v>
      </c>
      <c r="B1999" t="s">
        <v>3348</v>
      </c>
      <c r="C1999" t="str" cm="1">
        <f t="array" ref="C1999">CleanText(B1999)</f>
        <v>ken had brown hair and a different type of face more squarelooking barbie had straight hair i think of someone more innocent to play barbie ryan is cute but he isnt ken this seems to be mocking barbie and the whole idea of it it was really like fashion dolls you just got different outfits for them and dressed them up there werent any obese dolls either</v>
      </c>
      <c r="D1999">
        <v>0</v>
      </c>
      <c r="E1999">
        <v>0</v>
      </c>
      <c r="F1999" t="s">
        <v>10</v>
      </c>
      <c r="G1999" t="str" cm="1">
        <f t="array" ref="G1999">FindCountryName(F1999)</f>
        <v>None</v>
      </c>
      <c r="H1999" s="3">
        <v>45149.795416666668</v>
      </c>
      <c r="I1999" s="3">
        <v>45149.795416666668</v>
      </c>
      <c r="J1999" s="3">
        <v>42425.260046296295</v>
      </c>
      <c r="K1999" cm="1">
        <f t="array" ref="K1999">sentimentCalc(C1999)</f>
        <v>3</v>
      </c>
      <c r="L1999" t="str" cm="1">
        <f t="array" ref="L1999">sentimentCategory(K1999)</f>
        <v>Positive</v>
      </c>
    </row>
    <row r="2000" spans="1:12" x14ac:dyDescent="0.25">
      <c r="A2000" t="s">
        <v>986</v>
      </c>
      <c r="B2000" t="s">
        <v>4152</v>
      </c>
      <c r="C2000" t="str" cm="1">
        <f t="array" ref="C2000">CleanText(B2000)</f>
        <v>ken has jimins outfit</v>
      </c>
      <c r="D2000">
        <v>0</v>
      </c>
      <c r="E2000">
        <v>0</v>
      </c>
      <c r="F2000" t="s">
        <v>10</v>
      </c>
      <c r="G2000" t="str" cm="1">
        <f t="array" ref="G2000">FindCountryName(F2000)</f>
        <v>None</v>
      </c>
      <c r="H2000" s="3">
        <v>45142.500856481478</v>
      </c>
      <c r="I2000" s="3">
        <v>45142.500856481478</v>
      </c>
      <c r="J2000" s="3">
        <v>43948.48542824074</v>
      </c>
      <c r="K2000" cm="1">
        <f t="array" ref="K2000">sentimentCalc(C2000)</f>
        <v>0</v>
      </c>
      <c r="L2000" t="str" cm="1">
        <f t="array" ref="L2000">sentimentCategory(K2000)</f>
        <v>Neutral</v>
      </c>
    </row>
    <row r="2001" spans="1:12" x14ac:dyDescent="0.25">
      <c r="A2001" t="s">
        <v>537</v>
      </c>
      <c r="B2001" t="s">
        <v>3103</v>
      </c>
      <c r="C2001" t="str" cm="1">
        <f t="array" ref="C2001">CleanText(B2001)</f>
        <v>ken have  color skin</v>
      </c>
      <c r="D2001">
        <v>0</v>
      </c>
      <c r="E2001">
        <v>0</v>
      </c>
      <c r="F2001" t="s">
        <v>10</v>
      </c>
      <c r="G2001" t="str" cm="1">
        <f t="array" ref="G2001">FindCountryName(F2001)</f>
        <v>None</v>
      </c>
      <c r="H2001" s="3">
        <v>45153.412800925929</v>
      </c>
      <c r="I2001" s="3">
        <v>45153.412800925929</v>
      </c>
      <c r="J2001" s="3">
        <v>44603.629340277781</v>
      </c>
      <c r="K2001" cm="1">
        <f t="array" ref="K2001">sentimentCalc(C2001)</f>
        <v>0</v>
      </c>
      <c r="L2001" t="str" cm="1">
        <f t="array" ref="L2001">sentimentCategory(K2001)</f>
        <v>Neutral</v>
      </c>
    </row>
    <row r="2002" spans="1:12" x14ac:dyDescent="0.25">
      <c r="A2002" t="s">
        <v>2388</v>
      </c>
      <c r="B2002" t="s">
        <v>4441</v>
      </c>
      <c r="C2002" t="str" cm="1">
        <f t="array" ref="C2002">CleanText(B2002)</f>
        <v>ken hi yakkl olmamkusura bakmayn</v>
      </c>
      <c r="D2002">
        <v>0</v>
      </c>
      <c r="E2002">
        <v>0</v>
      </c>
      <c r="F2002" t="s">
        <v>10</v>
      </c>
      <c r="G2002" t="str" cm="1">
        <f t="array" ref="G2002">FindCountryName(F2002)</f>
        <v>None</v>
      </c>
      <c r="H2002" s="3">
        <v>45140.247743055559</v>
      </c>
      <c r="I2002" s="3">
        <v>45140.247743055559</v>
      </c>
      <c r="J2002" s="3">
        <v>44058.098217592589</v>
      </c>
      <c r="K2002" cm="1">
        <f t="array" ref="K2002">sentimentCalc(C2002)</f>
        <v>0</v>
      </c>
      <c r="L2002" t="str" cm="1">
        <f t="array" ref="L2002">sentimentCategory(K2002)</f>
        <v>Neutral</v>
      </c>
    </row>
    <row r="2003" spans="1:12" x14ac:dyDescent="0.25">
      <c r="A2003" t="s">
        <v>1738</v>
      </c>
      <c r="B2003" t="s">
        <v>2137</v>
      </c>
      <c r="C2003" t="str" cm="1">
        <f t="array" ref="C2003">CleanText(B2003)</f>
        <v>ken is hot fr lol</v>
      </c>
      <c r="D2003">
        <v>1</v>
      </c>
      <c r="E2003">
        <v>0</v>
      </c>
      <c r="F2003" t="s">
        <v>10</v>
      </c>
      <c r="G2003" t="str" cm="1">
        <f t="array" ref="G2003">FindCountryName(F2003)</f>
        <v>None</v>
      </c>
      <c r="H2003" s="3">
        <v>45178.852662037039</v>
      </c>
      <c r="I2003" s="3">
        <v>45178.852662037039</v>
      </c>
      <c r="J2003" s="3">
        <v>44108.732615740744</v>
      </c>
      <c r="K2003" cm="1">
        <f t="array" ref="K2003">sentimentCalc(C2003)</f>
        <v>0</v>
      </c>
      <c r="L2003" t="str" cm="1">
        <f t="array" ref="L2003">sentimentCategory(K2003)</f>
        <v>Neutral</v>
      </c>
    </row>
    <row r="2004" spans="1:12" x14ac:dyDescent="0.25">
      <c r="A2004" t="s">
        <v>83</v>
      </c>
      <c r="B2004" t="s">
        <v>2662</v>
      </c>
      <c r="C2004" t="str" cm="1">
        <f t="array" ref="C2004">CleanText(B2004)</f>
        <v>ken is litreally me</v>
      </c>
      <c r="D2004">
        <v>0</v>
      </c>
      <c r="E2004">
        <v>0</v>
      </c>
      <c r="F2004" t="s">
        <v>10</v>
      </c>
      <c r="G2004" t="str" cm="1">
        <f t="array" ref="G2004">FindCountryName(F2004)</f>
        <v>None</v>
      </c>
      <c r="H2004" s="3">
        <v>45160.526550925926</v>
      </c>
      <c r="I2004" s="3">
        <v>45160.526550925926</v>
      </c>
      <c r="J2004" s="3">
        <v>44051.530162037037</v>
      </c>
      <c r="K2004" cm="1">
        <f t="array" ref="K2004">sentimentCalc(C2004)</f>
        <v>0</v>
      </c>
      <c r="L2004" t="str" cm="1">
        <f t="array" ref="L2004">sentimentCategory(K2004)</f>
        <v>Neutral</v>
      </c>
    </row>
    <row r="2005" spans="1:12" x14ac:dyDescent="0.25">
      <c r="A2005" t="s">
        <v>1456</v>
      </c>
      <c r="B2005" t="s">
        <v>3983</v>
      </c>
      <c r="C2005" t="str" cm="1">
        <f t="array" ref="C2005">CleanText(B2005)</f>
        <v>ken is sexist and misogynistic he disgusts me</v>
      </c>
      <c r="D2005">
        <v>1</v>
      </c>
      <c r="E2005">
        <v>0</v>
      </c>
      <c r="F2005" t="s">
        <v>10</v>
      </c>
      <c r="G2005" t="str" cm="1">
        <f t="array" ref="G2005">FindCountryName(F2005)</f>
        <v>None</v>
      </c>
      <c r="H2005" s="3">
        <v>45144.005069444444</v>
      </c>
      <c r="I2005" s="3">
        <v>45144.005069444444</v>
      </c>
      <c r="J2005" s="3">
        <v>41520.525659722225</v>
      </c>
      <c r="K2005" cm="1">
        <f t="array" ref="K2005">sentimentCalc(C2005)</f>
        <v>0</v>
      </c>
      <c r="L2005" t="str" cm="1">
        <f t="array" ref="L2005">sentimentCategory(K2005)</f>
        <v>Neutral</v>
      </c>
    </row>
    <row r="2006" spans="1:12" x14ac:dyDescent="0.25">
      <c r="A2006" t="s">
        <v>292</v>
      </c>
      <c r="B2006" t="s">
        <v>1643</v>
      </c>
      <c r="C2006" t="str" cm="1">
        <f t="array" ref="C2006">CleanText(B2006)</f>
        <v>ken ken</v>
      </c>
      <c r="D2006">
        <v>0</v>
      </c>
      <c r="E2006">
        <v>0</v>
      </c>
      <c r="F2006" t="s">
        <v>10</v>
      </c>
      <c r="G2006" t="str" cm="1">
        <f t="array" ref="G2006">FindCountryName(F2006)</f>
        <v>None</v>
      </c>
      <c r="H2006" s="3">
        <v>45206.394687499997</v>
      </c>
      <c r="I2006" s="3">
        <v>45206.394687499997</v>
      </c>
      <c r="J2006" s="3">
        <v>41881.383611111109</v>
      </c>
      <c r="K2006" cm="1">
        <f t="array" ref="K2006">sentimentCalc(C2006)</f>
        <v>0</v>
      </c>
      <c r="L2006" t="str" cm="1">
        <f t="array" ref="L2006">sentimentCategory(K2006)</f>
        <v>Neutral</v>
      </c>
    </row>
    <row r="2007" spans="1:12" x14ac:dyDescent="0.25">
      <c r="A2007" t="s">
        <v>878</v>
      </c>
      <c r="B2007" t="s">
        <v>879</v>
      </c>
      <c r="C2007" t="str" cm="1">
        <f t="array" ref="C2007">CleanText(B2007)</f>
        <v>ken olacak adam ryan</v>
      </c>
      <c r="D2007">
        <v>1</v>
      </c>
      <c r="E2007">
        <v>0</v>
      </c>
      <c r="F2007" t="s">
        <v>10</v>
      </c>
      <c r="G2007" t="str" cm="1">
        <f t="array" ref="G2007">FindCountryName(F2007)</f>
        <v>None</v>
      </c>
      <c r="H2007" s="3">
        <v>45299.349212962959</v>
      </c>
      <c r="I2007" s="3">
        <v>45299.349212962959</v>
      </c>
      <c r="J2007" s="3">
        <v>41299.505949074075</v>
      </c>
      <c r="K2007" cm="1">
        <f t="array" ref="K2007">sentimentCalc(C2007)</f>
        <v>0</v>
      </c>
      <c r="L2007" t="str" cm="1">
        <f t="array" ref="L2007">sentimentCategory(K2007)</f>
        <v>Neutral</v>
      </c>
    </row>
    <row r="2008" spans="1:12" x14ac:dyDescent="0.25">
      <c r="A2008" t="s">
        <v>566</v>
      </c>
      <c r="B2008" t="s">
        <v>3874</v>
      </c>
      <c r="C2008" t="str" cm="1">
        <f t="array" ref="C2008">CleanText(B2008)</f>
        <v>kens frat house got me rolling</v>
      </c>
      <c r="D2008">
        <v>2</v>
      </c>
      <c r="E2008">
        <v>0</v>
      </c>
      <c r="F2008" t="s">
        <v>10</v>
      </c>
      <c r="G2008" t="str" cm="1">
        <f t="array" ref="G2008">FindCountryName(F2008)</f>
        <v>None</v>
      </c>
      <c r="H2008" s="3">
        <v>45144.842222222222</v>
      </c>
      <c r="I2008" s="3">
        <v>45144.842222222222</v>
      </c>
      <c r="J2008" s="3">
        <v>44741.448310185187</v>
      </c>
      <c r="K2008" cm="1">
        <f t="array" ref="K2008">sentimentCalc(C2008)</f>
        <v>0</v>
      </c>
      <c r="L2008" t="str" cm="1">
        <f t="array" ref="L2008">sentimentCategory(K2008)</f>
        <v>Neutral</v>
      </c>
    </row>
    <row r="2009" spans="1:12" x14ac:dyDescent="0.25">
      <c r="A2009" t="s">
        <v>1316</v>
      </c>
      <c r="B2009" t="s">
        <v>2027</v>
      </c>
      <c r="C2009" t="str" cm="1">
        <f t="array" ref="C2009">CleanText(B2009)</f>
        <v>kens mugshot just made me laugh</v>
      </c>
      <c r="D2009">
        <v>0</v>
      </c>
      <c r="E2009">
        <v>0</v>
      </c>
      <c r="F2009" t="s">
        <v>10</v>
      </c>
      <c r="G2009" t="str" cm="1">
        <f t="array" ref="G2009">FindCountryName(F2009)</f>
        <v>None</v>
      </c>
      <c r="H2009" s="3">
        <v>45183.759560185186</v>
      </c>
      <c r="I2009" s="3">
        <v>45183.759560185186</v>
      </c>
      <c r="J2009" s="3">
        <v>41327.930960648147</v>
      </c>
      <c r="K2009" cm="1">
        <f t="array" ref="K2009">sentimentCalc(C2009)</f>
        <v>1</v>
      </c>
      <c r="L2009" t="str" cm="1">
        <f t="array" ref="L2009">sentimentCategory(K2009)</f>
        <v>Positive</v>
      </c>
    </row>
    <row r="2010" spans="1:12" x14ac:dyDescent="0.25">
      <c r="A2010" t="s">
        <v>802</v>
      </c>
      <c r="B2010" t="s">
        <v>803</v>
      </c>
      <c r="C2010" t="str" cm="1">
        <f t="array" ref="C2010">CleanText(B2010)</f>
        <v>keren</v>
      </c>
      <c r="D2010">
        <v>0</v>
      </c>
      <c r="E2010">
        <v>0</v>
      </c>
      <c r="F2010" t="s">
        <v>10</v>
      </c>
      <c r="G2010" t="str" cm="1">
        <f t="array" ref="G2010">FindCountryName(F2010)</f>
        <v>None</v>
      </c>
      <c r="H2010" s="3">
        <v>45307.035150462965</v>
      </c>
      <c r="I2010" s="3">
        <v>45307.035150462965</v>
      </c>
      <c r="J2010" s="3">
        <v>45259.921666666669</v>
      </c>
      <c r="K2010" cm="1">
        <f t="array" ref="K2010">sentimentCalc(C2010)</f>
        <v>0</v>
      </c>
      <c r="L2010" t="str" cm="1">
        <f t="array" ref="L2010">sentimentCategory(K2010)</f>
        <v>Neutral</v>
      </c>
    </row>
    <row r="2011" spans="1:12" x14ac:dyDescent="0.25">
      <c r="A2011" t="s">
        <v>205</v>
      </c>
      <c r="B2011" t="s">
        <v>521</v>
      </c>
      <c r="C2011" t="str" cm="1">
        <f t="array" ref="C2011">CleanText(B2011)</f>
        <v>kesinlikle izleyeceim</v>
      </c>
      <c r="D2011">
        <v>0</v>
      </c>
      <c r="E2011">
        <v>0</v>
      </c>
      <c r="F2011" t="s">
        <v>10</v>
      </c>
      <c r="G2011" t="str" cm="1">
        <f t="array" ref="G2011">FindCountryName(F2011)</f>
        <v>None</v>
      </c>
      <c r="H2011" s="3">
        <v>45317.310624999998</v>
      </c>
      <c r="I2011" s="3">
        <v>45317.310624999998</v>
      </c>
      <c r="J2011" s="3">
        <v>42038.517951388887</v>
      </c>
      <c r="K2011" cm="1">
        <f t="array" ref="K2011">sentimentCalc(C2011)</f>
        <v>0</v>
      </c>
      <c r="L2011" t="str" cm="1">
        <f t="array" ref="L2011">sentimentCategory(K2011)</f>
        <v>Neutral</v>
      </c>
    </row>
    <row r="2012" spans="1:12" x14ac:dyDescent="0.25">
      <c r="A2012" t="s">
        <v>564</v>
      </c>
      <c r="B2012" t="s">
        <v>565</v>
      </c>
      <c r="C2012" t="str" cm="1">
        <f t="array" ref="C2012">CleanText(B2012)</f>
        <v>kesinlikle muhteem tesi herkese tavsiye ediyorum</v>
      </c>
      <c r="D2012">
        <v>0</v>
      </c>
      <c r="E2012">
        <v>0</v>
      </c>
      <c r="F2012" t="s">
        <v>10</v>
      </c>
      <c r="G2012" t="str" cm="1">
        <f t="array" ref="G2012">FindCountryName(F2012)</f>
        <v>None</v>
      </c>
      <c r="H2012" s="3">
        <v>45317.273275462961</v>
      </c>
      <c r="I2012" s="3">
        <v>45317.273275462961</v>
      </c>
      <c r="J2012" s="3">
        <v>41761.244652777779</v>
      </c>
      <c r="K2012" cm="1">
        <f t="array" ref="K2012">sentimentCalc(C2012)</f>
        <v>0</v>
      </c>
      <c r="L2012" t="str" cm="1">
        <f t="array" ref="L2012">sentimentCategory(K2012)</f>
        <v>Neutral</v>
      </c>
    </row>
    <row r="2013" spans="1:12" x14ac:dyDescent="0.25">
      <c r="A2013" t="s">
        <v>356</v>
      </c>
      <c r="B2013" t="s">
        <v>357</v>
      </c>
      <c r="C2013" t="str" cm="1">
        <f t="array" ref="C2013">CleanText(B2013)</f>
        <v>keyif alarak izleyeceiniz gleceiniz bir film</v>
      </c>
      <c r="D2013">
        <v>0</v>
      </c>
      <c r="E2013">
        <v>0</v>
      </c>
      <c r="F2013" t="s">
        <v>10</v>
      </c>
      <c r="G2013" t="str" cm="1">
        <f t="array" ref="G2013">FindCountryName(F2013)</f>
        <v>None</v>
      </c>
      <c r="H2013" s="3">
        <v>45322.275671296295</v>
      </c>
      <c r="I2013" s="3">
        <v>45322.275671296295</v>
      </c>
      <c r="J2013" s="3">
        <v>41986.674930555557</v>
      </c>
      <c r="K2013" cm="1">
        <f t="array" ref="K2013">sentimentCalc(C2013)</f>
        <v>0</v>
      </c>
      <c r="L2013" t="str" cm="1">
        <f t="array" ref="L2013">sentimentCategory(K2013)</f>
        <v>Neutral</v>
      </c>
    </row>
    <row r="2014" spans="1:12" x14ac:dyDescent="0.25">
      <c r="A2014" t="s">
        <v>898</v>
      </c>
      <c r="B2014" t="s">
        <v>899</v>
      </c>
      <c r="C2014" t="str" cm="1">
        <f t="array" ref="C2014">CleanText(B2014)</f>
        <v>keyifli bir yapm olmukostm dekor mzik seimleri hepsi ok gzeldi</v>
      </c>
      <c r="D2014">
        <v>1</v>
      </c>
      <c r="E2014">
        <v>0</v>
      </c>
      <c r="F2014" t="s">
        <v>10</v>
      </c>
      <c r="G2014" t="str" cm="1">
        <f t="array" ref="G2014">FindCountryName(F2014)</f>
        <v>None</v>
      </c>
      <c r="H2014" s="3">
        <v>45299.308657407404</v>
      </c>
      <c r="I2014" s="3">
        <v>45299.308657407404</v>
      </c>
      <c r="J2014" s="3">
        <v>41467.843391203707</v>
      </c>
      <c r="K2014" cm="1">
        <f t="array" ref="K2014">sentimentCalc(C2014)</f>
        <v>0</v>
      </c>
      <c r="L2014" t="str" cm="1">
        <f t="array" ref="L2014">sentimentCategory(K2014)</f>
        <v>Neutral</v>
      </c>
    </row>
    <row r="2015" spans="1:12" x14ac:dyDescent="0.25">
      <c r="A2015" t="s">
        <v>462</v>
      </c>
      <c r="B2015" t="s">
        <v>2254</v>
      </c>
      <c r="C2015" t="str" cm="1">
        <f t="array" ref="C2015">CleanText(B2015)</f>
        <v>kids always undress barbie so when the kids get older they will see what barbie looks like naked in wolf of wall street</v>
      </c>
      <c r="D2015">
        <v>0</v>
      </c>
      <c r="E2015">
        <v>0</v>
      </c>
      <c r="F2015" t="s">
        <v>10</v>
      </c>
      <c r="G2015" t="str" cm="1">
        <f t="array" ref="G2015">FindCountryName(F2015)</f>
        <v>None</v>
      </c>
      <c r="H2015" s="3">
        <v>45173.876770833333</v>
      </c>
      <c r="I2015" s="3">
        <v>45173.876770833333</v>
      </c>
      <c r="J2015" s="3">
        <v>44108.035150462965</v>
      </c>
      <c r="K2015" cm="1">
        <f t="array" ref="K2015">sentimentCalc(C2015)</f>
        <v>2</v>
      </c>
      <c r="L2015" t="str" cm="1">
        <f t="array" ref="L2015">sentimentCategory(K2015)</f>
        <v>Positive</v>
      </c>
    </row>
    <row r="2016" spans="1:12" x14ac:dyDescent="0.25">
      <c r="A2016" t="s">
        <v>1615</v>
      </c>
      <c r="B2016" t="s">
        <v>1616</v>
      </c>
      <c r="C2016" t="str" cm="1">
        <f t="array" ref="C2016">CleanText(B2016)</f>
        <v>kill her with kindness  you can catch more flies with honey</v>
      </c>
      <c r="D2016">
        <v>0</v>
      </c>
      <c r="E2016">
        <v>0</v>
      </c>
      <c r="F2016" t="s">
        <v>10</v>
      </c>
      <c r="G2016" t="str" cm="1">
        <f t="array" ref="G2016">FindCountryName(F2016)</f>
        <v>None</v>
      </c>
      <c r="H2016" s="3">
        <v>45208.245335648149</v>
      </c>
      <c r="I2016" s="3">
        <v>45208.245335648149</v>
      </c>
      <c r="J2016" s="3">
        <v>44944.038182870368</v>
      </c>
      <c r="K2016" cm="1">
        <f t="array" ref="K2016">sentimentCalc(C2016)</f>
        <v>-3</v>
      </c>
      <c r="L2016" t="str" cm="1">
        <f t="array" ref="L2016">sentimentCategory(K2016)</f>
        <v>Negative</v>
      </c>
    </row>
    <row r="2017" spans="1:12" x14ac:dyDescent="0.25">
      <c r="A2017" t="s">
        <v>1248</v>
      </c>
      <c r="B2017" t="s">
        <v>2381</v>
      </c>
      <c r="C2017" t="str" cm="1">
        <f t="array" ref="C2017">CleanText(B2017)</f>
        <v>kill me</v>
      </c>
      <c r="D2017">
        <v>1</v>
      </c>
      <c r="E2017">
        <v>1</v>
      </c>
      <c r="F2017" t="s">
        <v>227</v>
      </c>
      <c r="G2017" t="str" cm="1">
        <f t="array" ref="G2017">FindCountryName(F2017)</f>
        <v>United States of America (the)</v>
      </c>
      <c r="H2017" s="3">
        <v>45169.783148148148</v>
      </c>
      <c r="I2017" s="3">
        <v>45169.783148148148</v>
      </c>
      <c r="J2017" s="3">
        <v>44335.624525462961</v>
      </c>
      <c r="K2017" cm="1">
        <f t="array" ref="K2017">sentimentCalc(C2017)</f>
        <v>-3</v>
      </c>
      <c r="L2017" t="str" cm="1">
        <f t="array" ref="L2017">sentimentCategory(K2017)</f>
        <v>Negative</v>
      </c>
    </row>
    <row r="2018" spans="1:12" x14ac:dyDescent="0.25">
      <c r="A2018" t="s">
        <v>1078</v>
      </c>
      <c r="B2018" t="s">
        <v>1079</v>
      </c>
      <c r="C2018" t="str" cm="1">
        <f t="array" ref="C2018">CleanText(B2018)</f>
        <v>kind of good message would have been funny if they played the funny song  barbie girl now we need gi joe movie</v>
      </c>
      <c r="D2018">
        <v>0</v>
      </c>
      <c r="E2018">
        <v>1</v>
      </c>
      <c r="F2018" t="s">
        <v>10</v>
      </c>
      <c r="G2018" t="str" cm="1">
        <f t="array" ref="G2018">FindCountryName(F2018)</f>
        <v>None</v>
      </c>
      <c r="H2018" s="3">
        <v>45292.199189814812</v>
      </c>
      <c r="I2018" s="3">
        <v>45292.199189814812</v>
      </c>
      <c r="J2018" s="3">
        <v>44149.205300925925</v>
      </c>
      <c r="K2018" cm="1">
        <f t="array" ref="K2018">sentimentCalc(C2018)</f>
        <v>13</v>
      </c>
      <c r="L2018" t="str" cm="1">
        <f t="array" ref="L2018">sentimentCategory(K2018)</f>
        <v>Positive</v>
      </c>
    </row>
    <row r="2019" spans="1:12" x14ac:dyDescent="0.25">
      <c r="A2019" t="s">
        <v>3772</v>
      </c>
      <c r="B2019" t="s">
        <v>3773</v>
      </c>
      <c r="C2019" t="str" cm="1">
        <f t="array" ref="C2019">CleanText(B2019)</f>
        <v>kind of movie i would never see</v>
      </c>
      <c r="D2019">
        <v>1</v>
      </c>
      <c r="E2019">
        <v>0</v>
      </c>
      <c r="F2019" t="s">
        <v>10</v>
      </c>
      <c r="G2019" t="str" cm="1">
        <f t="array" ref="G2019">FindCountryName(F2019)</f>
        <v>None</v>
      </c>
      <c r="H2019" s="3">
        <v>45145.595648148148</v>
      </c>
      <c r="I2019" s="3">
        <v>45145.595648148148</v>
      </c>
      <c r="J2019" s="3">
        <v>40819.409780092596</v>
      </c>
      <c r="K2019" cm="1">
        <f t="array" ref="K2019">sentimentCalc(C2019)</f>
        <v>2</v>
      </c>
      <c r="L2019" t="str" cm="1">
        <f t="array" ref="L2019">sentimentCategory(K2019)</f>
        <v>Positive</v>
      </c>
    </row>
    <row r="2020" spans="1:12" x14ac:dyDescent="0.25">
      <c r="A2020" t="s">
        <v>878</v>
      </c>
      <c r="B2020" t="s">
        <v>3189</v>
      </c>
      <c r="C2020" t="str" cm="1">
        <f t="array" ref="C2020">CleanText(B2020)</f>
        <v>kinder spiel film</v>
      </c>
      <c r="D2020">
        <v>0</v>
      </c>
      <c r="E2020">
        <v>0</v>
      </c>
      <c r="F2020" t="s">
        <v>1050</v>
      </c>
      <c r="G2020" t="str" cm="1">
        <f t="array" ref="G2020">FindCountryName(F2020)</f>
        <v>Germany</v>
      </c>
      <c r="H2020" s="3">
        <v>45152.120173611111</v>
      </c>
      <c r="I2020" s="3">
        <v>45152.120173611111</v>
      </c>
      <c r="J2020" s="3">
        <v>42080.359872685185</v>
      </c>
      <c r="K2020" cm="1">
        <f t="array" ref="K2020">sentimentCalc(C2020)</f>
        <v>2</v>
      </c>
      <c r="L2020" t="str" cm="1">
        <f t="array" ref="L2020">sentimentCategory(K2020)</f>
        <v>Positive</v>
      </c>
    </row>
    <row r="2021" spans="1:12" x14ac:dyDescent="0.25">
      <c r="A2021" t="s">
        <v>178</v>
      </c>
      <c r="B2021" t="s">
        <v>1220</v>
      </c>
      <c r="C2021" t="str" cm="1">
        <f t="array" ref="C2021">CleanText(B2021)</f>
        <v>kisses</v>
      </c>
      <c r="D2021">
        <v>0</v>
      </c>
      <c r="E2021">
        <v>0</v>
      </c>
      <c r="F2021" t="s">
        <v>10</v>
      </c>
      <c r="G2021" t="str" cm="1">
        <f t="array" ref="G2021">FindCountryName(F2021)</f>
        <v>None</v>
      </c>
      <c r="H2021" s="3">
        <v>45275.121388888889</v>
      </c>
      <c r="I2021" s="3">
        <v>45275.121388888889</v>
      </c>
      <c r="J2021" s="3">
        <v>43250.574965277781</v>
      </c>
      <c r="K2021" cm="1">
        <f t="array" ref="K2021">sentimentCalc(C2021)</f>
        <v>0</v>
      </c>
      <c r="L2021" t="str" cm="1">
        <f t="array" ref="L2021">sentimentCategory(K2021)</f>
        <v>Neutral</v>
      </c>
    </row>
    <row r="2022" spans="1:12" x14ac:dyDescent="0.25">
      <c r="A2022" t="s">
        <v>1667</v>
      </c>
      <c r="B2022" t="s">
        <v>4388</v>
      </c>
      <c r="C2022" t="str" cm="1">
        <f t="array" ref="C2022">CleanText(B2022)</f>
        <v>klaus barbenheimer</v>
      </c>
      <c r="D2022">
        <v>0</v>
      </c>
      <c r="E2022">
        <v>1</v>
      </c>
      <c r="F2022" t="s">
        <v>10</v>
      </c>
      <c r="G2022" t="str" cm="1">
        <f t="array" ref="G2022">FindCountryName(F2022)</f>
        <v>None</v>
      </c>
      <c r="H2022" s="3">
        <v>45140.506724537037</v>
      </c>
      <c r="I2022" s="3">
        <v>45140.506724537037</v>
      </c>
      <c r="J2022" s="3">
        <v>41691.72550925926</v>
      </c>
      <c r="K2022" cm="1">
        <f t="array" ref="K2022">sentimentCalc(C2022)</f>
        <v>0</v>
      </c>
      <c r="L2022" t="str" cm="1">
        <f t="array" ref="L2022">sentimentCategory(K2022)</f>
        <v>Neutral</v>
      </c>
    </row>
    <row r="2023" spans="1:12" x14ac:dyDescent="0.25">
      <c r="A2023" t="s">
        <v>442</v>
      </c>
      <c r="B2023" t="s">
        <v>4064</v>
      </c>
      <c r="C2023" t="str" cm="1">
        <f t="array" ref="C2023">CleanText(B2023)</f>
        <v>koja glupost jad i blam svet je otiao dodjavola</v>
      </c>
      <c r="D2023">
        <v>1</v>
      </c>
      <c r="E2023">
        <v>0</v>
      </c>
      <c r="F2023" t="s">
        <v>10</v>
      </c>
      <c r="G2023" t="str" cm="1">
        <f t="array" ref="G2023">FindCountryName(F2023)</f>
        <v>None</v>
      </c>
      <c r="H2023" s="3">
        <v>45143.206099537034</v>
      </c>
      <c r="I2023" s="3">
        <v>45143.206099537034</v>
      </c>
      <c r="J2023" s="3">
        <v>44444.749664351853</v>
      </c>
      <c r="K2023" cm="1">
        <f t="array" ref="K2023">sentimentCalc(C2023)</f>
        <v>0</v>
      </c>
      <c r="L2023" t="str" cm="1">
        <f t="array" ref="L2023">sentimentCategory(K2023)</f>
        <v>Neutral</v>
      </c>
    </row>
    <row r="2024" spans="1:12" x14ac:dyDescent="0.25">
      <c r="A2024" t="s">
        <v>360</v>
      </c>
      <c r="B2024" t="s">
        <v>361</v>
      </c>
      <c r="C2024" t="str" cm="1">
        <f t="array" ref="C2024">CleanText(B2024)</f>
        <v>komikti elenceli ve bazen uzaklamak gerekir stresten bu konuda baarl</v>
      </c>
      <c r="D2024">
        <v>0</v>
      </c>
      <c r="E2024">
        <v>0</v>
      </c>
      <c r="F2024" t="s">
        <v>10</v>
      </c>
      <c r="G2024" t="str" cm="1">
        <f t="array" ref="G2024">FindCountryName(F2024)</f>
        <v>None</v>
      </c>
      <c r="H2024" s="3">
        <v>45322.275416666664</v>
      </c>
      <c r="I2024" s="3">
        <v>45322.275416666664</v>
      </c>
      <c r="J2024" s="3">
        <v>41968.846643518518</v>
      </c>
      <c r="K2024" cm="1">
        <f t="array" ref="K2024">sentimentCalc(C2024)</f>
        <v>0</v>
      </c>
      <c r="L2024" t="str" cm="1">
        <f t="array" ref="L2024">sentimentCategory(K2024)</f>
        <v>Neutral</v>
      </c>
    </row>
    <row r="2025" spans="1:12" x14ac:dyDescent="0.25">
      <c r="A2025" t="s">
        <v>60</v>
      </c>
      <c r="B2025" t="s">
        <v>529</v>
      </c>
      <c r="C2025" t="str" cm="1">
        <f t="array" ref="C2025">CleanText(B2025)</f>
        <v>konusu harika</v>
      </c>
      <c r="D2025">
        <v>0</v>
      </c>
      <c r="E2025">
        <v>0</v>
      </c>
      <c r="F2025" t="s">
        <v>10</v>
      </c>
      <c r="G2025" t="str" cm="1">
        <f t="array" ref="G2025">FindCountryName(F2025)</f>
        <v>None</v>
      </c>
      <c r="H2025" s="3">
        <v>45317.291851851849</v>
      </c>
      <c r="I2025" s="3">
        <v>45317.291851851849</v>
      </c>
      <c r="J2025" s="3">
        <v>44932.24695601852</v>
      </c>
      <c r="K2025" cm="1">
        <f t="array" ref="K2025">sentimentCalc(C2025)</f>
        <v>0</v>
      </c>
      <c r="L2025" t="str" cm="1">
        <f t="array" ref="L2025">sentimentCategory(K2025)</f>
        <v>Neutral</v>
      </c>
    </row>
    <row r="2026" spans="1:12" x14ac:dyDescent="0.25">
      <c r="A2026" t="s">
        <v>1290</v>
      </c>
      <c r="B2026" t="s">
        <v>1597</v>
      </c>
      <c r="C2026" t="str" cm="1">
        <f t="array" ref="C2026">CleanText(B2026)</f>
        <v>ksjfepw</v>
      </c>
      <c r="D2026">
        <v>0</v>
      </c>
      <c r="E2026">
        <v>0</v>
      </c>
      <c r="F2026" t="s">
        <v>10</v>
      </c>
      <c r="G2026" t="str" cm="1">
        <f t="array" ref="G2026">FindCountryName(F2026)</f>
        <v>None</v>
      </c>
      <c r="H2026" s="3">
        <v>45210.027743055558</v>
      </c>
      <c r="I2026" s="3">
        <v>45210.027743055558</v>
      </c>
      <c r="J2026" s="3">
        <v>45075.186354166668</v>
      </c>
      <c r="K2026" cm="1">
        <f t="array" ref="K2026">sentimentCalc(C2026)</f>
        <v>0</v>
      </c>
      <c r="L2026" t="str" cm="1">
        <f t="array" ref="L2026">sentimentCategory(K2026)</f>
        <v>Neutral</v>
      </c>
    </row>
    <row r="2027" spans="1:12" x14ac:dyDescent="0.25">
      <c r="A2027" t="s">
        <v>3920</v>
      </c>
      <c r="B2027" t="s">
        <v>3921</v>
      </c>
      <c r="C2027" t="str" cm="1">
        <f t="array" ref="C2027">CleanText(B2027)</f>
        <v>kya chutiya trailer hai</v>
      </c>
      <c r="D2027">
        <v>1</v>
      </c>
      <c r="E2027">
        <v>0</v>
      </c>
      <c r="F2027" t="s">
        <v>10</v>
      </c>
      <c r="G2027" t="str" cm="1">
        <f t="array" ref="G2027">FindCountryName(F2027)</f>
        <v>None</v>
      </c>
      <c r="H2027" s="3">
        <v>45144.483981481484</v>
      </c>
      <c r="I2027" s="3">
        <v>45144.483981481484</v>
      </c>
      <c r="J2027" s="3">
        <v>44719.226678240739</v>
      </c>
      <c r="K2027" cm="1">
        <f t="array" ref="K2027">sentimentCalc(C2027)</f>
        <v>0</v>
      </c>
      <c r="L2027" t="str" cm="1">
        <f t="array" ref="L2027">sentimentCategory(K2027)</f>
        <v>Neutral</v>
      </c>
    </row>
    <row r="2028" spans="1:12" x14ac:dyDescent="0.25">
      <c r="A2028" t="s">
        <v>620</v>
      </c>
      <c r="B2028" t="s">
        <v>3576</v>
      </c>
      <c r="C2028" t="str" cm="1">
        <f t="array" ref="C2028">CleanText(B2028)</f>
        <v>l vietnam</v>
      </c>
      <c r="D2028">
        <v>0</v>
      </c>
      <c r="E2028">
        <v>0</v>
      </c>
      <c r="F2028" t="s">
        <v>10</v>
      </c>
      <c r="G2028" t="str" cm="1">
        <f t="array" ref="G2028">FindCountryName(F2028)</f>
        <v>None</v>
      </c>
      <c r="H2028" s="3">
        <v>45147.455462962964</v>
      </c>
      <c r="I2028" s="3">
        <v>45147.455462962964</v>
      </c>
      <c r="J2028" s="3">
        <v>42429.377268518518</v>
      </c>
      <c r="K2028" cm="1">
        <f t="array" ref="K2028">sentimentCalc(C2028)</f>
        <v>0</v>
      </c>
      <c r="L2028" t="str" cm="1">
        <f t="array" ref="L2028">sentimentCategory(K2028)</f>
        <v>Neutral</v>
      </c>
    </row>
    <row r="2029" spans="1:12" x14ac:dyDescent="0.25">
      <c r="A2029" t="s">
        <v>30</v>
      </c>
      <c r="B2029" t="s">
        <v>1548</v>
      </c>
      <c r="C2029" t="str" cm="1">
        <f t="array" ref="C2029">CleanText(B2029)</f>
        <v>la propagande woke ne se cache plus</v>
      </c>
      <c r="D2029">
        <v>1</v>
      </c>
      <c r="E2029">
        <v>0</v>
      </c>
      <c r="F2029" t="s">
        <v>147</v>
      </c>
      <c r="G2029" t="str" cm="1">
        <f t="array" ref="G2029">FindCountryName(F2029)</f>
        <v>France</v>
      </c>
      <c r="H2029" s="3">
        <v>45214.579085648147</v>
      </c>
      <c r="I2029" s="3">
        <v>45214.579085648147</v>
      </c>
      <c r="J2029" s="3">
        <v>39816.713530092595</v>
      </c>
      <c r="K2029" cm="1">
        <f t="array" ref="K2029">sentimentCalc(C2029)</f>
        <v>0</v>
      </c>
      <c r="L2029" t="str" cm="1">
        <f t="array" ref="L2029">sentimentCategory(K2029)</f>
        <v>Neutral</v>
      </c>
    </row>
    <row r="2030" spans="1:12" x14ac:dyDescent="0.25">
      <c r="A2030" t="s">
        <v>1328</v>
      </c>
      <c r="B2030" t="s">
        <v>1329</v>
      </c>
      <c r="C2030" t="str" cm="1">
        <f t="array" ref="C2030">CleanText(B2030)</f>
        <v>ladies if you dont want to be looked at and treated like an object how about stop trying to look like a doll and maybe dont support a movie that promotes that</v>
      </c>
      <c r="D2030">
        <v>4</v>
      </c>
      <c r="E2030">
        <v>6</v>
      </c>
      <c r="F2030" t="s">
        <v>10</v>
      </c>
      <c r="G2030" t="str" cm="1">
        <f t="array" ref="G2030">FindCountryName(F2030)</f>
        <v>None</v>
      </c>
      <c r="H2030" s="3">
        <v>45243.62777777778</v>
      </c>
      <c r="I2030" s="3">
        <v>45243.62777777778</v>
      </c>
      <c r="J2030" s="3">
        <v>40249.174027777779</v>
      </c>
      <c r="K2030" cm="1">
        <f t="array" ref="K2030">sentimentCalc(C2030)</f>
        <v>7</v>
      </c>
      <c r="L2030" t="str" cm="1">
        <f t="array" ref="L2030">sentimentCategory(K2030)</f>
        <v>Positive</v>
      </c>
    </row>
    <row r="2031" spans="1:12" x14ac:dyDescent="0.25">
      <c r="A2031" t="s">
        <v>45</v>
      </c>
      <c r="B2031" t="s">
        <v>2941</v>
      </c>
      <c r="C2031" t="str" cm="1">
        <f t="array" ref="C2031">CleanText(B2031)</f>
        <v>lailaha ilallah</v>
      </c>
      <c r="D2031">
        <v>3</v>
      </c>
      <c r="E2031">
        <v>0</v>
      </c>
      <c r="F2031" t="s">
        <v>10</v>
      </c>
      <c r="G2031" t="str" cm="1">
        <f t="array" ref="G2031">FindCountryName(F2031)</f>
        <v>None</v>
      </c>
      <c r="H2031" s="3">
        <v>45155.644456018519</v>
      </c>
      <c r="I2031" s="3">
        <v>45155.644456018519</v>
      </c>
      <c r="J2031" s="3">
        <v>45136.201423611114</v>
      </c>
      <c r="K2031" cm="1">
        <f t="array" ref="K2031">sentimentCalc(C2031)</f>
        <v>0</v>
      </c>
      <c r="L2031" t="str" cm="1">
        <f t="array" ref="L2031">sentimentCategory(K2031)</f>
        <v>Neutral</v>
      </c>
    </row>
    <row r="2032" spans="1:12" x14ac:dyDescent="0.25">
      <c r="A2032" t="s">
        <v>2944</v>
      </c>
      <c r="B2032" t="s">
        <v>4345</v>
      </c>
      <c r="C2032" t="str" cm="1">
        <f t="array" ref="C2032">CleanText(B2032)</f>
        <v>last time i went to the theater i wasnt going there to watch barbie but i saw a lot of women dressed up like barbie</v>
      </c>
      <c r="D2032">
        <v>1</v>
      </c>
      <c r="E2032">
        <v>2</v>
      </c>
      <c r="F2032" t="s">
        <v>10</v>
      </c>
      <c r="G2032" t="str" cm="1">
        <f t="array" ref="G2032">FindCountryName(F2032)</f>
        <v>None</v>
      </c>
      <c r="H2032" s="3">
        <v>45140.754131944443</v>
      </c>
      <c r="I2032" s="3">
        <v>45140.754131944443</v>
      </c>
      <c r="J2032" s="3">
        <v>43807.9294212963</v>
      </c>
      <c r="K2032" cm="1">
        <f t="array" ref="K2032">sentimentCalc(C2032)</f>
        <v>2</v>
      </c>
      <c r="L2032" t="str" cm="1">
        <f t="array" ref="L2032">sentimentCategory(K2032)</f>
        <v>Positive</v>
      </c>
    </row>
    <row r="2033" spans="1:12" x14ac:dyDescent="0.25">
      <c r="A2033" t="s">
        <v>1100</v>
      </c>
      <c r="B2033" t="s">
        <v>1380</v>
      </c>
      <c r="C2033" t="str" cm="1">
        <f t="array" ref="C2033">CleanText(B2033)</f>
        <v>legal</v>
      </c>
      <c r="D2033">
        <v>0</v>
      </c>
      <c r="E2033">
        <v>0</v>
      </c>
      <c r="F2033" t="s">
        <v>10</v>
      </c>
      <c r="G2033" t="str" cm="1">
        <f t="array" ref="G2033">FindCountryName(F2033)</f>
        <v>None</v>
      </c>
      <c r="H2033" s="3">
        <v>45234.571770833332</v>
      </c>
      <c r="I2033" s="3">
        <v>45234.571770833332</v>
      </c>
      <c r="J2033" s="3">
        <v>42997.349675925929</v>
      </c>
      <c r="K2033" cm="1">
        <f t="array" ref="K2033">sentimentCalc(C2033)</f>
        <v>1</v>
      </c>
      <c r="L2033" t="str" cm="1">
        <f t="array" ref="L2033">sentimentCategory(K2033)</f>
        <v>Positive</v>
      </c>
    </row>
    <row r="2034" spans="1:12" x14ac:dyDescent="0.25">
      <c r="A2034" t="s">
        <v>1531</v>
      </c>
      <c r="B2034" t="s">
        <v>1532</v>
      </c>
      <c r="C2034" t="str" cm="1">
        <f t="array" ref="C2034">CleanText(B2034)</f>
        <v>legal de mas bem bolado o filme</v>
      </c>
      <c r="D2034">
        <v>0</v>
      </c>
      <c r="E2034">
        <v>0</v>
      </c>
      <c r="F2034" t="s">
        <v>10</v>
      </c>
      <c r="G2034" t="str" cm="1">
        <f t="array" ref="G2034">FindCountryName(F2034)</f>
        <v>None</v>
      </c>
      <c r="H2034" s="3">
        <v>45215.245428240742</v>
      </c>
      <c r="I2034" s="3">
        <v>45215.245428240742</v>
      </c>
      <c r="J2034" s="3">
        <v>44868.608368055553</v>
      </c>
      <c r="K2034" cm="1">
        <f t="array" ref="K2034">sentimentCalc(C2034)</f>
        <v>1</v>
      </c>
      <c r="L2034" t="str" cm="1">
        <f t="array" ref="L2034">sentimentCategory(K2034)</f>
        <v>Positive</v>
      </c>
    </row>
    <row r="2035" spans="1:12" x14ac:dyDescent="0.25">
      <c r="A2035" t="s">
        <v>186</v>
      </c>
      <c r="B2035" t="s">
        <v>1894</v>
      </c>
      <c r="C2035" t="str" cm="1">
        <f t="array" ref="C2035">CleanText(B2035)</f>
        <v>legal demais</v>
      </c>
      <c r="D2035">
        <v>0</v>
      </c>
      <c r="E2035">
        <v>0</v>
      </c>
      <c r="F2035" t="s">
        <v>10</v>
      </c>
      <c r="G2035" t="str" cm="1">
        <f t="array" ref="G2035">FindCountryName(F2035)</f>
        <v>None</v>
      </c>
      <c r="H2035" s="3">
        <v>45188.584780092591</v>
      </c>
      <c r="I2035" s="3">
        <v>45188.584780092591</v>
      </c>
      <c r="J2035" s="3">
        <v>42861.549247685187</v>
      </c>
      <c r="K2035" cm="1">
        <f t="array" ref="K2035">sentimentCalc(C2035)</f>
        <v>1</v>
      </c>
      <c r="L2035" t="str" cm="1">
        <f t="array" ref="L2035">sentimentCategory(K2035)</f>
        <v>Positive</v>
      </c>
    </row>
    <row r="2036" spans="1:12" x14ac:dyDescent="0.25">
      <c r="A2036" t="s">
        <v>1764</v>
      </c>
      <c r="B2036" t="s">
        <v>1765</v>
      </c>
      <c r="C2036" t="str" cm="1">
        <f t="array" ref="C2036">CleanText(B2036)</f>
        <v>legal para levar as meninas final de semana</v>
      </c>
      <c r="D2036">
        <v>0</v>
      </c>
      <c r="E2036">
        <v>0</v>
      </c>
      <c r="F2036" t="s">
        <v>10</v>
      </c>
      <c r="G2036" t="str" cm="1">
        <f t="array" ref="G2036">FindCountryName(F2036)</f>
        <v>None</v>
      </c>
      <c r="H2036" s="3">
        <v>45196.721585648149</v>
      </c>
      <c r="I2036" s="3">
        <v>45196.721585648149</v>
      </c>
      <c r="J2036" s="3">
        <v>39931.464189814818</v>
      </c>
      <c r="K2036" cm="1">
        <f t="array" ref="K2036">sentimentCalc(C2036)</f>
        <v>1</v>
      </c>
      <c r="L2036" t="str" cm="1">
        <f t="array" ref="L2036">sentimentCategory(K2036)</f>
        <v>Positive</v>
      </c>
    </row>
    <row r="2037" spans="1:12" x14ac:dyDescent="0.25">
      <c r="A2037" t="s">
        <v>38</v>
      </c>
      <c r="B2037" t="s">
        <v>1589</v>
      </c>
      <c r="C2037" t="str" cm="1">
        <f t="array" ref="C2037">CleanText(B2037)</f>
        <v>legal muito bom</v>
      </c>
      <c r="D2037">
        <v>0</v>
      </c>
      <c r="E2037">
        <v>0</v>
      </c>
      <c r="F2037" t="s">
        <v>10</v>
      </c>
      <c r="G2037" t="str" cm="1">
        <f t="array" ref="G2037">FindCountryName(F2037)</f>
        <v>None</v>
      </c>
      <c r="H2037" s="3">
        <v>45211.601875</v>
      </c>
      <c r="I2037" s="3">
        <v>45211.601875</v>
      </c>
      <c r="J2037" s="3">
        <v>44440.833402777775</v>
      </c>
      <c r="K2037" cm="1">
        <f t="array" ref="K2037">sentimentCalc(C2037)</f>
        <v>1</v>
      </c>
      <c r="L2037" t="str" cm="1">
        <f t="array" ref="L2037">sentimentCategory(K2037)</f>
        <v>Positive</v>
      </c>
    </row>
    <row r="2038" spans="1:12" x14ac:dyDescent="0.25">
      <c r="A2038" t="s">
        <v>1129</v>
      </c>
      <c r="B2038" t="s">
        <v>3505</v>
      </c>
      <c r="C2038" t="str" cm="1">
        <f t="array" ref="C2038">CleanText(B2038)</f>
        <v>lekker</v>
      </c>
      <c r="D2038">
        <v>0</v>
      </c>
      <c r="E2038">
        <v>0</v>
      </c>
      <c r="F2038" t="s">
        <v>10</v>
      </c>
      <c r="G2038" t="str" cm="1">
        <f t="array" ref="G2038">FindCountryName(F2038)</f>
        <v>None</v>
      </c>
      <c r="H2038" s="3">
        <v>45148.186678240738</v>
      </c>
      <c r="I2038" s="3">
        <v>45148.186678240738</v>
      </c>
      <c r="J2038" s="3">
        <v>45148.186666666668</v>
      </c>
      <c r="K2038" cm="1">
        <f t="array" ref="K2038">sentimentCalc(C2038)</f>
        <v>0</v>
      </c>
      <c r="L2038" t="str" cm="1">
        <f t="array" ref="L2038">sentimentCategory(K2038)</f>
        <v>Neutral</v>
      </c>
    </row>
    <row r="2039" spans="1:12" x14ac:dyDescent="0.25">
      <c r="A2039" t="s">
        <v>45</v>
      </c>
      <c r="B2039" t="s">
        <v>1631</v>
      </c>
      <c r="C2039" t="str" cm="1">
        <f t="array" ref="C2039">CleanText(B2039)</f>
        <v>lembrando minha infncia</v>
      </c>
      <c r="D2039">
        <v>5</v>
      </c>
      <c r="E2039">
        <v>0</v>
      </c>
      <c r="F2039" t="s">
        <v>10</v>
      </c>
      <c r="G2039" t="str" cm="1">
        <f t="array" ref="G2039">FindCountryName(F2039)</f>
        <v>None</v>
      </c>
      <c r="H2039" s="3">
        <v>45207.33457175926</v>
      </c>
      <c r="I2039" s="3">
        <v>45207.33457175926</v>
      </c>
      <c r="J2039" s="3">
        <v>45205.387407407405</v>
      </c>
      <c r="K2039" cm="1">
        <f t="array" ref="K2039">sentimentCalc(C2039)</f>
        <v>0</v>
      </c>
      <c r="L2039" t="str" cm="1">
        <f t="array" ref="L2039">sentimentCategory(K2039)</f>
        <v>Neutral</v>
      </c>
    </row>
    <row r="2040" spans="1:12" x14ac:dyDescent="0.25">
      <c r="A2040" t="s">
        <v>537</v>
      </c>
      <c r="B2040" t="s">
        <v>2016</v>
      </c>
      <c r="C2040" t="str" cm="1">
        <f t="array" ref="C2040">CleanText(B2040)</f>
        <v>lembro da infncia inocente a verso jovem</v>
      </c>
      <c r="D2040">
        <v>0</v>
      </c>
      <c r="E2040">
        <v>0</v>
      </c>
      <c r="F2040" t="s">
        <v>10</v>
      </c>
      <c r="G2040" t="str" cm="1">
        <f t="array" ref="G2040">FindCountryName(F2040)</f>
        <v>None</v>
      </c>
      <c r="H2040" s="3">
        <v>45184.370509259257</v>
      </c>
      <c r="I2040" s="3">
        <v>45184.370509259257</v>
      </c>
      <c r="J2040" s="3">
        <v>41211.52784722222</v>
      </c>
      <c r="K2040" cm="1">
        <f t="array" ref="K2040">sentimentCalc(C2040)</f>
        <v>0</v>
      </c>
      <c r="L2040" t="str" cm="1">
        <f t="array" ref="L2040">sentimentCategory(K2040)</f>
        <v>Neutral</v>
      </c>
    </row>
    <row r="2041" spans="1:12" x14ac:dyDescent="0.25">
      <c r="A2041" t="s">
        <v>284</v>
      </c>
      <c r="B2041" t="s">
        <v>3886</v>
      </c>
      <c r="C2041" t="str" cm="1">
        <f t="array" ref="C2041">CleanText(B2041)</f>
        <v>let me be the onehollywood demons and pigs try to suppress the sound of freedombut they push and promote barbie a ditzy white character with no substance and or message to the world other then im a barbie girl white at that living in a barbie world  moviethis is why all of not many at the least those who embrace this garbage will for sure for be take out with there rest of the garbage during armageddonhave a blessed day social media fanaticsnever to late to educate yourself repent and get right with the righteousnever ever too lateblessings</v>
      </c>
      <c r="D2041">
        <v>0</v>
      </c>
      <c r="E2041">
        <v>0</v>
      </c>
      <c r="F2041" t="s">
        <v>10</v>
      </c>
      <c r="G2041" t="str" cm="1">
        <f t="array" ref="G2041">FindCountryName(F2041)</f>
        <v>None</v>
      </c>
      <c r="H2041" s="3">
        <v>45144.718877314815</v>
      </c>
      <c r="I2041" s="3">
        <v>45144.718877314815</v>
      </c>
      <c r="J2041" s="3">
        <v>42955.082673611112</v>
      </c>
      <c r="K2041" cm="1">
        <f t="array" ref="K2041">sentimentCalc(C2041)</f>
        <v>1</v>
      </c>
      <c r="L2041" t="str" cm="1">
        <f t="array" ref="L2041">sentimentCategory(K2041)</f>
        <v>Positive</v>
      </c>
    </row>
    <row r="2042" spans="1:12" x14ac:dyDescent="0.25">
      <c r="A2042" t="s">
        <v>1325</v>
      </c>
      <c r="B2042" t="s">
        <v>3713</v>
      </c>
      <c r="C2042" t="str" cm="1">
        <f t="array" ref="C2042">CleanText(B2042)</f>
        <v>let me tell youim a manly man a mans man if you will i love sports cars cold coors and babes in bikinis but this movie has me questioning if i only like this stuff because everyone expects it from me sometimes i just want to go get dolled up and dance like no one is watching but i hope someone is  is that girly i dont care anymore thank you barbie</v>
      </c>
      <c r="D2042">
        <v>4</v>
      </c>
      <c r="E2042">
        <v>4</v>
      </c>
      <c r="F2042" t="s">
        <v>10</v>
      </c>
      <c r="G2042" t="str" cm="1">
        <f t="array" ref="G2042">FindCountryName(F2042)</f>
        <v>None</v>
      </c>
      <c r="H2042" s="3">
        <v>45146.13181712963</v>
      </c>
      <c r="I2042" s="3">
        <v>45146.528344907405</v>
      </c>
      <c r="J2042" s="3">
        <v>39811.303506944445</v>
      </c>
      <c r="K2042" cm="1">
        <f t="array" ref="K2042">sentimentCalc(C2042)</f>
        <v>12</v>
      </c>
      <c r="L2042" t="str" cm="1">
        <f t="array" ref="L2042">sentimentCategory(K2042)</f>
        <v>Positive</v>
      </c>
    </row>
    <row r="2043" spans="1:12" x14ac:dyDescent="0.25">
      <c r="A2043" t="s">
        <v>135</v>
      </c>
      <c r="B2043" t="s">
        <v>3414</v>
      </c>
      <c r="C2043" t="str" cm="1">
        <f t="array" ref="C2043">CleanText(B2043)</f>
        <v>lets go to an artificial world for insane people without souls</v>
      </c>
      <c r="D2043">
        <v>1</v>
      </c>
      <c r="E2043">
        <v>0</v>
      </c>
      <c r="F2043" t="s">
        <v>845</v>
      </c>
      <c r="G2043" t="str" cm="1">
        <f t="array" ref="G2043">FindCountryName(F2043)</f>
        <v>Australia</v>
      </c>
      <c r="H2043" s="3">
        <v>45149.201770833337</v>
      </c>
      <c r="I2043" s="3">
        <v>45149.201770833337</v>
      </c>
      <c r="J2043" s="3">
        <v>42628.364641203705</v>
      </c>
      <c r="K2043" cm="1">
        <f t="array" ref="K2043">sentimentCalc(C2043)</f>
        <v>-2</v>
      </c>
      <c r="L2043" t="str" cm="1">
        <f t="array" ref="L2043">sentimentCategory(K2043)</f>
        <v>Negative</v>
      </c>
    </row>
    <row r="2044" spans="1:12" x14ac:dyDescent="0.25">
      <c r="A2044" t="s">
        <v>2614</v>
      </c>
      <c r="B2044" t="s">
        <v>2615</v>
      </c>
      <c r="C2044" t="str" cm="1">
        <f t="array" ref="C2044">CleanText(B2044)</f>
        <v>liberal indoctrination sitshow meant to destroy the dynamics of the nuclear family by painting men as evil animals if you cant see this you are asleep at the wheel</v>
      </c>
      <c r="D2044">
        <v>1</v>
      </c>
      <c r="E2044">
        <v>3</v>
      </c>
      <c r="F2044" t="s">
        <v>10</v>
      </c>
      <c r="G2044" t="str" cm="1">
        <f t="array" ref="G2044">FindCountryName(F2044)</f>
        <v>None</v>
      </c>
      <c r="H2044" s="3">
        <v>45161.826296296298</v>
      </c>
      <c r="I2044" s="3">
        <v>45161.826493055552</v>
      </c>
      <c r="J2044" s="3">
        <v>40892.38040509259</v>
      </c>
      <c r="K2044" cm="1">
        <f t="array" ref="K2044">sentimentCalc(C2044)</f>
        <v>-6</v>
      </c>
      <c r="L2044" t="str" cm="1">
        <f t="array" ref="L2044">sentimentCategory(K2044)</f>
        <v>Negative</v>
      </c>
    </row>
    <row r="2045" spans="1:12" x14ac:dyDescent="0.25">
      <c r="A2045" t="s">
        <v>629</v>
      </c>
      <c r="B2045" t="s">
        <v>1633</v>
      </c>
      <c r="C2045" t="str" cm="1">
        <f t="array" ref="C2045">CleanText(B2045)</f>
        <v>life to like</v>
      </c>
      <c r="D2045">
        <v>0</v>
      </c>
      <c r="E2045">
        <v>0</v>
      </c>
      <c r="F2045" t="s">
        <v>10</v>
      </c>
      <c r="G2045" t="str" cm="1">
        <f t="array" ref="G2045">FindCountryName(F2045)</f>
        <v>None</v>
      </c>
      <c r="H2045" s="3">
        <v>45207.312905092593</v>
      </c>
      <c r="I2045" s="3">
        <v>45207.312905092593</v>
      </c>
      <c r="J2045" s="3">
        <v>42563.609722222223</v>
      </c>
      <c r="K2045" cm="1">
        <f t="array" ref="K2045">sentimentCalc(C2045)</f>
        <v>2</v>
      </c>
      <c r="L2045" t="str" cm="1">
        <f t="array" ref="L2045">sentimentCategory(K2045)</f>
        <v>Positive</v>
      </c>
    </row>
    <row r="2046" spans="1:12" x14ac:dyDescent="0.25">
      <c r="A2046" t="s">
        <v>372</v>
      </c>
      <c r="B2046" t="s">
        <v>3539</v>
      </c>
      <c r="C2046" t="str" cm="1">
        <f t="array" ref="C2046">CleanText(B2046)</f>
        <v>like here if you think barbie is a bad movie</v>
      </c>
      <c r="D2046">
        <v>1</v>
      </c>
      <c r="E2046">
        <v>0</v>
      </c>
      <c r="F2046" t="s">
        <v>10</v>
      </c>
      <c r="G2046" t="str" cm="1">
        <f t="array" ref="G2046">FindCountryName(F2046)</f>
        <v>None</v>
      </c>
      <c r="H2046" s="3">
        <v>45147.684652777774</v>
      </c>
      <c r="I2046" s="3">
        <v>45147.684652777774</v>
      </c>
      <c r="J2046" s="3">
        <v>41361.704039351855</v>
      </c>
      <c r="K2046" cm="1">
        <f t="array" ref="K2046">sentimentCalc(C2046)</f>
        <v>-1</v>
      </c>
      <c r="L2046" t="str" cm="1">
        <f t="array" ref="L2046">sentimentCategory(K2046)</f>
        <v>Negative</v>
      </c>
    </row>
    <row r="2047" spans="1:12" x14ac:dyDescent="0.25">
      <c r="A2047" t="s">
        <v>1287</v>
      </c>
      <c r="B2047" t="s">
        <v>1288</v>
      </c>
      <c r="C2047" t="str" cm="1">
        <f t="array" ref="C2047">CleanText(B2047)</f>
        <v>like the director of fbi ken is cult of maleness wray hates this movie got evidence on amazin criminals too  but mostly on those who locked card fbi dumbass  checkmate stupid</v>
      </c>
      <c r="D2047">
        <v>3</v>
      </c>
      <c r="E2047">
        <v>0</v>
      </c>
      <c r="F2047" t="s">
        <v>10</v>
      </c>
      <c r="G2047" t="str" cm="1">
        <f t="array" ref="G2047">FindCountryName(F2047)</f>
        <v>None</v>
      </c>
      <c r="H2047" s="3">
        <v>45257.471782407411</v>
      </c>
      <c r="I2047" s="3">
        <v>45257.475555555553</v>
      </c>
      <c r="J2047" s="3">
        <v>41055.825115740743</v>
      </c>
      <c r="K2047" cm="1">
        <f t="array" ref="K2047">sentimentCalc(C2047)</f>
        <v>-9</v>
      </c>
      <c r="L2047" t="str" cm="1">
        <f t="array" ref="L2047">sentimentCategory(K2047)</f>
        <v>Negative</v>
      </c>
    </row>
    <row r="2048" spans="1:12" x14ac:dyDescent="0.25">
      <c r="A2048" t="s">
        <v>692</v>
      </c>
      <c r="B2048" t="s">
        <v>4232</v>
      </c>
      <c r="C2048" t="str" cm="1">
        <f t="array" ref="C2048">CleanText(B2048)</f>
        <v>like toy story</v>
      </c>
      <c r="D2048">
        <v>0</v>
      </c>
      <c r="E2048">
        <v>0</v>
      </c>
      <c r="F2048" t="s">
        <v>10</v>
      </c>
      <c r="G2048" t="str" cm="1">
        <f t="array" ref="G2048">FindCountryName(F2048)</f>
        <v>None</v>
      </c>
      <c r="H2048" s="3">
        <v>45141.663043981483</v>
      </c>
      <c r="I2048" s="3">
        <v>45141.663043981483</v>
      </c>
      <c r="J2048" s="3">
        <v>44447.318935185183</v>
      </c>
      <c r="K2048" cm="1">
        <f t="array" ref="K2048">sentimentCalc(C2048)</f>
        <v>2</v>
      </c>
      <c r="L2048" t="str" cm="1">
        <f t="array" ref="L2048">sentimentCategory(K2048)</f>
        <v>Positive</v>
      </c>
    </row>
    <row r="2049" spans="1:12" x14ac:dyDescent="0.25">
      <c r="A2049" t="s">
        <v>1836</v>
      </c>
      <c r="B2049" t="s">
        <v>1837</v>
      </c>
      <c r="C2049" t="str" cm="1">
        <f t="array" ref="C2049">CleanText(B2049)</f>
        <v>lindo esse filme da barbie muito emocionante</v>
      </c>
      <c r="D2049">
        <v>0</v>
      </c>
      <c r="E2049">
        <v>0</v>
      </c>
      <c r="F2049" t="s">
        <v>10</v>
      </c>
      <c r="G2049" t="str" cm="1">
        <f t="array" ref="G2049">FindCountryName(F2049)</f>
        <v>None</v>
      </c>
      <c r="H2049" s="3">
        <v>45191.624826388892</v>
      </c>
      <c r="I2049" s="3">
        <v>45191.624826388892</v>
      </c>
      <c r="J2049" s="3">
        <v>43185.610960648148</v>
      </c>
      <c r="K2049" cm="1">
        <f t="array" ref="K2049">sentimentCalc(C2049)</f>
        <v>0</v>
      </c>
      <c r="L2049" t="str" cm="1">
        <f t="array" ref="L2049">sentimentCategory(K2049)</f>
        <v>Neutral</v>
      </c>
    </row>
    <row r="2050" spans="1:12" x14ac:dyDescent="0.25">
      <c r="A2050" t="s">
        <v>3144</v>
      </c>
      <c r="B2050" t="s">
        <v>3852</v>
      </c>
      <c r="C2050" t="str" cm="1">
        <f t="array" ref="C2050">CleanText(B2050)</f>
        <v>literally cried after seeing you dont have to be perfect</v>
      </c>
      <c r="D2050">
        <v>7</v>
      </c>
      <c r="E2050">
        <v>1</v>
      </c>
      <c r="F2050" t="s">
        <v>10</v>
      </c>
      <c r="G2050" t="str" cm="1">
        <f t="array" ref="G2050">FindCountryName(F2050)</f>
        <v>None</v>
      </c>
      <c r="H2050" s="3">
        <v>45145.004189814812</v>
      </c>
      <c r="I2050" s="3">
        <v>45145.004189814812</v>
      </c>
      <c r="J2050" s="3">
        <v>44972.617592592593</v>
      </c>
      <c r="K2050" cm="1">
        <f t="array" ref="K2050">sentimentCalc(C2050)</f>
        <v>1</v>
      </c>
      <c r="L2050" t="str" cm="1">
        <f t="array" ref="L2050">sentimentCategory(K2050)</f>
        <v>Positive</v>
      </c>
    </row>
    <row r="2051" spans="1:12" x14ac:dyDescent="0.25">
      <c r="A2051" t="s">
        <v>1612</v>
      </c>
      <c r="B2051" t="s">
        <v>1613</v>
      </c>
      <c r="C2051" t="str" cm="1">
        <f t="array" ref="C2051">CleanText(B2051)</f>
        <v>literally me</v>
      </c>
      <c r="D2051">
        <v>0</v>
      </c>
      <c r="E2051">
        <v>0</v>
      </c>
      <c r="F2051" t="s">
        <v>10</v>
      </c>
      <c r="G2051" t="str" cm="1">
        <f t="array" ref="G2051">FindCountryName(F2051)</f>
        <v>None</v>
      </c>
      <c r="H2051" s="3">
        <v>45208.476053240738</v>
      </c>
      <c r="I2051" s="3">
        <v>45208.476053240738</v>
      </c>
      <c r="J2051" s="3">
        <v>44512.239791666667</v>
      </c>
      <c r="K2051" cm="1">
        <f t="array" ref="K2051">sentimentCalc(C2051)</f>
        <v>0</v>
      </c>
      <c r="L2051" t="str" cm="1">
        <f t="array" ref="L2051">sentimentCategory(K2051)</f>
        <v>Neutral</v>
      </c>
    </row>
    <row r="2052" spans="1:12" x14ac:dyDescent="0.25">
      <c r="A2052" t="s">
        <v>145</v>
      </c>
      <c r="B2052" t="s">
        <v>3173</v>
      </c>
      <c r="C2052" t="str" cm="1">
        <f t="array" ref="C2052">CleanText(B2052)</f>
        <v>lmao</v>
      </c>
      <c r="D2052">
        <v>1</v>
      </c>
      <c r="E2052">
        <v>1</v>
      </c>
      <c r="F2052" t="s">
        <v>10</v>
      </c>
      <c r="G2052" t="str" cm="1">
        <f t="array" ref="G2052">FindCountryName(F2052)</f>
        <v>None</v>
      </c>
      <c r="H2052" s="3">
        <v>45152.417881944442</v>
      </c>
      <c r="I2052" s="3">
        <v>45152.417881944442</v>
      </c>
      <c r="J2052" s="3">
        <v>44062.372245370374</v>
      </c>
      <c r="K2052" cm="1">
        <f t="array" ref="K2052">sentimentCalc(C2052)</f>
        <v>0</v>
      </c>
      <c r="L2052" t="str" cm="1">
        <f t="array" ref="L2052">sentimentCategory(K2052)</f>
        <v>Neutral</v>
      </c>
    </row>
    <row r="2053" spans="1:12" x14ac:dyDescent="0.25">
      <c r="A2053" t="s">
        <v>1267</v>
      </c>
      <c r="B2053" t="s">
        <v>1268</v>
      </c>
      <c r="C2053" t="str" cm="1">
        <f t="array" ref="C2053">CleanText(B2053)</f>
        <v>loganberry</v>
      </c>
      <c r="D2053">
        <v>0</v>
      </c>
      <c r="E2053">
        <v>0</v>
      </c>
      <c r="F2053" t="s">
        <v>10</v>
      </c>
      <c r="G2053" t="str" cm="1">
        <f t="array" ref="G2053">FindCountryName(F2053)</f>
        <v>None</v>
      </c>
      <c r="H2053" s="3">
        <v>45262.639108796298</v>
      </c>
      <c r="I2053" s="3">
        <v>45262.639108796298</v>
      </c>
      <c r="J2053" s="3">
        <v>42135.49355324074</v>
      </c>
      <c r="K2053" cm="1">
        <f t="array" ref="K2053">sentimentCalc(C2053)</f>
        <v>0</v>
      </c>
      <c r="L2053" t="str" cm="1">
        <f t="array" ref="L2053">sentimentCategory(K2053)</f>
        <v>Neutral</v>
      </c>
    </row>
    <row r="2054" spans="1:12" x14ac:dyDescent="0.25">
      <c r="A2054" t="s">
        <v>553</v>
      </c>
      <c r="B2054" t="s">
        <v>2750</v>
      </c>
      <c r="C2054" t="str" cm="1">
        <f t="array" ref="C2054">CleanText(B2054)</f>
        <v>logi</v>
      </c>
      <c r="D2054">
        <v>0</v>
      </c>
      <c r="E2054">
        <v>0</v>
      </c>
      <c r="F2054" t="s">
        <v>10</v>
      </c>
      <c r="G2054" t="str" cm="1">
        <f t="array" ref="G2054">FindCountryName(F2054)</f>
        <v>None</v>
      </c>
      <c r="H2054" s="3">
        <v>45158.644317129627</v>
      </c>
      <c r="I2054" s="3">
        <v>45158.644317129627</v>
      </c>
      <c r="J2054" s="3">
        <v>43816.523506944446</v>
      </c>
      <c r="K2054" cm="1">
        <f t="array" ref="K2054">sentimentCalc(C2054)</f>
        <v>0</v>
      </c>
      <c r="L2054" t="str" cm="1">
        <f t="array" ref="L2054">sentimentCategory(K2054)</f>
        <v>Neutral</v>
      </c>
    </row>
    <row r="2055" spans="1:12" x14ac:dyDescent="0.25">
      <c r="A2055" t="s">
        <v>1617</v>
      </c>
      <c r="B2055" t="s">
        <v>1618</v>
      </c>
      <c r="C2055" t="str" cm="1">
        <f t="array" ref="C2055">CleanText(B2055)</f>
        <v>lol</v>
      </c>
      <c r="D2055">
        <v>0</v>
      </c>
      <c r="E2055">
        <v>0</v>
      </c>
      <c r="F2055" t="s">
        <v>10</v>
      </c>
      <c r="G2055" t="str" cm="1">
        <f t="array" ref="G2055">FindCountryName(F2055)</f>
        <v>None</v>
      </c>
      <c r="H2055" s="3">
        <v>45208.160185185188</v>
      </c>
      <c r="I2055" s="3">
        <v>45208.160185185188</v>
      </c>
      <c r="J2055" s="3">
        <v>45026.988275462965</v>
      </c>
      <c r="K2055" cm="1">
        <f t="array" ref="K2055">sentimentCalc(C2055)</f>
        <v>0</v>
      </c>
      <c r="L2055" t="str" cm="1">
        <f t="array" ref="L2055">sentimentCategory(K2055)</f>
        <v>Neutral</v>
      </c>
    </row>
    <row r="2056" spans="1:12" x14ac:dyDescent="0.25">
      <c r="A2056" t="s">
        <v>347</v>
      </c>
      <c r="B2056" t="s">
        <v>2466</v>
      </c>
      <c r="C2056" t="str" cm="1">
        <f t="array" ref="C2056">CleanText(B2056)</f>
        <v>lol i love it was so funny and i like the end of the movie</v>
      </c>
      <c r="D2056">
        <v>0</v>
      </c>
      <c r="E2056">
        <v>0</v>
      </c>
      <c r="F2056" t="s">
        <v>10</v>
      </c>
      <c r="G2056" t="str" cm="1">
        <f t="array" ref="G2056">FindCountryName(F2056)</f>
        <v>None</v>
      </c>
      <c r="H2056" s="3">
        <v>45165.94703703704</v>
      </c>
      <c r="I2056" s="3">
        <v>45165.94703703704</v>
      </c>
      <c r="J2056" s="3">
        <v>45100.316990740743</v>
      </c>
      <c r="K2056" cm="1">
        <f t="array" ref="K2056">sentimentCalc(C2056)</f>
        <v>9</v>
      </c>
      <c r="L2056" t="str" cm="1">
        <f t="array" ref="L2056">sentimentCategory(K2056)</f>
        <v>Positive</v>
      </c>
    </row>
    <row r="2057" spans="1:12" x14ac:dyDescent="0.25">
      <c r="A2057" t="s">
        <v>1366</v>
      </c>
      <c r="B2057" t="s">
        <v>3752</v>
      </c>
      <c r="C2057" t="str" cm="1">
        <f t="array" ref="C2057">CleanText(B2057)</f>
        <v>lol this movie seems like a matrix rip off for woman</v>
      </c>
      <c r="D2057">
        <v>0</v>
      </c>
      <c r="E2057">
        <v>0</v>
      </c>
      <c r="F2057" t="s">
        <v>10</v>
      </c>
      <c r="G2057" t="str" cm="1">
        <f t="array" ref="G2057">FindCountryName(F2057)</f>
        <v>None</v>
      </c>
      <c r="H2057" s="3">
        <v>45145.723634259259</v>
      </c>
      <c r="I2057" s="3">
        <v>45145.723634259259</v>
      </c>
      <c r="J2057" s="3">
        <v>41874.293356481481</v>
      </c>
      <c r="K2057" cm="1">
        <f t="array" ref="K2057">sentimentCalc(C2057)</f>
        <v>2</v>
      </c>
      <c r="L2057" t="str" cm="1">
        <f t="array" ref="L2057">sentimentCategory(K2057)</f>
        <v>Positive</v>
      </c>
    </row>
    <row r="2058" spans="1:12" x14ac:dyDescent="0.25">
      <c r="A2058" t="s">
        <v>2231</v>
      </c>
      <c r="B2058" t="s">
        <v>3219</v>
      </c>
      <c r="C2058" t="str" cm="1">
        <f t="array" ref="C2058">CleanText(B2058)</f>
        <v>looks cool to me</v>
      </c>
      <c r="D2058">
        <v>0</v>
      </c>
      <c r="E2058">
        <v>0</v>
      </c>
      <c r="F2058" t="s">
        <v>10</v>
      </c>
      <c r="G2058" t="str" cm="1">
        <f t="array" ref="G2058">FindCountryName(F2058)</f>
        <v>None</v>
      </c>
      <c r="H2058" s="3">
        <v>45151.651331018518</v>
      </c>
      <c r="I2058" s="3">
        <v>45151.651331018518</v>
      </c>
      <c r="J2058" s="3">
        <v>44904.642743055556</v>
      </c>
      <c r="K2058" cm="1">
        <f t="array" ref="K2058">sentimentCalc(C2058)</f>
        <v>1</v>
      </c>
      <c r="L2058" t="str" cm="1">
        <f t="array" ref="L2058">sentimentCategory(K2058)</f>
        <v>Positive</v>
      </c>
    </row>
    <row r="2059" spans="1:12" x14ac:dyDescent="0.25">
      <c r="A2059" t="s">
        <v>505</v>
      </c>
      <c r="B2059" t="s">
        <v>1579</v>
      </c>
      <c r="C2059" t="str" cm="1">
        <f t="array" ref="C2059">CleanText(B2059)</f>
        <v>looks good</v>
      </c>
      <c r="D2059">
        <v>0</v>
      </c>
      <c r="E2059">
        <v>0</v>
      </c>
      <c r="F2059" t="s">
        <v>10</v>
      </c>
      <c r="G2059" t="str" cm="1">
        <f t="array" ref="G2059">FindCountryName(F2059)</f>
        <v>None</v>
      </c>
      <c r="H2059" s="3">
        <v>45213.244293981479</v>
      </c>
      <c r="I2059" s="3">
        <v>45213.244293981479</v>
      </c>
      <c r="J2059" s="3">
        <v>44169.93545138889</v>
      </c>
      <c r="K2059" cm="1">
        <f t="array" ref="K2059">sentimentCalc(C2059)</f>
        <v>3</v>
      </c>
      <c r="L2059" t="str" cm="1">
        <f t="array" ref="L2059">sentimentCategory(K2059)</f>
        <v>Positive</v>
      </c>
    </row>
    <row r="2060" spans="1:12" x14ac:dyDescent="0.25">
      <c r="A2060" t="s">
        <v>3089</v>
      </c>
      <c r="B2060" t="s">
        <v>3090</v>
      </c>
      <c r="C2060" t="str" cm="1">
        <f t="array" ref="C2060">CleanText(B2060)</f>
        <v>looks kind of cringy but it is about barbies after all i am probably going to watch it after it being in the cinemas but mostly because of the actors this is probably why it got so huge in the first place</v>
      </c>
      <c r="D2060">
        <v>0</v>
      </c>
      <c r="E2060">
        <v>0</v>
      </c>
      <c r="F2060" t="s">
        <v>10</v>
      </c>
      <c r="G2060" t="str" cm="1">
        <f t="array" ref="G2060">FindCountryName(F2060)</f>
        <v>None</v>
      </c>
      <c r="H2060" s="3">
        <v>45153.579988425925</v>
      </c>
      <c r="I2060" s="3">
        <v>45153.58084490741</v>
      </c>
      <c r="J2060" s="3">
        <v>42588.785601851851</v>
      </c>
      <c r="K2060" cm="1">
        <f t="array" ref="K2060">sentimentCalc(C2060)</f>
        <v>3</v>
      </c>
      <c r="L2060" t="str" cm="1">
        <f t="array" ref="L2060">sentimentCategory(K2060)</f>
        <v>Positive</v>
      </c>
    </row>
    <row r="2061" spans="1:12" x14ac:dyDescent="0.25">
      <c r="A2061" t="s">
        <v>1107</v>
      </c>
      <c r="B2061" t="s">
        <v>3647</v>
      </c>
      <c r="C2061" t="str" cm="1">
        <f t="array" ref="C2061">CleanText(B2061)</f>
        <v>looks like a terrible movie</v>
      </c>
      <c r="D2061">
        <v>1</v>
      </c>
      <c r="E2061">
        <v>0</v>
      </c>
      <c r="F2061" t="s">
        <v>10</v>
      </c>
      <c r="G2061" t="str" cm="1">
        <f t="array" ref="G2061">FindCountryName(F2061)</f>
        <v>None</v>
      </c>
      <c r="H2061" s="3">
        <v>45146.805972222224</v>
      </c>
      <c r="I2061" s="3">
        <v>45146.805972222224</v>
      </c>
      <c r="J2061" s="3">
        <v>44868.192847222221</v>
      </c>
      <c r="K2061" cm="1">
        <f t="array" ref="K2061">sentimentCalc(C2061)</f>
        <v>-1</v>
      </c>
      <c r="L2061" t="str" cm="1">
        <f t="array" ref="L2061">sentimentCategory(K2061)</f>
        <v>Negative</v>
      </c>
    </row>
    <row r="2062" spans="1:12" x14ac:dyDescent="0.25">
      <c r="A2062" t="s">
        <v>737</v>
      </c>
      <c r="B2062" t="s">
        <v>739</v>
      </c>
      <c r="C2062" t="str" cm="1">
        <f t="array" ref="C2062">CleanText(B2062)</f>
        <v>looks like fantastic movie</v>
      </c>
      <c r="D2062">
        <v>0</v>
      </c>
      <c r="E2062">
        <v>0</v>
      </c>
      <c r="F2062" t="s">
        <v>10</v>
      </c>
      <c r="G2062" t="str" cm="1">
        <f t="array" ref="G2062">FindCountryName(F2062)</f>
        <v>None</v>
      </c>
      <c r="H2062" s="3">
        <v>45310.256909722222</v>
      </c>
      <c r="I2062" s="3">
        <v>45310.256909722222</v>
      </c>
      <c r="J2062" s="3">
        <v>45310.254490740743</v>
      </c>
      <c r="K2062" cm="1">
        <f t="array" ref="K2062">sentimentCalc(C2062)</f>
        <v>6</v>
      </c>
      <c r="L2062" t="str" cm="1">
        <f t="array" ref="L2062">sentimentCategory(K2062)</f>
        <v>Positive</v>
      </c>
    </row>
    <row r="2063" spans="1:12" x14ac:dyDescent="0.25">
      <c r="A2063" t="s">
        <v>737</v>
      </c>
      <c r="B2063" t="s">
        <v>738</v>
      </c>
      <c r="C2063" t="str" cm="1">
        <f t="array" ref="C2063">CleanText(B2063)</f>
        <v>looks like fantastic movie</v>
      </c>
      <c r="D2063">
        <v>0</v>
      </c>
      <c r="E2063">
        <v>0</v>
      </c>
      <c r="F2063" t="s">
        <v>10</v>
      </c>
      <c r="G2063" t="str" cm="1">
        <f t="array" ref="G2063">FindCountryName(F2063)</f>
        <v>None</v>
      </c>
      <c r="H2063" s="3">
        <v>45310.257245370369</v>
      </c>
      <c r="I2063" s="3">
        <v>45310.257245370369</v>
      </c>
      <c r="J2063" s="3">
        <v>45310.254490740743</v>
      </c>
      <c r="K2063" cm="1">
        <f t="array" ref="K2063">sentimentCalc(C2063)</f>
        <v>6</v>
      </c>
      <c r="L2063" t="str" cm="1">
        <f t="array" ref="L2063">sentimentCategory(K2063)</f>
        <v>Positive</v>
      </c>
    </row>
    <row r="2064" spans="1:12" x14ac:dyDescent="0.25">
      <c r="A2064" t="s">
        <v>2259</v>
      </c>
      <c r="B2064" t="s">
        <v>2745</v>
      </c>
      <c r="C2064" t="str" cm="1">
        <f t="array" ref="C2064">CleanText(B2064)</f>
        <v>looks like the dumbest movie ever made big waste of money</v>
      </c>
      <c r="D2064">
        <v>1</v>
      </c>
      <c r="E2064">
        <v>0</v>
      </c>
      <c r="F2064" t="s">
        <v>227</v>
      </c>
      <c r="G2064" t="str" cm="1">
        <f t="array" ref="G2064">FindCountryName(F2064)</f>
        <v>United States of America (the)</v>
      </c>
      <c r="H2064" s="3">
        <v>45158.738599537035</v>
      </c>
      <c r="I2064" s="3">
        <v>45158.739884259259</v>
      </c>
      <c r="J2064" s="3">
        <v>41070.275902777779</v>
      </c>
      <c r="K2064" cm="1">
        <f t="array" ref="K2064">sentimentCalc(C2064)</f>
        <v>2</v>
      </c>
      <c r="L2064" t="str" cm="1">
        <f t="array" ref="L2064">sentimentCategory(K2064)</f>
        <v>Positive</v>
      </c>
    </row>
    <row r="2065" spans="1:12" x14ac:dyDescent="0.25">
      <c r="A2065" t="s">
        <v>553</v>
      </c>
      <c r="B2065" t="s">
        <v>4197</v>
      </c>
      <c r="C2065" t="str" cm="1">
        <f t="array" ref="C2065">CleanText(B2065)</f>
        <v>looks like the truman show</v>
      </c>
      <c r="D2065">
        <v>1</v>
      </c>
      <c r="E2065">
        <v>0</v>
      </c>
      <c r="F2065" t="s">
        <v>10</v>
      </c>
      <c r="G2065" t="str" cm="1">
        <f t="array" ref="G2065">FindCountryName(F2065)</f>
        <v>None</v>
      </c>
      <c r="H2065" s="3">
        <v>45142.089016203703</v>
      </c>
      <c r="I2065" s="3">
        <v>45142.089016203703</v>
      </c>
      <c r="J2065" s="3">
        <v>44917.169907407406</v>
      </c>
      <c r="K2065" cm="1">
        <f t="array" ref="K2065">sentimentCalc(C2065)</f>
        <v>2</v>
      </c>
      <c r="L2065" t="str" cm="1">
        <f t="array" ref="L2065">sentimentCategory(K2065)</f>
        <v>Positive</v>
      </c>
    </row>
    <row r="2066" spans="1:12" x14ac:dyDescent="0.25">
      <c r="A2066" t="s">
        <v>737</v>
      </c>
      <c r="B2066" t="s">
        <v>741</v>
      </c>
      <c r="C2066" t="str" cm="1">
        <f t="array" ref="C2066">CleanText(B2066)</f>
        <v>looks like very fun and exciting</v>
      </c>
      <c r="D2066">
        <v>0</v>
      </c>
      <c r="E2066">
        <v>0</v>
      </c>
      <c r="F2066" t="s">
        <v>10</v>
      </c>
      <c r="G2066" t="str" cm="1">
        <f t="array" ref="G2066">FindCountryName(F2066)</f>
        <v>None</v>
      </c>
      <c r="H2066" s="3">
        <v>45310.254513888889</v>
      </c>
      <c r="I2066" s="3">
        <v>45310.254513888889</v>
      </c>
      <c r="J2066" s="3">
        <v>45310.254490740743</v>
      </c>
      <c r="K2066" cm="1">
        <f t="array" ref="K2066">sentimentCalc(C2066)</f>
        <v>9</v>
      </c>
      <c r="L2066" t="str" cm="1">
        <f t="array" ref="L2066">sentimentCategory(K2066)</f>
        <v>Positive</v>
      </c>
    </row>
    <row r="2067" spans="1:12" x14ac:dyDescent="0.25">
      <c r="A2067" t="s">
        <v>54</v>
      </c>
      <c r="B2067" t="s">
        <v>4103</v>
      </c>
      <c r="C2067" t="str" cm="1">
        <f t="array" ref="C2067">CleanText(B2067)</f>
        <v>looks pretty awesome</v>
      </c>
      <c r="D2067">
        <v>0</v>
      </c>
      <c r="E2067">
        <v>1</v>
      </c>
      <c r="F2067" t="s">
        <v>10</v>
      </c>
      <c r="G2067" t="str" cm="1">
        <f t="array" ref="G2067">FindCountryName(F2067)</f>
        <v>None</v>
      </c>
      <c r="H2067" s="3">
        <v>45142.865370370368</v>
      </c>
      <c r="I2067" s="3">
        <v>45142.865370370368</v>
      </c>
      <c r="J2067" s="3">
        <v>44393.904351851852</v>
      </c>
      <c r="K2067" cm="1">
        <f t="array" ref="K2067">sentimentCalc(C2067)</f>
        <v>5</v>
      </c>
      <c r="L2067" t="str" cm="1">
        <f t="array" ref="L2067">sentimentCategory(K2067)</f>
        <v>Positive</v>
      </c>
    </row>
    <row r="2068" spans="1:12" x14ac:dyDescent="0.25">
      <c r="A2068" t="s">
        <v>840</v>
      </c>
      <c r="B2068" t="s">
        <v>3196</v>
      </c>
      <c r="C2068" t="str" cm="1">
        <f t="array" ref="C2068">CleanText(B2068)</f>
        <v>looks retarded couldnt even watch the trailer to the end</v>
      </c>
      <c r="D2068">
        <v>6</v>
      </c>
      <c r="E2068">
        <v>7</v>
      </c>
      <c r="F2068" t="s">
        <v>10</v>
      </c>
      <c r="G2068" t="str" cm="1">
        <f t="array" ref="G2068">FindCountryName(F2068)</f>
        <v>None</v>
      </c>
      <c r="H2068" s="3">
        <v>45152.096805555557</v>
      </c>
      <c r="I2068" s="3">
        <v>45152.096805555557</v>
      </c>
      <c r="J2068" s="3">
        <v>41981.946689814817</v>
      </c>
      <c r="K2068" cm="1">
        <f t="array" ref="K2068">sentimentCalc(C2068)</f>
        <v>0</v>
      </c>
      <c r="L2068" t="str" cm="1">
        <f t="array" ref="L2068">sentimentCategory(K2068)</f>
        <v>Neutral</v>
      </c>
    </row>
    <row r="2069" spans="1:12" x14ac:dyDescent="0.25">
      <c r="A2069" t="s">
        <v>4013</v>
      </c>
      <c r="B2069" t="s">
        <v>4102</v>
      </c>
      <c r="C2069" t="str" cm="1">
        <f t="array" ref="C2069">CleanText(B2069)</f>
        <v>looks stupid</v>
      </c>
      <c r="D2069">
        <v>4</v>
      </c>
      <c r="E2069">
        <v>0</v>
      </c>
      <c r="F2069" t="s">
        <v>10</v>
      </c>
      <c r="G2069" t="str" cm="1">
        <f t="array" ref="G2069">FindCountryName(F2069)</f>
        <v>None</v>
      </c>
      <c r="H2069" s="3">
        <v>45142.872152777774</v>
      </c>
      <c r="I2069" s="3">
        <v>45142.872152777774</v>
      </c>
      <c r="J2069" s="3">
        <v>39033.660416666666</v>
      </c>
      <c r="K2069" cm="1">
        <f t="array" ref="K2069">sentimentCalc(C2069)</f>
        <v>-2</v>
      </c>
      <c r="L2069" t="str" cm="1">
        <f t="array" ref="L2069">sentimentCategory(K2069)</f>
        <v>Negative</v>
      </c>
    </row>
    <row r="2070" spans="1:12" x14ac:dyDescent="0.25">
      <c r="A2070" t="s">
        <v>871</v>
      </c>
      <c r="B2070" t="s">
        <v>3791</v>
      </c>
      <c r="C2070" t="str" cm="1">
        <f t="array" ref="C2070">CleanText(B2070)</f>
        <v>looks terrible</v>
      </c>
      <c r="D2070">
        <v>0</v>
      </c>
      <c r="E2070">
        <v>0</v>
      </c>
      <c r="F2070" t="s">
        <v>10</v>
      </c>
      <c r="G2070" t="str" cm="1">
        <f t="array" ref="G2070">FindCountryName(F2070)</f>
        <v>None</v>
      </c>
      <c r="H2070" s="3">
        <v>45145.47859953704</v>
      </c>
      <c r="I2070" s="3">
        <v>45145.47859953704</v>
      </c>
      <c r="J2070" s="3">
        <v>43178.279687499999</v>
      </c>
      <c r="K2070" cm="1">
        <f t="array" ref="K2070">sentimentCalc(C2070)</f>
        <v>-3</v>
      </c>
      <c r="L2070" t="str" cm="1">
        <f t="array" ref="L2070">sentimentCategory(K2070)</f>
        <v>Negative</v>
      </c>
    </row>
    <row r="2071" spans="1:12" x14ac:dyDescent="0.25">
      <c r="A2071" t="s">
        <v>1659</v>
      </c>
      <c r="B2071" t="s">
        <v>2499</v>
      </c>
      <c r="C2071" t="str" cm="1">
        <f t="array" ref="C2071">CleanText(B2071)</f>
        <v>looks very good</v>
      </c>
      <c r="D2071">
        <v>1</v>
      </c>
      <c r="E2071">
        <v>0</v>
      </c>
      <c r="F2071" t="s">
        <v>10</v>
      </c>
      <c r="G2071" t="str" cm="1">
        <f t="array" ref="G2071">FindCountryName(F2071)</f>
        <v>None</v>
      </c>
      <c r="H2071" s="3">
        <v>45164.953182870369</v>
      </c>
      <c r="I2071" s="3">
        <v>45164.953182870369</v>
      </c>
      <c r="J2071" s="3">
        <v>40913.389884259261</v>
      </c>
      <c r="K2071" cm="1">
        <f t="array" ref="K2071">sentimentCalc(C2071)</f>
        <v>3</v>
      </c>
      <c r="L2071" t="str" cm="1">
        <f t="array" ref="L2071">sentimentCategory(K2071)</f>
        <v>Positive</v>
      </c>
    </row>
    <row r="2072" spans="1:12" x14ac:dyDescent="0.25">
      <c r="A2072" t="s">
        <v>472</v>
      </c>
      <c r="B2072" t="s">
        <v>2364</v>
      </c>
      <c r="C2072" t="str" cm="1">
        <f t="array" ref="C2072">CleanText(B2072)</f>
        <v>looool not them using the barbie girl song when mattel tried to sue aqua over it</v>
      </c>
      <c r="D2072">
        <v>0</v>
      </c>
      <c r="E2072">
        <v>0</v>
      </c>
      <c r="F2072" t="s">
        <v>10</v>
      </c>
      <c r="G2072" t="str" cm="1">
        <f t="array" ref="G2072">FindCountryName(F2072)</f>
        <v>None</v>
      </c>
      <c r="H2072" s="3">
        <v>45170.483032407406</v>
      </c>
      <c r="I2072" s="3">
        <v>45170.483217592591</v>
      </c>
      <c r="J2072" s="3">
        <v>44969.480162037034</v>
      </c>
      <c r="K2072" cm="1">
        <f t="array" ref="K2072">sentimentCalc(C2072)</f>
        <v>0</v>
      </c>
      <c r="L2072" t="str" cm="1">
        <f t="array" ref="L2072">sentimentCategory(K2072)</f>
        <v>Neutral</v>
      </c>
    </row>
    <row r="2073" spans="1:12" x14ac:dyDescent="0.25">
      <c r="A2073" t="s">
        <v>205</v>
      </c>
      <c r="B2073" t="s">
        <v>1044</v>
      </c>
      <c r="C2073" t="str" cm="1">
        <f t="array" ref="C2073">CleanText(B2073)</f>
        <v>lot of people streaming</v>
      </c>
      <c r="D2073">
        <v>0</v>
      </c>
      <c r="E2073">
        <v>0</v>
      </c>
      <c r="F2073" t="s">
        <v>10</v>
      </c>
      <c r="G2073" t="str" cm="1">
        <f t="array" ref="G2073">FindCountryName(F2073)</f>
        <v>None</v>
      </c>
      <c r="H2073" s="3">
        <v>45298.125358796293</v>
      </c>
      <c r="I2073" s="3">
        <v>45298.125358796293</v>
      </c>
      <c r="J2073" s="3">
        <v>44487.127129629633</v>
      </c>
      <c r="K2073" cm="1">
        <f t="array" ref="K2073">sentimentCalc(C2073)</f>
        <v>0</v>
      </c>
      <c r="L2073" t="str" cm="1">
        <f t="array" ref="L2073">sentimentCategory(K2073)</f>
        <v>Neutral</v>
      </c>
    </row>
    <row r="2074" spans="1:12" x14ac:dyDescent="0.25">
      <c r="A2074" t="s">
        <v>600</v>
      </c>
      <c r="B2074" t="s">
        <v>1386</v>
      </c>
      <c r="C2074" t="str" cm="1">
        <f t="array" ref="C2074">CleanText(B2074)</f>
        <v>louca pra assistir</v>
      </c>
      <c r="D2074">
        <v>0</v>
      </c>
      <c r="E2074">
        <v>0</v>
      </c>
      <c r="F2074" t="s">
        <v>10</v>
      </c>
      <c r="G2074" t="str" cm="1">
        <f t="array" ref="G2074">FindCountryName(F2074)</f>
        <v>None</v>
      </c>
      <c r="H2074" s="3">
        <v>45234.384479166663</v>
      </c>
      <c r="I2074" s="3">
        <v>45234.384479166663</v>
      </c>
      <c r="J2074" s="3">
        <v>42229.966585648152</v>
      </c>
      <c r="K2074" cm="1">
        <f t="array" ref="K2074">sentimentCalc(C2074)</f>
        <v>0</v>
      </c>
      <c r="L2074" t="str" cm="1">
        <f t="array" ref="L2074">sentimentCategory(K2074)</f>
        <v>Neutral</v>
      </c>
    </row>
    <row r="2075" spans="1:12" x14ac:dyDescent="0.25">
      <c r="A2075" t="s">
        <v>133</v>
      </c>
      <c r="B2075" t="s">
        <v>3817</v>
      </c>
      <c r="C2075" t="str" cm="1">
        <f t="array" ref="C2075">CleanText(B2075)</f>
        <v>love  you</v>
      </c>
      <c r="D2075">
        <v>0</v>
      </c>
      <c r="E2075">
        <v>0</v>
      </c>
      <c r="F2075" t="s">
        <v>10</v>
      </c>
      <c r="G2075" t="str" cm="1">
        <f t="array" ref="G2075">FindCountryName(F2075)</f>
        <v>None</v>
      </c>
      <c r="H2075" s="3">
        <v>45145.292349537034</v>
      </c>
      <c r="I2075" s="3">
        <v>45145.292349537034</v>
      </c>
      <c r="J2075" s="3">
        <v>45107.026134259257</v>
      </c>
      <c r="K2075" cm="1">
        <f t="array" ref="K2075">sentimentCalc(C2075)</f>
        <v>3</v>
      </c>
      <c r="L2075" t="str" cm="1">
        <f t="array" ref="L2075">sentimentCategory(K2075)</f>
        <v>Positive</v>
      </c>
    </row>
    <row r="2076" spans="1:12" x14ac:dyDescent="0.25">
      <c r="A2076" t="s">
        <v>3297</v>
      </c>
      <c r="B2076" t="s">
        <v>3298</v>
      </c>
      <c r="C2076" t="str" cm="1">
        <f t="array" ref="C2076">CleanText(B2076)</f>
        <v>love barbie my cousin do not love barbie</v>
      </c>
      <c r="D2076">
        <v>0</v>
      </c>
      <c r="E2076">
        <v>0</v>
      </c>
      <c r="F2076" t="s">
        <v>10</v>
      </c>
      <c r="G2076" t="str" cm="1">
        <f t="array" ref="G2076">FindCountryName(F2076)</f>
        <v>None</v>
      </c>
      <c r="H2076" s="3">
        <v>45150.595590277779</v>
      </c>
      <c r="I2076" s="3">
        <v>45150.595590277779</v>
      </c>
      <c r="J2076" s="3">
        <v>44259.813888888886</v>
      </c>
      <c r="K2076" cm="1">
        <f t="array" ref="K2076">sentimentCalc(C2076)</f>
        <v>6</v>
      </c>
      <c r="L2076" t="str" cm="1">
        <f t="array" ref="L2076">sentimentCategory(K2076)</f>
        <v>Positive</v>
      </c>
    </row>
    <row r="2077" spans="1:12" x14ac:dyDescent="0.25">
      <c r="A2077" t="s">
        <v>41</v>
      </c>
      <c r="B2077" t="s">
        <v>631</v>
      </c>
      <c r="C2077" t="str" cm="1">
        <f t="array" ref="C2077">CleanText(B2077)</f>
        <v>love  mum i have cleans the</v>
      </c>
      <c r="D2077">
        <v>0</v>
      </c>
      <c r="E2077">
        <v>0</v>
      </c>
      <c r="F2077" t="s">
        <v>10</v>
      </c>
      <c r="G2077" t="str" cm="1">
        <f t="array" ref="G2077">FindCountryName(F2077)</f>
        <v>None</v>
      </c>
      <c r="H2077" s="3">
        <v>45314.591469907406</v>
      </c>
      <c r="I2077" s="3">
        <v>45314.591469907406</v>
      </c>
      <c r="J2077" s="3">
        <v>45314.589062500003</v>
      </c>
      <c r="K2077" cm="1">
        <f t="array" ref="K2077">sentimentCalc(C2077)</f>
        <v>3</v>
      </c>
      <c r="L2077" t="str" cm="1">
        <f t="array" ref="L2077">sentimentCategory(K2077)</f>
        <v>Positive</v>
      </c>
    </row>
    <row r="2078" spans="1:12" x14ac:dyDescent="0.25">
      <c r="A2078" t="s">
        <v>47</v>
      </c>
      <c r="B2078" t="s">
        <v>48</v>
      </c>
      <c r="C2078" t="str" cm="1">
        <f t="array" ref="C2078">CleanText(B2078)</f>
        <v>love from india</v>
      </c>
      <c r="D2078">
        <v>0</v>
      </c>
      <c r="E2078">
        <v>0</v>
      </c>
      <c r="F2078" t="s">
        <v>10</v>
      </c>
      <c r="G2078" t="str" cm="1">
        <f t="array" ref="G2078">FindCountryName(F2078)</f>
        <v>None</v>
      </c>
      <c r="H2078" s="3">
        <v>45345.535601851851</v>
      </c>
      <c r="I2078" s="3">
        <v>45345.535601851851</v>
      </c>
      <c r="J2078" s="3">
        <v>44387.247673611113</v>
      </c>
      <c r="K2078" cm="1">
        <f t="array" ref="K2078">sentimentCalc(C2078)</f>
        <v>3</v>
      </c>
      <c r="L2078" t="str" cm="1">
        <f t="array" ref="L2078">sentimentCategory(K2078)</f>
        <v>Positive</v>
      </c>
    </row>
    <row r="2079" spans="1:12" x14ac:dyDescent="0.25">
      <c r="A2079" t="s">
        <v>3205</v>
      </c>
      <c r="B2079" t="s">
        <v>3206</v>
      </c>
      <c r="C2079" t="str" cm="1">
        <f t="array" ref="C2079">CleanText(B2079)</f>
        <v>love how this movie completely destroys modern feminism very based movie good job hollywood</v>
      </c>
      <c r="D2079">
        <v>1</v>
      </c>
      <c r="E2079">
        <v>0</v>
      </c>
      <c r="F2079" t="s">
        <v>10</v>
      </c>
      <c r="G2079" t="str" cm="1">
        <f t="array" ref="G2079">FindCountryName(F2079)</f>
        <v>None</v>
      </c>
      <c r="H2079" s="3">
        <v>45151.946736111109</v>
      </c>
      <c r="I2079" s="3">
        <v>45151.946736111109</v>
      </c>
      <c r="J2079" s="3">
        <v>40369.891585648147</v>
      </c>
      <c r="K2079" cm="1">
        <f t="array" ref="K2079">sentimentCalc(C2079)</f>
        <v>3</v>
      </c>
      <c r="L2079" t="str" cm="1">
        <f t="array" ref="L2079">sentimentCategory(K2079)</f>
        <v>Positive</v>
      </c>
    </row>
    <row r="2080" spans="1:12" x14ac:dyDescent="0.25">
      <c r="A2080" t="s">
        <v>804</v>
      </c>
      <c r="B2080" t="s">
        <v>2708</v>
      </c>
      <c r="C2080" t="str" cm="1">
        <f t="array" ref="C2080">CleanText(B2080)</f>
        <v>love it</v>
      </c>
      <c r="D2080">
        <v>0</v>
      </c>
      <c r="E2080">
        <v>0</v>
      </c>
      <c r="F2080" t="s">
        <v>10</v>
      </c>
      <c r="G2080" t="str" cm="1">
        <f t="array" ref="G2080">FindCountryName(F2080)</f>
        <v>None</v>
      </c>
      <c r="H2080" s="3">
        <v>45159.474432870367</v>
      </c>
      <c r="I2080" s="3">
        <v>45159.474421296298</v>
      </c>
      <c r="J2080" s="3">
        <v>39639.737662037034</v>
      </c>
      <c r="K2080" cm="1">
        <f t="array" ref="K2080">sentimentCalc(C2080)</f>
        <v>3</v>
      </c>
      <c r="L2080" t="str" cm="1">
        <f t="array" ref="L2080">sentimentCategory(K2080)</f>
        <v>Positive</v>
      </c>
    </row>
    <row r="2081" spans="1:12" x14ac:dyDescent="0.25">
      <c r="A2081" t="s">
        <v>105</v>
      </c>
      <c r="B2081" t="s">
        <v>3844</v>
      </c>
      <c r="C2081" t="str" cm="1">
        <f t="array" ref="C2081">CleanText(B2081)</f>
        <v>love ken</v>
      </c>
      <c r="D2081">
        <v>0</v>
      </c>
      <c r="E2081">
        <v>0</v>
      </c>
      <c r="F2081" t="s">
        <v>10</v>
      </c>
      <c r="G2081" t="str" cm="1">
        <f t="array" ref="G2081">FindCountryName(F2081)</f>
        <v>None</v>
      </c>
      <c r="H2081" s="3">
        <v>45145.033159722225</v>
      </c>
      <c r="I2081" s="3">
        <v>45145.033159722225</v>
      </c>
      <c r="J2081" s="3">
        <v>45145.033136574071</v>
      </c>
      <c r="K2081" cm="1">
        <f t="array" ref="K2081">sentimentCalc(C2081)</f>
        <v>3</v>
      </c>
      <c r="L2081" t="str" cm="1">
        <f t="array" ref="L2081">sentimentCategory(K2081)</f>
        <v>Positive</v>
      </c>
    </row>
    <row r="2082" spans="1:12" x14ac:dyDescent="0.25">
      <c r="A2082" t="s">
        <v>3992</v>
      </c>
      <c r="B2082" t="s">
        <v>3993</v>
      </c>
      <c r="C2082" t="str" cm="1">
        <f t="array" ref="C2082">CleanText(B2082)</f>
        <v>love or hate if u watch the movie producerteam are happy</v>
      </c>
      <c r="D2082">
        <v>0</v>
      </c>
      <c r="E2082">
        <v>0</v>
      </c>
      <c r="F2082" t="s">
        <v>10</v>
      </c>
      <c r="G2082" t="str" cm="1">
        <f t="array" ref="G2082">FindCountryName(F2082)</f>
        <v>None</v>
      </c>
      <c r="H2082" s="3">
        <v>45143.911631944444</v>
      </c>
      <c r="I2082" s="3">
        <v>45143.911631944444</v>
      </c>
      <c r="J2082" s="3">
        <v>42500.447337962964</v>
      </c>
      <c r="K2082" cm="1">
        <f t="array" ref="K2082">sentimentCalc(C2082)</f>
        <v>3</v>
      </c>
      <c r="L2082" t="str" cm="1">
        <f t="array" ref="L2082">sentimentCategory(K2082)</f>
        <v>Positive</v>
      </c>
    </row>
    <row r="2083" spans="1:12" x14ac:dyDescent="0.25">
      <c r="A2083" t="s">
        <v>197</v>
      </c>
      <c r="B2083" t="s">
        <v>4396</v>
      </c>
      <c r="C2083" t="str" cm="1">
        <f t="array" ref="C2083">CleanText(B2083)</f>
        <v>love this</v>
      </c>
      <c r="D2083">
        <v>0</v>
      </c>
      <c r="E2083">
        <v>1</v>
      </c>
      <c r="F2083" t="s">
        <v>10</v>
      </c>
      <c r="G2083" t="str" cm="1">
        <f t="array" ref="G2083">FindCountryName(F2083)</f>
        <v>None</v>
      </c>
      <c r="H2083" s="3">
        <v>45140.468263888892</v>
      </c>
      <c r="I2083" s="3">
        <v>45140.468263888892</v>
      </c>
      <c r="J2083" s="3">
        <v>41980.493946759256</v>
      </c>
      <c r="K2083" cm="1">
        <f t="array" ref="K2083">sentimentCalc(C2083)</f>
        <v>3</v>
      </c>
      <c r="L2083" t="str" cm="1">
        <f t="array" ref="L2083">sentimentCategory(K2083)</f>
        <v>Positive</v>
      </c>
    </row>
    <row r="2084" spans="1:12" x14ac:dyDescent="0.25">
      <c r="A2084" t="s">
        <v>1195</v>
      </c>
      <c r="B2084" t="s">
        <v>1854</v>
      </c>
      <c r="C2084" t="str" cm="1">
        <f t="array" ref="C2084">CleanText(B2084)</f>
        <v>love this film so much</v>
      </c>
      <c r="D2084">
        <v>2</v>
      </c>
      <c r="E2084">
        <v>1</v>
      </c>
      <c r="F2084" t="s">
        <v>10</v>
      </c>
      <c r="G2084" t="str" cm="1">
        <f t="array" ref="G2084">FindCountryName(F2084)</f>
        <v>None</v>
      </c>
      <c r="H2084" s="3">
        <v>45190.747719907406</v>
      </c>
      <c r="I2084" s="3">
        <v>45190.747719907406</v>
      </c>
      <c r="J2084" s="3">
        <v>41405.150497685187</v>
      </c>
      <c r="K2084" cm="1">
        <f t="array" ref="K2084">sentimentCalc(C2084)</f>
        <v>3</v>
      </c>
      <c r="L2084" t="str" cm="1">
        <f t="array" ref="L2084">sentimentCategory(K2084)</f>
        <v>Positive</v>
      </c>
    </row>
    <row r="2085" spans="1:12" x14ac:dyDescent="0.25">
      <c r="A2085" t="s">
        <v>893</v>
      </c>
      <c r="B2085" t="s">
        <v>3458</v>
      </c>
      <c r="C2085" t="str" cm="1">
        <f t="array" ref="C2085">CleanText(B2085)</f>
        <v>love to see it</v>
      </c>
      <c r="D2085">
        <v>1</v>
      </c>
      <c r="E2085">
        <v>0</v>
      </c>
      <c r="F2085" t="s">
        <v>10</v>
      </c>
      <c r="G2085" t="str" cm="1">
        <f t="array" ref="G2085">FindCountryName(F2085)</f>
        <v>None</v>
      </c>
      <c r="H2085" s="3">
        <v>45148.641828703701</v>
      </c>
      <c r="I2085" s="3">
        <v>45148.641828703701</v>
      </c>
      <c r="J2085" s="3">
        <v>39439.568923611114</v>
      </c>
      <c r="K2085" cm="1">
        <f t="array" ref="K2085">sentimentCalc(C2085)</f>
        <v>3</v>
      </c>
      <c r="L2085" t="str" cm="1">
        <f t="array" ref="L2085">sentimentCategory(K2085)</f>
        <v>Positive</v>
      </c>
    </row>
    <row r="2086" spans="1:12" x14ac:dyDescent="0.25">
      <c r="A2086" t="s">
        <v>2388</v>
      </c>
      <c r="B2086" t="s">
        <v>3532</v>
      </c>
      <c r="C2086" t="str" cm="1">
        <f t="array" ref="C2086">CleanText(B2086)</f>
        <v>love you</v>
      </c>
      <c r="D2086">
        <v>0</v>
      </c>
      <c r="E2086">
        <v>0</v>
      </c>
      <c r="F2086" t="s">
        <v>10</v>
      </c>
      <c r="G2086" t="str" cm="1">
        <f t="array" ref="G2086">FindCountryName(F2086)</f>
        <v>None</v>
      </c>
      <c r="H2086" s="3">
        <v>45147.784930555557</v>
      </c>
      <c r="I2086" s="3">
        <v>45147.784930555557</v>
      </c>
      <c r="J2086" s="3">
        <v>44108.481180555558</v>
      </c>
      <c r="K2086" cm="1">
        <f t="array" ref="K2086">sentimentCalc(C2086)</f>
        <v>3</v>
      </c>
      <c r="L2086" t="str" cm="1">
        <f t="array" ref="L2086">sentimentCategory(K2086)</f>
        <v>Positive</v>
      </c>
    </row>
    <row r="2087" spans="1:12" x14ac:dyDescent="0.25">
      <c r="A2087" t="s">
        <v>49</v>
      </c>
      <c r="B2087" t="s">
        <v>2145</v>
      </c>
      <c r="C2087" t="str" cm="1">
        <f t="array" ref="C2087">CleanText(B2087)</f>
        <v>love</v>
      </c>
      <c r="D2087">
        <v>0</v>
      </c>
      <c r="E2087">
        <v>0</v>
      </c>
      <c r="F2087" t="s">
        <v>10</v>
      </c>
      <c r="G2087" t="str" cm="1">
        <f t="array" ref="G2087">FindCountryName(F2087)</f>
        <v>None</v>
      </c>
      <c r="H2087" s="3">
        <v>45178.48909722222</v>
      </c>
      <c r="I2087" s="3">
        <v>45178.48909722222</v>
      </c>
      <c r="J2087" s="3">
        <v>45165.203923611109</v>
      </c>
      <c r="K2087" cm="1">
        <f t="array" ref="K2087">sentimentCalc(C2087)</f>
        <v>3</v>
      </c>
      <c r="L2087" t="str" cm="1">
        <f t="array" ref="L2087">sentimentCategory(K2087)</f>
        <v>Positive</v>
      </c>
    </row>
    <row r="2088" spans="1:12" x14ac:dyDescent="0.25">
      <c r="A2088" t="s">
        <v>624</v>
      </c>
      <c r="B2088" t="s">
        <v>2935</v>
      </c>
      <c r="C2088" t="str" cm="1">
        <f t="array" ref="C2088">CleanText(B2088)</f>
        <v>loved by covidiots worldwide</v>
      </c>
      <c r="D2088">
        <v>0</v>
      </c>
      <c r="E2088">
        <v>4</v>
      </c>
      <c r="F2088" t="s">
        <v>10</v>
      </c>
      <c r="G2088" t="str" cm="1">
        <f t="array" ref="G2088">FindCountryName(F2088)</f>
        <v>None</v>
      </c>
      <c r="H2088" s="3">
        <v>45155.70585648148</v>
      </c>
      <c r="I2088" s="3">
        <v>45155.70585648148</v>
      </c>
      <c r="J2088" s="3">
        <v>44294.774976851855</v>
      </c>
      <c r="K2088" cm="1">
        <f t="array" ref="K2088">sentimentCalc(C2088)</f>
        <v>3</v>
      </c>
      <c r="L2088" t="str" cm="1">
        <f t="array" ref="L2088">sentimentCategory(K2088)</f>
        <v>Positive</v>
      </c>
    </row>
    <row r="2089" spans="1:12" x14ac:dyDescent="0.25">
      <c r="A2089" t="s">
        <v>60</v>
      </c>
      <c r="B2089" t="s">
        <v>3968</v>
      </c>
      <c r="C2089" t="str" cm="1">
        <f t="array" ref="C2089">CleanText(B2089)</f>
        <v>loved it</v>
      </c>
      <c r="D2089">
        <v>9</v>
      </c>
      <c r="E2089">
        <v>0</v>
      </c>
      <c r="F2089" t="s">
        <v>10</v>
      </c>
      <c r="G2089" t="str" cm="1">
        <f t="array" ref="G2089">FindCountryName(F2089)</f>
        <v>None</v>
      </c>
      <c r="H2089" s="3">
        <v>45144.136643518519</v>
      </c>
      <c r="I2089" s="3">
        <v>45144.136643518519</v>
      </c>
      <c r="J2089" s="3">
        <v>43923.320752314816</v>
      </c>
      <c r="K2089" cm="1">
        <f t="array" ref="K2089">sentimentCalc(C2089)</f>
        <v>3</v>
      </c>
      <c r="L2089" t="str" cm="1">
        <f t="array" ref="L2089">sentimentCategory(K2089)</f>
        <v>Positive</v>
      </c>
    </row>
    <row r="2090" spans="1:12" x14ac:dyDescent="0.25">
      <c r="A2090" t="s">
        <v>442</v>
      </c>
      <c r="B2090" t="s">
        <v>1298</v>
      </c>
      <c r="C2090" t="str" cm="1">
        <f t="array" ref="C2090">CleanText(B2090)</f>
        <v>loved ryan gosling as ken the movie got lost in the rd act should have been shortened and id give it a</v>
      </c>
      <c r="D2090">
        <v>3</v>
      </c>
      <c r="E2090">
        <v>0</v>
      </c>
      <c r="F2090" t="s">
        <v>10</v>
      </c>
      <c r="G2090" t="str" cm="1">
        <f t="array" ref="G2090">FindCountryName(F2090)</f>
        <v>None</v>
      </c>
      <c r="H2090" s="3">
        <v>45255.781064814815</v>
      </c>
      <c r="I2090" s="3">
        <v>45255.781064814815</v>
      </c>
      <c r="J2090" s="3">
        <v>44031.591840277775</v>
      </c>
      <c r="K2090" cm="1">
        <f t="array" ref="K2090">sentimentCalc(C2090)</f>
        <v>0</v>
      </c>
      <c r="L2090" t="str" cm="1">
        <f t="array" ref="L2090">sentimentCategory(K2090)</f>
        <v>Neutral</v>
      </c>
    </row>
    <row r="2091" spans="1:12" x14ac:dyDescent="0.25">
      <c r="A2091" t="s">
        <v>2872</v>
      </c>
      <c r="B2091" t="s">
        <v>3112</v>
      </c>
      <c r="C2091" t="str" cm="1">
        <f t="array" ref="C2091">CleanText(B2091)</f>
        <v>loved the trailer</v>
      </c>
      <c r="D2091">
        <v>1</v>
      </c>
      <c r="E2091">
        <v>0</v>
      </c>
      <c r="F2091" t="s">
        <v>10</v>
      </c>
      <c r="G2091" t="str" cm="1">
        <f t="array" ref="G2091">FindCountryName(F2091)</f>
        <v>None</v>
      </c>
      <c r="H2091" s="3">
        <v>45153.304745370369</v>
      </c>
      <c r="I2091" s="3">
        <v>45153.304745370369</v>
      </c>
      <c r="J2091" s="3">
        <v>42897.231909722221</v>
      </c>
      <c r="K2091" cm="1">
        <f t="array" ref="K2091">sentimentCalc(C2091)</f>
        <v>3</v>
      </c>
      <c r="L2091" t="str" cm="1">
        <f t="array" ref="L2091">sentimentCategory(K2091)</f>
        <v>Positive</v>
      </c>
    </row>
    <row r="2092" spans="1:12" x14ac:dyDescent="0.25">
      <c r="A2092" t="s">
        <v>298</v>
      </c>
      <c r="B2092" t="s">
        <v>299</v>
      </c>
      <c r="C2092" t="str" cm="1">
        <f t="array" ref="C2092">CleanText(B2092)</f>
        <v>loved</v>
      </c>
      <c r="D2092">
        <v>0</v>
      </c>
      <c r="E2092">
        <v>0</v>
      </c>
      <c r="F2092" t="s">
        <v>10</v>
      </c>
      <c r="G2092" t="str" cm="1">
        <f t="array" ref="G2092">FindCountryName(F2092)</f>
        <v>None</v>
      </c>
      <c r="H2092" s="3">
        <v>45322.391319444447</v>
      </c>
      <c r="I2092" s="3">
        <v>45322.391319444447</v>
      </c>
      <c r="J2092" s="3">
        <v>40878.547395833331</v>
      </c>
      <c r="K2092" cm="1">
        <f t="array" ref="K2092">sentimentCalc(C2092)</f>
        <v>3</v>
      </c>
      <c r="L2092" t="str" cm="1">
        <f t="array" ref="L2092">sentimentCategory(K2092)</f>
        <v>Positive</v>
      </c>
    </row>
    <row r="2093" spans="1:12" x14ac:dyDescent="0.25">
      <c r="A2093" t="s">
        <v>90</v>
      </c>
      <c r="B2093" t="s">
        <v>2353</v>
      </c>
      <c r="C2093" t="str" cm="1">
        <f t="array" ref="C2093">CleanText(B2093)</f>
        <v>lucu bngt</v>
      </c>
      <c r="D2093">
        <v>0</v>
      </c>
      <c r="E2093">
        <v>0</v>
      </c>
      <c r="F2093" t="s">
        <v>10</v>
      </c>
      <c r="G2093" t="str" cm="1">
        <f t="array" ref="G2093">FindCountryName(F2093)</f>
        <v>None</v>
      </c>
      <c r="H2093" s="3">
        <v>45171.247314814813</v>
      </c>
      <c r="I2093" s="3">
        <v>45171.247314814813</v>
      </c>
      <c r="J2093" s="3">
        <v>44218.842361111114</v>
      </c>
      <c r="K2093" cm="1">
        <f t="array" ref="K2093">sentimentCalc(C2093)</f>
        <v>0</v>
      </c>
      <c r="L2093" t="str" cm="1">
        <f t="array" ref="L2093">sentimentCategory(K2093)</f>
        <v>Neutral</v>
      </c>
    </row>
    <row r="2094" spans="1:12" x14ac:dyDescent="0.25">
      <c r="A2094" t="s">
        <v>512</v>
      </c>
      <c r="B2094" t="s">
        <v>2678</v>
      </c>
      <c r="C2094" t="str" cm="1">
        <f t="array" ref="C2094">CleanText(B2094)</f>
        <v>lzlalakakslalaak</v>
      </c>
      <c r="D2094">
        <v>0</v>
      </c>
      <c r="E2094">
        <v>0</v>
      </c>
      <c r="F2094" t="s">
        <v>10</v>
      </c>
      <c r="G2094" t="str" cm="1">
        <f t="array" ref="G2094">FindCountryName(F2094)</f>
        <v>None</v>
      </c>
      <c r="H2094" s="3">
        <v>45160.251331018517</v>
      </c>
      <c r="I2094" s="3">
        <v>45160.251331018517</v>
      </c>
      <c r="J2094" s="3">
        <v>44750.233194444445</v>
      </c>
      <c r="K2094" cm="1">
        <f t="array" ref="K2094">sentimentCalc(C2094)</f>
        <v>0</v>
      </c>
      <c r="L2094" t="str" cm="1">
        <f t="array" ref="L2094">sentimentCategory(K2094)</f>
        <v>Neutral</v>
      </c>
    </row>
    <row r="2095" spans="1:12" x14ac:dyDescent="0.25">
      <c r="A2095" t="s">
        <v>523</v>
      </c>
      <c r="B2095" t="s">
        <v>3863</v>
      </c>
      <c r="C2095" t="str" cm="1">
        <f t="array" ref="C2095">CleanText(B2095)</f>
        <v>m jjbdjbd</v>
      </c>
      <c r="D2095">
        <v>0</v>
      </c>
      <c r="E2095">
        <v>0</v>
      </c>
      <c r="F2095" t="s">
        <v>10</v>
      </c>
      <c r="G2095" t="str" cm="1">
        <f t="array" ref="G2095">FindCountryName(F2095)</f>
        <v>None</v>
      </c>
      <c r="H2095" s="3">
        <v>45144.911203703705</v>
      </c>
      <c r="I2095" s="3">
        <v>45144.911203703705</v>
      </c>
      <c r="J2095" s="3">
        <v>45144.911192129628</v>
      </c>
      <c r="K2095" cm="1">
        <f t="array" ref="K2095">sentimentCalc(C2095)</f>
        <v>0</v>
      </c>
      <c r="L2095" t="str" cm="1">
        <f t="array" ref="L2095">sentimentCategory(K2095)</f>
        <v>Neutral</v>
      </c>
    </row>
    <row r="2096" spans="1:12" x14ac:dyDescent="0.25">
      <c r="A2096" t="s">
        <v>512</v>
      </c>
      <c r="B2096" t="s">
        <v>513</v>
      </c>
      <c r="C2096" t="str" cm="1">
        <f t="array" ref="C2096">CleanText(B2096)</f>
        <v>mhteem bir film</v>
      </c>
      <c r="D2096">
        <v>0</v>
      </c>
      <c r="E2096">
        <v>0</v>
      </c>
      <c r="F2096" t="s">
        <v>10</v>
      </c>
      <c r="G2096" t="str" cm="1">
        <f t="array" ref="G2096">FindCountryName(F2096)</f>
        <v>None</v>
      </c>
      <c r="H2096" s="3">
        <v>45317.423148148147</v>
      </c>
      <c r="I2096" s="3">
        <v>45317.423148148147</v>
      </c>
      <c r="J2096" s="3">
        <v>44900.623865740738</v>
      </c>
      <c r="K2096" cm="1">
        <f t="array" ref="K2096">sentimentCalc(C2096)</f>
        <v>0</v>
      </c>
      <c r="L2096" t="str" cm="1">
        <f t="array" ref="L2096">sentimentCategory(K2096)</f>
        <v>Neutral</v>
      </c>
    </row>
    <row r="2097" spans="1:12" x14ac:dyDescent="0.25">
      <c r="A2097" t="s">
        <v>54</v>
      </c>
      <c r="B2097" t="s">
        <v>353</v>
      </c>
      <c r="C2097" t="str" cm="1">
        <f t="array" ref="C2097">CleanText(B2097)</f>
        <v>mkemel bir filim ve ok kaliteli olmus</v>
      </c>
      <c r="D2097">
        <v>0</v>
      </c>
      <c r="E2097">
        <v>0</v>
      </c>
      <c r="F2097" t="s">
        <v>10</v>
      </c>
      <c r="G2097" t="str" cm="1">
        <f t="array" ref="G2097">FindCountryName(F2097)</f>
        <v>None</v>
      </c>
      <c r="H2097" s="3">
        <v>45322.276307870372</v>
      </c>
      <c r="I2097" s="3">
        <v>45322.276307870372</v>
      </c>
      <c r="J2097" s="3">
        <v>44782.212534722225</v>
      </c>
      <c r="K2097" cm="1">
        <f t="array" ref="K2097">sentimentCalc(C2097)</f>
        <v>0</v>
      </c>
      <c r="L2097" t="str" cm="1">
        <f t="array" ref="L2097">sentimentCategory(K2097)</f>
        <v>Neutral</v>
      </c>
    </row>
    <row r="2098" spans="1:12" x14ac:dyDescent="0.25">
      <c r="A2098" t="s">
        <v>553</v>
      </c>
      <c r="B2098" t="s">
        <v>798</v>
      </c>
      <c r="C2098" t="str" cm="1">
        <f t="array" ref="C2098">CleanText(B2098)</f>
        <v>mkemmel</v>
      </c>
      <c r="D2098">
        <v>0</v>
      </c>
      <c r="E2098">
        <v>0</v>
      </c>
      <c r="F2098" t="s">
        <v>10</v>
      </c>
      <c r="G2098" t="str" cm="1">
        <f t="array" ref="G2098">FindCountryName(F2098)</f>
        <v>None</v>
      </c>
      <c r="H2098" s="3">
        <v>45308.251226851855</v>
      </c>
      <c r="I2098" s="3">
        <v>45308.251226851855</v>
      </c>
      <c r="J2098" s="3">
        <v>43783.628472222219</v>
      </c>
      <c r="K2098" cm="1">
        <f t="array" ref="K2098">sentimentCalc(C2098)</f>
        <v>0</v>
      </c>
      <c r="L2098" t="str" cm="1">
        <f t="array" ref="L2098">sentimentCategory(K2098)</f>
        <v>Neutral</v>
      </c>
    </row>
    <row r="2099" spans="1:12" x14ac:dyDescent="0.25">
      <c r="A2099" t="s">
        <v>122</v>
      </c>
      <c r="B2099" t="s">
        <v>265</v>
      </c>
      <c r="C2099" t="str" cm="1">
        <f t="array" ref="C2099">CleanText(B2099)</f>
        <v>mkemmel tesi</v>
      </c>
      <c r="D2099">
        <v>0</v>
      </c>
      <c r="E2099">
        <v>0</v>
      </c>
      <c r="F2099" t="s">
        <v>10</v>
      </c>
      <c r="G2099" t="str" cm="1">
        <f t="array" ref="G2099">FindCountryName(F2099)</f>
        <v>None</v>
      </c>
      <c r="H2099" s="3">
        <v>45323.241736111115</v>
      </c>
      <c r="I2099" s="3">
        <v>45323.241736111115</v>
      </c>
      <c r="J2099" s="3">
        <v>44303.844606481478</v>
      </c>
      <c r="K2099" cm="1">
        <f t="array" ref="K2099">sentimentCalc(C2099)</f>
        <v>0</v>
      </c>
      <c r="L2099" t="str" cm="1">
        <f t="array" ref="L2099">sentimentCategory(K2099)</f>
        <v>Neutral</v>
      </c>
    </row>
    <row r="2100" spans="1:12" x14ac:dyDescent="0.25">
      <c r="A2100" t="s">
        <v>415</v>
      </c>
      <c r="B2100" t="s">
        <v>416</v>
      </c>
      <c r="C2100" t="str" cm="1">
        <f t="array" ref="C2100">CleanText(B2100)</f>
        <v>mkemmel tesi</v>
      </c>
      <c r="D2100">
        <v>0</v>
      </c>
      <c r="E2100">
        <v>0</v>
      </c>
      <c r="F2100" t="s">
        <v>227</v>
      </c>
      <c r="G2100" t="str" cm="1">
        <f t="array" ref="G2100">FindCountryName(F2100)</f>
        <v>United States of America (the)</v>
      </c>
      <c r="H2100" s="3">
        <v>45322.272222222222</v>
      </c>
      <c r="I2100" s="3">
        <v>45322.272222222222</v>
      </c>
      <c r="J2100" s="3">
        <v>43308.53634259259</v>
      </c>
      <c r="K2100" cm="1">
        <f t="array" ref="K2100">sentimentCalc(C2100)</f>
        <v>0</v>
      </c>
      <c r="L2100" t="str" cm="1">
        <f t="array" ref="L2100">sentimentCategory(K2100)</f>
        <v>Neutral</v>
      </c>
    </row>
    <row r="2101" spans="1:12" x14ac:dyDescent="0.25">
      <c r="A2101" t="s">
        <v>501</v>
      </c>
      <c r="B2101" t="s">
        <v>688</v>
      </c>
      <c r="C2101" t="str" cm="1">
        <f t="array" ref="C2101">CleanText(B2101)</f>
        <v>mkemmel bi kesit devamn bekliyoruz heyecanla</v>
      </c>
      <c r="D2101">
        <v>0</v>
      </c>
      <c r="E2101">
        <v>0</v>
      </c>
      <c r="F2101" t="s">
        <v>10</v>
      </c>
      <c r="G2101" t="str" cm="1">
        <f t="array" ref="G2101">FindCountryName(F2101)</f>
        <v>None</v>
      </c>
      <c r="H2101" s="3">
        <v>45314.27138888889</v>
      </c>
      <c r="I2101" s="3">
        <v>45314.27138888889</v>
      </c>
      <c r="J2101" s="3">
        <v>45314.261886574073</v>
      </c>
      <c r="K2101" cm="1">
        <f t="array" ref="K2101">sentimentCalc(C2101)</f>
        <v>0</v>
      </c>
      <c r="L2101" t="str" cm="1">
        <f t="array" ref="L2101">sentimentCategory(K2101)</f>
        <v>Neutral</v>
      </c>
    </row>
    <row r="2102" spans="1:12" x14ac:dyDescent="0.25">
      <c r="A2102" t="s">
        <v>442</v>
      </c>
      <c r="B2102" t="s">
        <v>1010</v>
      </c>
      <c r="C2102" t="str" cm="1">
        <f t="array" ref="C2102">CleanText(B2102)</f>
        <v>mkemmel bir film bizleri bekliyor tamamn izlemek iin sabrszlanyorum</v>
      </c>
      <c r="D2102">
        <v>0</v>
      </c>
      <c r="E2102">
        <v>0</v>
      </c>
      <c r="F2102" t="s">
        <v>10</v>
      </c>
      <c r="G2102" t="str" cm="1">
        <f t="array" ref="G2102">FindCountryName(F2102)</f>
        <v>None</v>
      </c>
      <c r="H2102" s="3">
        <v>45299.251944444448</v>
      </c>
      <c r="I2102" s="3">
        <v>45299.251944444448</v>
      </c>
      <c r="J2102" s="3">
        <v>41203.335081018522</v>
      </c>
      <c r="K2102" cm="1">
        <f t="array" ref="K2102">sentimentCalc(C2102)</f>
        <v>0</v>
      </c>
      <c r="L2102" t="str" cm="1">
        <f t="array" ref="L2102">sentimentCategory(K2102)</f>
        <v>Neutral</v>
      </c>
    </row>
    <row r="2103" spans="1:12" x14ac:dyDescent="0.25">
      <c r="A2103" t="s">
        <v>54</v>
      </c>
      <c r="B2103" t="s">
        <v>999</v>
      </c>
      <c r="C2103" t="str" cm="1">
        <f t="array" ref="C2103">CleanText(B2103)</f>
        <v>mkemmel bir film ve oscar hakediyor</v>
      </c>
      <c r="D2103">
        <v>0</v>
      </c>
      <c r="E2103">
        <v>0</v>
      </c>
      <c r="F2103" t="s">
        <v>10</v>
      </c>
      <c r="G2103" t="str" cm="1">
        <f t="array" ref="G2103">FindCountryName(F2103)</f>
        <v>None</v>
      </c>
      <c r="H2103" s="3">
        <v>45299.252465277779</v>
      </c>
      <c r="I2103" s="3">
        <v>45299.252465277779</v>
      </c>
      <c r="J2103" s="3">
        <v>43501.426516203705</v>
      </c>
      <c r="K2103" cm="1">
        <f t="array" ref="K2103">sentimentCalc(C2103)</f>
        <v>0</v>
      </c>
      <c r="L2103" t="str" cm="1">
        <f t="array" ref="L2103">sentimentCategory(K2103)</f>
        <v>Neutral</v>
      </c>
    </row>
    <row r="2104" spans="1:12" x14ac:dyDescent="0.25">
      <c r="A2104" t="s">
        <v>857</v>
      </c>
      <c r="B2104" t="s">
        <v>858</v>
      </c>
      <c r="C2104" t="str" cm="1">
        <f t="array" ref="C2104">CleanText(B2104)</f>
        <v>mkemmel harika sper bir film tebrikler</v>
      </c>
      <c r="D2104">
        <v>0</v>
      </c>
      <c r="E2104">
        <v>0</v>
      </c>
      <c r="F2104" t="s">
        <v>10</v>
      </c>
      <c r="G2104" t="str" cm="1">
        <f t="array" ref="G2104">FindCountryName(F2104)</f>
        <v>None</v>
      </c>
      <c r="H2104" s="3">
        <v>45300.122453703705</v>
      </c>
      <c r="I2104" s="3">
        <v>45300.122453703705</v>
      </c>
      <c r="J2104" s="3">
        <v>44907.826666666668</v>
      </c>
      <c r="K2104" cm="1">
        <f t="array" ref="K2104">sentimentCalc(C2104)</f>
        <v>0</v>
      </c>
      <c r="L2104" t="str" cm="1">
        <f t="array" ref="L2104">sentimentCategory(K2104)</f>
        <v>Neutral</v>
      </c>
    </row>
    <row r="2105" spans="1:12" x14ac:dyDescent="0.25">
      <c r="A2105" t="s">
        <v>173</v>
      </c>
      <c r="B2105" t="s">
        <v>677</v>
      </c>
      <c r="C2105" t="str" cm="1">
        <f t="array" ref="C2105">CleanText(B2105)</f>
        <v>mkemmel sinema</v>
      </c>
      <c r="D2105">
        <v>0</v>
      </c>
      <c r="E2105">
        <v>0</v>
      </c>
      <c r="F2105" t="s">
        <v>10</v>
      </c>
      <c r="G2105" t="str" cm="1">
        <f t="array" ref="G2105">FindCountryName(F2105)</f>
        <v>None</v>
      </c>
      <c r="H2105" s="3">
        <v>45314.272268518522</v>
      </c>
      <c r="I2105" s="3">
        <v>45314.272268518522</v>
      </c>
      <c r="J2105" s="3">
        <v>42759.940011574072</v>
      </c>
      <c r="K2105" cm="1">
        <f t="array" ref="K2105">sentimentCalc(C2105)</f>
        <v>0</v>
      </c>
      <c r="L2105" t="str" cm="1">
        <f t="array" ref="L2105">sentimentCategory(K2105)</f>
        <v>Neutral</v>
      </c>
    </row>
    <row r="2106" spans="1:12" x14ac:dyDescent="0.25">
      <c r="A2106" t="s">
        <v>449</v>
      </c>
      <c r="B2106" t="s">
        <v>450</v>
      </c>
      <c r="C2106" t="str" cm="1">
        <f t="array" ref="C2106">CleanText(B2106)</f>
        <v>mkemmel tavsiye ederim</v>
      </c>
      <c r="D2106">
        <v>0</v>
      </c>
      <c r="E2106">
        <v>0</v>
      </c>
      <c r="F2106" t="s">
        <v>10</v>
      </c>
      <c r="G2106" t="str" cm="1">
        <f t="array" ref="G2106">FindCountryName(F2106)</f>
        <v>None</v>
      </c>
      <c r="H2106" s="3">
        <v>45322.27134259259</v>
      </c>
      <c r="I2106" s="3">
        <v>45322.27134259259</v>
      </c>
      <c r="J2106" s="3">
        <v>42883.67732638889</v>
      </c>
      <c r="K2106" cm="1">
        <f t="array" ref="K2106">sentimentCalc(C2106)</f>
        <v>0</v>
      </c>
      <c r="L2106" t="str" cm="1">
        <f t="array" ref="L2106">sentimentCategory(K2106)</f>
        <v>Neutral</v>
      </c>
    </row>
    <row r="2107" spans="1:12" x14ac:dyDescent="0.25">
      <c r="A2107" t="s">
        <v>192</v>
      </c>
      <c r="B2107" t="s">
        <v>923</v>
      </c>
      <c r="C2107" t="str" cm="1">
        <f t="array" ref="C2107">CleanText(B2107)</f>
        <v>mkemmel ve srkleyici zellikle ocuklar iin glmsetecek bir film sayglar</v>
      </c>
      <c r="D2107">
        <v>0</v>
      </c>
      <c r="E2107">
        <v>0</v>
      </c>
      <c r="F2107" t="s">
        <v>10</v>
      </c>
      <c r="G2107" t="str" cm="1">
        <f t="array" ref="G2107">FindCountryName(F2107)</f>
        <v>None</v>
      </c>
      <c r="H2107" s="3">
        <v>45299.267685185187</v>
      </c>
      <c r="I2107" s="3">
        <v>45299.267685185187</v>
      </c>
      <c r="J2107" s="3">
        <v>45299.252627314818</v>
      </c>
      <c r="K2107" cm="1">
        <f t="array" ref="K2107">sentimentCalc(C2107)</f>
        <v>0</v>
      </c>
      <c r="L2107" t="str" cm="1">
        <f t="array" ref="L2107">sentimentCategory(K2107)</f>
        <v>Neutral</v>
      </c>
    </row>
    <row r="2108" spans="1:12" x14ac:dyDescent="0.25">
      <c r="A2108" t="s">
        <v>354</v>
      </c>
      <c r="B2108" t="s">
        <v>355</v>
      </c>
      <c r="C2108" t="str" cm="1">
        <f t="array" ref="C2108">CleanText(B2108)</f>
        <v>mkemmellll</v>
      </c>
      <c r="D2108">
        <v>0</v>
      </c>
      <c r="E2108">
        <v>0</v>
      </c>
      <c r="F2108" t="s">
        <v>10</v>
      </c>
      <c r="G2108" t="str" cm="1">
        <f t="array" ref="G2108">FindCountryName(F2108)</f>
        <v>None</v>
      </c>
      <c r="H2108" s="3">
        <v>45322.275682870371</v>
      </c>
      <c r="I2108" s="3">
        <v>45322.275682870371</v>
      </c>
      <c r="J2108" s="3">
        <v>42721.765717592592</v>
      </c>
      <c r="K2108" cm="1">
        <f t="array" ref="K2108">sentimentCalc(C2108)</f>
        <v>0</v>
      </c>
      <c r="L2108" t="str" cm="1">
        <f t="array" ref="L2108">sentimentCategory(K2108)</f>
        <v>Neutral</v>
      </c>
    </row>
    <row r="2109" spans="1:12" x14ac:dyDescent="0.25">
      <c r="A2109" t="s">
        <v>773</v>
      </c>
      <c r="B2109" t="s">
        <v>785</v>
      </c>
      <c r="C2109" t="str" cm="1">
        <f t="array" ref="C2109">CleanText(B2109)</f>
        <v>mkemmmel bir film</v>
      </c>
      <c r="D2109">
        <v>0</v>
      </c>
      <c r="E2109">
        <v>0</v>
      </c>
      <c r="F2109" t="s">
        <v>10</v>
      </c>
      <c r="G2109" t="str" cm="1">
        <f t="array" ref="G2109">FindCountryName(F2109)</f>
        <v>None</v>
      </c>
      <c r="H2109" s="3">
        <v>45308.259259259263</v>
      </c>
      <c r="I2109" s="3">
        <v>45308.260069444441</v>
      </c>
      <c r="J2109" s="3">
        <v>45308.259247685186</v>
      </c>
      <c r="K2109" cm="1">
        <f t="array" ref="K2109">sentimentCalc(C2109)</f>
        <v>0</v>
      </c>
      <c r="L2109" t="str" cm="1">
        <f t="array" ref="L2109">sentimentCategory(K2109)</f>
        <v>Neutral</v>
      </c>
    </row>
    <row r="2110" spans="1:12" x14ac:dyDescent="0.25">
      <c r="A2110" t="s">
        <v>472</v>
      </c>
      <c r="B2110" t="s">
        <v>2991</v>
      </c>
      <c r="C2110" t="str" cm="1">
        <f t="array" ref="C2110">CleanText(B2110)</f>
        <v>made me laugh and cry</v>
      </c>
      <c r="D2110">
        <v>2</v>
      </c>
      <c r="E2110">
        <v>0</v>
      </c>
      <c r="F2110" t="s">
        <v>10</v>
      </c>
      <c r="G2110" t="str" cm="1">
        <f t="array" ref="G2110">FindCountryName(F2110)</f>
        <v>None</v>
      </c>
      <c r="H2110" s="3">
        <v>45154.688078703701</v>
      </c>
      <c r="I2110" s="3">
        <v>45154.688078703701</v>
      </c>
      <c r="J2110" s="3">
        <v>43969.469398148147</v>
      </c>
      <c r="K2110" cm="1">
        <f t="array" ref="K2110">sentimentCalc(C2110)</f>
        <v>0</v>
      </c>
      <c r="L2110" t="str" cm="1">
        <f t="array" ref="L2110">sentimentCategory(K2110)</f>
        <v>Neutral</v>
      </c>
    </row>
    <row r="2111" spans="1:12" x14ac:dyDescent="0.25">
      <c r="A2111" t="s">
        <v>764</v>
      </c>
      <c r="B2111" t="s">
        <v>765</v>
      </c>
      <c r="C2111" t="str" cm="1">
        <f t="array" ref="C2111">CleanText(B2111)</f>
        <v>make chogoink franky with miguel as chogoink franky david zaslav good decision like barbie but better</v>
      </c>
      <c r="D2111">
        <v>0</v>
      </c>
      <c r="E2111">
        <v>0</v>
      </c>
      <c r="F2111" t="s">
        <v>10</v>
      </c>
      <c r="G2111" t="str" cm="1">
        <f t="array" ref="G2111">FindCountryName(F2111)</f>
        <v>None</v>
      </c>
      <c r="H2111" s="3">
        <v>45309.388124999998</v>
      </c>
      <c r="I2111" s="3">
        <v>45309.388124999998</v>
      </c>
      <c r="J2111" s="3">
        <v>40864.526307870372</v>
      </c>
      <c r="K2111" cm="1">
        <f t="array" ref="K2111">sentimentCalc(C2111)</f>
        <v>7</v>
      </c>
      <c r="L2111" t="str" cm="1">
        <f t="array" ref="L2111">sentimentCategory(K2111)</f>
        <v>Positive</v>
      </c>
    </row>
    <row r="2112" spans="1:12" x14ac:dyDescent="0.25">
      <c r="A2112" t="s">
        <v>1949</v>
      </c>
      <c r="B2112" t="s">
        <v>1950</v>
      </c>
      <c r="C2112" t="str" cm="1">
        <f t="array" ref="C2112">CleanText(B2112)</f>
        <v>make your own kind of music</v>
      </c>
      <c r="D2112">
        <v>1</v>
      </c>
      <c r="E2112">
        <v>0</v>
      </c>
      <c r="F2112" t="s">
        <v>10</v>
      </c>
      <c r="G2112" t="str" cm="1">
        <f t="array" ref="G2112">FindCountryName(F2112)</f>
        <v>None</v>
      </c>
      <c r="H2112" s="3">
        <v>45186.824305555558</v>
      </c>
      <c r="I2112" s="3">
        <v>45186.824305555558</v>
      </c>
      <c r="J2112" s="3">
        <v>45183.229178240741</v>
      </c>
      <c r="K2112" cm="1">
        <f t="array" ref="K2112">sentimentCalc(C2112)</f>
        <v>2</v>
      </c>
      <c r="L2112" t="str" cm="1">
        <f t="array" ref="L2112">sentimentCategory(K2112)</f>
        <v>Positive</v>
      </c>
    </row>
    <row r="2113" spans="1:12" x14ac:dyDescent="0.25">
      <c r="A2113" t="s">
        <v>641</v>
      </c>
      <c r="B2113" t="s">
        <v>642</v>
      </c>
      <c r="C2113" t="str" cm="1">
        <f t="array" ref="C2113">CleanText(B2113)</f>
        <v>makes sense this is crazy sexist but i didnt expect it to be so on the nose about it</v>
      </c>
      <c r="D2113">
        <v>1</v>
      </c>
      <c r="E2113">
        <v>3</v>
      </c>
      <c r="F2113" t="s">
        <v>10</v>
      </c>
      <c r="G2113" t="str" cm="1">
        <f t="array" ref="G2113">FindCountryName(F2113)</f>
        <v>None</v>
      </c>
      <c r="H2113" s="3">
        <v>45314.414085648146</v>
      </c>
      <c r="I2113" s="3">
        <v>45314.414085648146</v>
      </c>
      <c r="J2113" s="3">
        <v>40789.711157407408</v>
      </c>
      <c r="K2113" cm="1">
        <f t="array" ref="K2113">sentimentCalc(C2113)</f>
        <v>-2</v>
      </c>
      <c r="L2113" t="str" cm="1">
        <f t="array" ref="L2113">sentimentCategory(K2113)</f>
        <v>Negative</v>
      </c>
    </row>
    <row r="2114" spans="1:12" x14ac:dyDescent="0.25">
      <c r="A2114" t="s">
        <v>290</v>
      </c>
      <c r="B2114" t="s">
        <v>3652</v>
      </c>
      <c r="C2114" t="str" cm="1">
        <f t="array" ref="C2114">CleanText(B2114)</f>
        <v>man i cannot believe this garbage is even watched hollywood bs</v>
      </c>
      <c r="D2114">
        <v>1</v>
      </c>
      <c r="E2114">
        <v>0</v>
      </c>
      <c r="F2114" t="s">
        <v>10</v>
      </c>
      <c r="G2114" t="str" cm="1">
        <f t="array" ref="G2114">FindCountryName(F2114)</f>
        <v>None</v>
      </c>
      <c r="H2114" s="3">
        <v>45146.747858796298</v>
      </c>
      <c r="I2114" s="3">
        <v>45146.747858796298</v>
      </c>
      <c r="J2114" s="3">
        <v>42116.064675925925</v>
      </c>
      <c r="K2114" cm="1">
        <f t="array" ref="K2114">sentimentCalc(C2114)</f>
        <v>0</v>
      </c>
      <c r="L2114" t="str" cm="1">
        <f t="array" ref="L2114">sentimentCategory(K2114)</f>
        <v>Neutral</v>
      </c>
    </row>
    <row r="2115" spans="1:12" x14ac:dyDescent="0.25">
      <c r="A2115" t="s">
        <v>243</v>
      </c>
      <c r="B2115" t="s">
        <v>244</v>
      </c>
      <c r="C2115" t="str" cm="1">
        <f t="array" ref="C2115">CleanText(B2115)</f>
        <v>man is looking like karanthaper</v>
      </c>
      <c r="D2115">
        <v>0</v>
      </c>
      <c r="E2115">
        <v>0</v>
      </c>
      <c r="F2115" t="s">
        <v>10</v>
      </c>
      <c r="G2115" t="str" cm="1">
        <f t="array" ref="G2115">FindCountryName(F2115)</f>
        <v>None</v>
      </c>
      <c r="H2115" s="3">
        <v>45326.436249999999</v>
      </c>
      <c r="I2115" s="3">
        <v>45326.436249999999</v>
      </c>
      <c r="J2115" s="3">
        <v>45127.259652777779</v>
      </c>
      <c r="K2115" cm="1">
        <f t="array" ref="K2115">sentimentCalc(C2115)</f>
        <v>2</v>
      </c>
      <c r="L2115" t="str" cm="1">
        <f t="array" ref="L2115">sentimentCategory(K2115)</f>
        <v>Positive</v>
      </c>
    </row>
    <row r="2116" spans="1:12" x14ac:dyDescent="0.25">
      <c r="A2116" t="s">
        <v>442</v>
      </c>
      <c r="B2116" t="s">
        <v>823</v>
      </c>
      <c r="C2116" t="str" cm="1">
        <f t="array" ref="C2116">CleanText(B2116)</f>
        <v>man any movie similar to barbie it is one of a kind of a movie</v>
      </c>
      <c r="D2116">
        <v>0</v>
      </c>
      <c r="E2116">
        <v>3</v>
      </c>
      <c r="F2116" t="s">
        <v>10</v>
      </c>
      <c r="G2116" t="str" cm="1">
        <f t="array" ref="G2116">FindCountryName(F2116)</f>
        <v>None</v>
      </c>
      <c r="H2116" s="3">
        <v>45304.699537037035</v>
      </c>
      <c r="I2116" s="3">
        <v>45304.699537037035</v>
      </c>
      <c r="J2116" s="3">
        <v>44320.428425925929</v>
      </c>
      <c r="K2116" cm="1">
        <f t="array" ref="K2116">sentimentCalc(C2116)</f>
        <v>2</v>
      </c>
      <c r="L2116" t="str" cm="1">
        <f t="array" ref="L2116">sentimentCategory(K2116)</f>
        <v>Positive</v>
      </c>
    </row>
    <row r="2117" spans="1:12" x14ac:dyDescent="0.25">
      <c r="A2117" t="s">
        <v>186</v>
      </c>
      <c r="B2117" t="s">
        <v>1622</v>
      </c>
      <c r="C2117" t="str" cm="1">
        <f t="array" ref="C2117">CleanText(B2117)</f>
        <v>maravilha de filme engraado</v>
      </c>
      <c r="D2117">
        <v>0</v>
      </c>
      <c r="E2117">
        <v>0</v>
      </c>
      <c r="F2117" t="s">
        <v>10</v>
      </c>
      <c r="G2117" t="str" cm="1">
        <f t="array" ref="G2117">FindCountryName(F2117)</f>
        <v>None</v>
      </c>
      <c r="H2117" s="3">
        <v>45207.592719907407</v>
      </c>
      <c r="I2117" s="3">
        <v>45207.592719907407</v>
      </c>
      <c r="J2117" s="3">
        <v>42758.531319444446</v>
      </c>
      <c r="K2117" cm="1">
        <f t="array" ref="K2117">sentimentCalc(C2117)</f>
        <v>0</v>
      </c>
      <c r="L2117" t="str" cm="1">
        <f t="array" ref="L2117">sentimentCategory(K2117)</f>
        <v>Neutral</v>
      </c>
    </row>
    <row r="2118" spans="1:12" x14ac:dyDescent="0.25">
      <c r="A2118" t="s">
        <v>1142</v>
      </c>
      <c r="B2118" t="s">
        <v>1549</v>
      </c>
      <c r="C2118" t="str" cm="1">
        <f t="array" ref="C2118">CleanText(B2118)</f>
        <v>maravilhoso</v>
      </c>
      <c r="D2118">
        <v>2</v>
      </c>
      <c r="E2118">
        <v>0</v>
      </c>
      <c r="F2118" t="s">
        <v>10</v>
      </c>
      <c r="G2118" t="str" cm="1">
        <f t="array" ref="G2118">FindCountryName(F2118)</f>
        <v>None</v>
      </c>
      <c r="H2118" s="3">
        <v>45214.510868055557</v>
      </c>
      <c r="I2118" s="3">
        <v>45214.510868055557</v>
      </c>
      <c r="J2118" s="3">
        <v>42280.857164351852</v>
      </c>
      <c r="K2118" cm="1">
        <f t="array" ref="K2118">sentimentCalc(C2118)</f>
        <v>0</v>
      </c>
      <c r="L2118" t="str" cm="1">
        <f t="array" ref="L2118">sentimentCategory(K2118)</f>
        <v>Neutral</v>
      </c>
    </row>
    <row r="2119" spans="1:12" x14ac:dyDescent="0.25">
      <c r="A2119" t="s">
        <v>347</v>
      </c>
      <c r="B2119" t="s">
        <v>3016</v>
      </c>
      <c r="C2119" t="str" cm="1">
        <f t="array" ref="C2119">CleanText(B2119)</f>
        <v>margit is breathtaking and barbie is fascinating i love this movie</v>
      </c>
      <c r="D2119">
        <v>3</v>
      </c>
      <c r="E2119">
        <v>0</v>
      </c>
      <c r="F2119" t="s">
        <v>10</v>
      </c>
      <c r="G2119" t="str" cm="1">
        <f t="array" ref="G2119">FindCountryName(F2119)</f>
        <v>None</v>
      </c>
      <c r="H2119" s="3">
        <v>45154.462789351855</v>
      </c>
      <c r="I2119" s="3">
        <v>45154.462789351855</v>
      </c>
      <c r="J2119" s="3">
        <v>45153.644282407404</v>
      </c>
      <c r="K2119" cm="1">
        <f t="array" ref="K2119">sentimentCalc(C2119)</f>
        <v>11</v>
      </c>
      <c r="L2119" t="str" cm="1">
        <f t="array" ref="L2119">sentimentCategory(K2119)</f>
        <v>Positive</v>
      </c>
    </row>
    <row r="2120" spans="1:12" x14ac:dyDescent="0.25">
      <c r="A2120" t="s">
        <v>1938</v>
      </c>
      <c r="B2120" t="s">
        <v>1939</v>
      </c>
      <c r="C2120" t="str" cm="1">
        <f t="array" ref="C2120">CleanText(B2120)</f>
        <v>margo is is is is is</v>
      </c>
      <c r="D2120">
        <v>0</v>
      </c>
      <c r="E2120">
        <v>0</v>
      </c>
      <c r="F2120" t="s">
        <v>10</v>
      </c>
      <c r="G2120" t="str" cm="1">
        <f t="array" ref="G2120">FindCountryName(F2120)</f>
        <v>None</v>
      </c>
      <c r="H2120" s="3">
        <v>45187.158148148148</v>
      </c>
      <c r="I2120" s="3">
        <v>45187.158136574071</v>
      </c>
      <c r="J2120" s="3">
        <v>39705.102430555555</v>
      </c>
      <c r="K2120" cm="1">
        <f t="array" ref="K2120">sentimentCalc(C2120)</f>
        <v>0</v>
      </c>
      <c r="L2120" t="str" cm="1">
        <f t="array" ref="L2120">sentimentCategory(K2120)</f>
        <v>Neutral</v>
      </c>
    </row>
    <row r="2121" spans="1:12" x14ac:dyDescent="0.25">
      <c r="A2121" t="s">
        <v>2388</v>
      </c>
      <c r="B2121" t="s">
        <v>3488</v>
      </c>
      <c r="C2121" t="str" cm="1">
        <f t="array" ref="C2121">CleanText(B2121)</f>
        <v>margo</v>
      </c>
      <c r="D2121">
        <v>0</v>
      </c>
      <c r="E2121">
        <v>0</v>
      </c>
      <c r="F2121" t="s">
        <v>10</v>
      </c>
      <c r="G2121" t="str" cm="1">
        <f t="array" ref="G2121">FindCountryName(F2121)</f>
        <v>None</v>
      </c>
      <c r="H2121" s="3">
        <v>45148.354143518518</v>
      </c>
      <c r="I2121" s="3">
        <v>45148.354143518518</v>
      </c>
      <c r="J2121" s="3">
        <v>44771.299340277779</v>
      </c>
      <c r="K2121" cm="1">
        <f t="array" ref="K2121">sentimentCalc(C2121)</f>
        <v>0</v>
      </c>
      <c r="L2121" t="str" cm="1">
        <f t="array" ref="L2121">sentimentCategory(K2121)</f>
        <v>Neutral</v>
      </c>
    </row>
    <row r="2122" spans="1:12" x14ac:dyDescent="0.25">
      <c r="A2122" t="s">
        <v>4087</v>
      </c>
      <c r="B2122" t="s">
        <v>4088</v>
      </c>
      <c r="C2122" t="str" cm="1">
        <f t="array" ref="C2122">CleanText(B2122)</f>
        <v>margot have a talent  huge talent she is true barbie but with leo i was enjoying her performance better  no doubt she is the one  best wishes</v>
      </c>
      <c r="D2122">
        <v>0</v>
      </c>
      <c r="E2122">
        <v>0</v>
      </c>
      <c r="F2122" t="s">
        <v>10</v>
      </c>
      <c r="G2122" t="str" cm="1">
        <f t="array" ref="G2122">FindCountryName(F2122)</f>
        <v>None</v>
      </c>
      <c r="H2122" s="3">
        <v>45143.007418981484</v>
      </c>
      <c r="I2122" s="3">
        <v>45143.007418981484</v>
      </c>
      <c r="J2122" s="3">
        <v>40487.774386574078</v>
      </c>
      <c r="K2122" cm="1">
        <f t="array" ref="K2122">sentimentCalc(C2122)</f>
        <v>9</v>
      </c>
      <c r="L2122" t="str" cm="1">
        <f t="array" ref="L2122">sentimentCategory(K2122)</f>
        <v>Positive</v>
      </c>
    </row>
    <row r="2123" spans="1:12" x14ac:dyDescent="0.25">
      <c r="A2123" t="s">
        <v>1195</v>
      </c>
      <c r="B2123" t="s">
        <v>1853</v>
      </c>
      <c r="C2123" t="str" cm="1">
        <f t="array" ref="C2123">CleanText(B2123)</f>
        <v>margot is barbie</v>
      </c>
      <c r="D2123">
        <v>0</v>
      </c>
      <c r="E2123">
        <v>0</v>
      </c>
      <c r="F2123" t="s">
        <v>10</v>
      </c>
      <c r="G2123" t="str" cm="1">
        <f t="array" ref="G2123">FindCountryName(F2123)</f>
        <v>None</v>
      </c>
      <c r="H2123" s="3">
        <v>45190.7502662037</v>
      </c>
      <c r="I2123" s="3">
        <v>45190.7502662037</v>
      </c>
      <c r="J2123" s="3">
        <v>41405.150497685187</v>
      </c>
      <c r="K2123" cm="1">
        <f t="array" ref="K2123">sentimentCalc(C2123)</f>
        <v>0</v>
      </c>
      <c r="L2123" t="str" cm="1">
        <f t="array" ref="L2123">sentimentCategory(K2123)</f>
        <v>Neutral</v>
      </c>
    </row>
    <row r="2124" spans="1:12" x14ac:dyDescent="0.25">
      <c r="A2124" t="s">
        <v>2212</v>
      </c>
      <c r="B2124" t="s">
        <v>3208</v>
      </c>
      <c r="C2124" t="str" cm="1">
        <f t="array" ref="C2124">CleanText(B2124)</f>
        <v>margot is breathtaking and barbie is fascinating i love this movie</v>
      </c>
      <c r="D2124">
        <v>88</v>
      </c>
      <c r="E2124">
        <v>4</v>
      </c>
      <c r="F2124" t="s">
        <v>227</v>
      </c>
      <c r="G2124" t="str" cm="1">
        <f t="array" ref="G2124">FindCountryName(F2124)</f>
        <v>United States of America (the)</v>
      </c>
      <c r="H2124" s="3">
        <v>45151.925254629627</v>
      </c>
      <c r="I2124" s="3">
        <v>45151.925254629627</v>
      </c>
      <c r="J2124" s="3">
        <v>45096.179386574076</v>
      </c>
      <c r="K2124" cm="1">
        <f t="array" ref="K2124">sentimentCalc(C2124)</f>
        <v>11</v>
      </c>
      <c r="L2124" t="str" cm="1">
        <f t="array" ref="L2124">sentimentCategory(K2124)</f>
        <v>Positive</v>
      </c>
    </row>
    <row r="2125" spans="1:12" x14ac:dyDescent="0.25">
      <c r="A2125" t="s">
        <v>3269</v>
      </c>
      <c r="B2125" t="s">
        <v>3270</v>
      </c>
      <c r="C2125" t="str" cm="1">
        <f t="array" ref="C2125">CleanText(B2125)</f>
        <v>margot is the perfect choice for barbie she is stunning</v>
      </c>
      <c r="D2125">
        <v>521</v>
      </c>
      <c r="E2125">
        <v>40</v>
      </c>
      <c r="F2125" t="s">
        <v>3271</v>
      </c>
      <c r="G2125" t="str" cm="1">
        <f t="array" ref="G2125">FindCountryName(F2125)</f>
        <v>Nigeria</v>
      </c>
      <c r="H2125" s="3">
        <v>45150.976377314815</v>
      </c>
      <c r="I2125" s="3">
        <v>45150.976377314815</v>
      </c>
      <c r="J2125" s="3">
        <v>41060.387962962966</v>
      </c>
      <c r="K2125" cm="1">
        <f t="array" ref="K2125">sentimentCalc(C2125)</f>
        <v>7</v>
      </c>
      <c r="L2125" t="str" cm="1">
        <f t="array" ref="L2125">sentimentCategory(K2125)</f>
        <v>Positive</v>
      </c>
    </row>
    <row r="2126" spans="1:12" x14ac:dyDescent="0.25">
      <c r="A2126" t="s">
        <v>207</v>
      </c>
      <c r="B2126" t="s">
        <v>1377</v>
      </c>
      <c r="C2126" t="str" cm="1">
        <f t="array" ref="C2126">CleanText(B2126)</f>
        <v>margot played and nailed this movie and her role as barbie like she was real life barbie in that movie im unable to understand why she wanted to cast gal gadot for that role its not a good fit</v>
      </c>
      <c r="D2126">
        <v>2</v>
      </c>
      <c r="E2126">
        <v>0</v>
      </c>
      <c r="F2126" t="s">
        <v>10</v>
      </c>
      <c r="G2126" t="str" cm="1">
        <f t="array" ref="G2126">FindCountryName(F2126)</f>
        <v>None</v>
      </c>
      <c r="H2126" s="3">
        <v>45235.743773148148</v>
      </c>
      <c r="I2126" s="3">
        <v>45235.743773148148</v>
      </c>
      <c r="J2126" s="3">
        <v>39989.706689814811</v>
      </c>
      <c r="K2126" cm="1">
        <f t="array" ref="K2126">sentimentCalc(C2126)</f>
        <v>6</v>
      </c>
      <c r="L2126" t="str" cm="1">
        <f t="array" ref="L2126">sentimentCategory(K2126)</f>
        <v>Positive</v>
      </c>
    </row>
    <row r="2127" spans="1:12" x14ac:dyDescent="0.25">
      <c r="A2127" t="s">
        <v>269</v>
      </c>
      <c r="B2127" t="s">
        <v>270</v>
      </c>
      <c r="C2127" t="str" cm="1">
        <f t="array" ref="C2127">CleanText(B2127)</f>
        <v>margot robbie blew me away with her performance i enjoyed ryan gossling in this too also a big congratulations to mrs greta gerwig i call all women mrs no matter their marital status you may say that its not proper miss is a shortening of mistress which is what mrs derives from in reality ms is a shortening of ms so essentially its all the same</v>
      </c>
      <c r="D2127">
        <v>0</v>
      </c>
      <c r="E2127">
        <v>0</v>
      </c>
      <c r="F2127" t="s">
        <v>10</v>
      </c>
      <c r="G2127" t="str" cm="1">
        <f t="array" ref="G2127">FindCountryName(F2127)</f>
        <v>None</v>
      </c>
      <c r="H2127" s="3">
        <v>45322.768784722219</v>
      </c>
      <c r="I2127" s="3">
        <v>45322.768784722219</v>
      </c>
      <c r="J2127" s="3">
        <v>44725.02857638889</v>
      </c>
      <c r="K2127" cm="1">
        <f t="array" ref="K2127">sentimentCalc(C2127)</f>
        <v>1</v>
      </c>
      <c r="L2127" t="str" cm="1">
        <f t="array" ref="L2127">sentimentCategory(K2127)</f>
        <v>Positive</v>
      </c>
    </row>
    <row r="2128" spans="1:12" x14ac:dyDescent="0.25">
      <c r="A2128" t="s">
        <v>1704</v>
      </c>
      <c r="B2128" t="s">
        <v>1705</v>
      </c>
      <c r="C2128" t="str" cm="1">
        <f t="array" ref="C2128">CleanText(B2128)</f>
        <v>margot robbie did great at acting in the new barbie movie</v>
      </c>
      <c r="D2128">
        <v>1</v>
      </c>
      <c r="E2128">
        <v>0</v>
      </c>
      <c r="F2128" t="s">
        <v>10</v>
      </c>
      <c r="G2128" t="str" cm="1">
        <f t="array" ref="G2128">FindCountryName(F2128)</f>
        <v>None</v>
      </c>
      <c r="H2128" s="3">
        <v>45201.079155092593</v>
      </c>
      <c r="I2128" s="3">
        <v>45201.079155092593</v>
      </c>
      <c r="J2128" s="3">
        <v>45177.847175925926</v>
      </c>
      <c r="K2128" cm="1">
        <f t="array" ref="K2128">sentimentCalc(C2128)</f>
        <v>3</v>
      </c>
      <c r="L2128" t="str" cm="1">
        <f t="array" ref="L2128">sentimentCategory(K2128)</f>
        <v>Positive</v>
      </c>
    </row>
    <row r="2129" spans="1:12" x14ac:dyDescent="0.25">
      <c r="A2129" t="s">
        <v>60</v>
      </c>
      <c r="B2129" t="s">
        <v>2139</v>
      </c>
      <c r="C2129" t="str" cm="1">
        <f t="array" ref="C2129">CleanText(B2129)</f>
        <v>margot robbie doesnt even know that the first ever barbies had her feet drilled in the bottom</v>
      </c>
      <c r="D2129">
        <v>0</v>
      </c>
      <c r="E2129">
        <v>0</v>
      </c>
      <c r="F2129" t="s">
        <v>10</v>
      </c>
      <c r="G2129" t="str" cm="1">
        <f t="array" ref="G2129">FindCountryName(F2129)</f>
        <v>None</v>
      </c>
      <c r="H2129" s="3">
        <v>45178.779652777775</v>
      </c>
      <c r="I2129" s="3">
        <v>45178.779641203706</v>
      </c>
      <c r="J2129" s="3">
        <v>44168.910451388889</v>
      </c>
      <c r="K2129" cm="1">
        <f t="array" ref="K2129">sentimentCalc(C2129)</f>
        <v>0</v>
      </c>
      <c r="L2129" t="str" cm="1">
        <f t="array" ref="L2129">sentimentCategory(K2129)</f>
        <v>Neutral</v>
      </c>
    </row>
    <row r="2130" spans="1:12" x14ac:dyDescent="0.25">
      <c r="A2130" t="s">
        <v>114</v>
      </c>
      <c r="B2130" t="s">
        <v>3508</v>
      </c>
      <c r="C2130" t="str" cm="1">
        <f t="array" ref="C2130">CleanText(B2130)</f>
        <v>margot robbie doesnt look pretty and lovely enough to play barbie</v>
      </c>
      <c r="D2130">
        <v>0</v>
      </c>
      <c r="E2130">
        <v>0</v>
      </c>
      <c r="F2130" t="s">
        <v>10</v>
      </c>
      <c r="G2130" t="str" cm="1">
        <f t="array" ref="G2130">FindCountryName(F2130)</f>
        <v>None</v>
      </c>
      <c r="H2130" s="3">
        <v>45148.170092592591</v>
      </c>
      <c r="I2130" s="3">
        <v>45148.170092592591</v>
      </c>
      <c r="J2130" s="3">
        <v>44834.159282407411</v>
      </c>
      <c r="K2130" cm="1">
        <f t="array" ref="K2130">sentimentCalc(C2130)</f>
        <v>4</v>
      </c>
      <c r="L2130" t="str" cm="1">
        <f t="array" ref="L2130">sentimentCategory(K2130)</f>
        <v>Positive</v>
      </c>
    </row>
    <row r="2131" spans="1:12" x14ac:dyDescent="0.25">
      <c r="A2131" t="s">
        <v>205</v>
      </c>
      <c r="B2131" t="s">
        <v>3334</v>
      </c>
      <c r="C2131" t="str" cm="1">
        <f t="array" ref="C2131">CleanText(B2131)</f>
        <v>margot robbie fits the part of being barbie for like  thats a high percentage but i think if theres a perfect face for barbie i think it would be jessica alba when i saw her in fantastic  where her hair was tied i thought she looked exactly like barbie</v>
      </c>
      <c r="D2131">
        <v>5</v>
      </c>
      <c r="E2131">
        <v>0</v>
      </c>
      <c r="F2131" t="s">
        <v>10</v>
      </c>
      <c r="G2131" t="str" cm="1">
        <f t="array" ref="G2131">FindCountryName(F2131)</f>
        <v>None</v>
      </c>
      <c r="H2131" s="3">
        <v>45150.214004629626</v>
      </c>
      <c r="I2131" s="3">
        <v>45150.214004629626</v>
      </c>
      <c r="J2131" s="3">
        <v>44843.264560185184</v>
      </c>
      <c r="K2131" cm="1">
        <f t="array" ref="K2131">sentimentCalc(C2131)</f>
        <v>11</v>
      </c>
      <c r="L2131" t="str" cm="1">
        <f t="array" ref="L2131">sentimentCategory(K2131)</f>
        <v>Positive</v>
      </c>
    </row>
    <row r="2132" spans="1:12" x14ac:dyDescent="0.25">
      <c r="A2132" t="s">
        <v>36</v>
      </c>
      <c r="B2132" t="s">
        <v>37</v>
      </c>
      <c r="C2132" t="str" cm="1">
        <f t="array" ref="C2132">CleanText(B2132)</f>
        <v>margot robbie has reached the stage for australian women where their beauty declines fast</v>
      </c>
      <c r="D2132">
        <v>0</v>
      </c>
      <c r="E2132">
        <v>0</v>
      </c>
      <c r="F2132" t="s">
        <v>10</v>
      </c>
      <c r="G2132" t="str" cm="1">
        <f t="array" ref="G2132">FindCountryName(F2132)</f>
        <v>None</v>
      </c>
      <c r="H2132" s="3">
        <v>45346.698541666665</v>
      </c>
      <c r="I2132" s="3">
        <v>45346.698541666665</v>
      </c>
      <c r="J2132" s="3">
        <v>43708.69458333333</v>
      </c>
      <c r="K2132" cm="1">
        <f t="array" ref="K2132">sentimentCalc(C2132)</f>
        <v>1</v>
      </c>
      <c r="L2132" t="str" cm="1">
        <f t="array" ref="L2132">sentimentCategory(K2132)</f>
        <v>Positive</v>
      </c>
    </row>
    <row r="2133" spans="1:12" x14ac:dyDescent="0.25">
      <c r="A2133" t="s">
        <v>60</v>
      </c>
      <c r="B2133" t="s">
        <v>2494</v>
      </c>
      <c r="C2133" t="str" cm="1">
        <f t="array" ref="C2133">CleanText(B2133)</f>
        <v>margot robbie is every film character</v>
      </c>
      <c r="D2133">
        <v>0</v>
      </c>
      <c r="E2133">
        <v>0</v>
      </c>
      <c r="F2133" t="s">
        <v>10</v>
      </c>
      <c r="G2133" t="str" cm="1">
        <f t="array" ref="G2133">FindCountryName(F2133)</f>
        <v>None</v>
      </c>
      <c r="H2133" s="3">
        <v>45165.090474537035</v>
      </c>
      <c r="I2133" s="3">
        <v>45165.090474537035</v>
      </c>
      <c r="J2133" s="3">
        <v>42154.803657407407</v>
      </c>
      <c r="K2133" cm="1">
        <f t="array" ref="K2133">sentimentCalc(C2133)</f>
        <v>0</v>
      </c>
      <c r="L2133" t="str" cm="1">
        <f t="array" ref="L2133">sentimentCategory(K2133)</f>
        <v>Neutral</v>
      </c>
    </row>
    <row r="2134" spans="1:12" x14ac:dyDescent="0.25">
      <c r="A2134" t="s">
        <v>2479</v>
      </c>
      <c r="B2134" t="s">
        <v>2480</v>
      </c>
      <c r="C2134" t="str" cm="1">
        <f t="array" ref="C2134">CleanText(B2134)</f>
        <v>margot robbie is one of the sexiest cowgirls ive ever seen dutches i love you</v>
      </c>
      <c r="D2134">
        <v>0</v>
      </c>
      <c r="E2134">
        <v>1</v>
      </c>
      <c r="F2134" t="s">
        <v>10</v>
      </c>
      <c r="G2134" t="str" cm="1">
        <f t="array" ref="G2134">FindCountryName(F2134)</f>
        <v>None</v>
      </c>
      <c r="H2134" s="3">
        <v>45165.548900462964</v>
      </c>
      <c r="I2134" s="3">
        <v>45165.548900462964</v>
      </c>
      <c r="J2134" s="3">
        <v>42245.703750000001</v>
      </c>
      <c r="K2134" cm="1">
        <f t="array" ref="K2134">sentimentCalc(C2134)</f>
        <v>3</v>
      </c>
      <c r="L2134" t="str" cm="1">
        <f t="array" ref="L2134">sentimentCategory(K2134)</f>
        <v>Positive</v>
      </c>
    </row>
    <row r="2135" spans="1:12" x14ac:dyDescent="0.25">
      <c r="A2135" t="s">
        <v>211</v>
      </c>
      <c r="B2135" t="s">
        <v>212</v>
      </c>
      <c r="C2135" t="str" cm="1">
        <f t="array" ref="C2135">CleanText(B2135)</f>
        <v>margot robbie is perfectly cast as a barbie because shes all plastic and theres nothing inside her head</v>
      </c>
      <c r="D2135">
        <v>1</v>
      </c>
      <c r="E2135">
        <v>2</v>
      </c>
      <c r="F2135" t="s">
        <v>10</v>
      </c>
      <c r="G2135" t="str" cm="1">
        <f t="array" ref="G2135">FindCountryName(F2135)</f>
        <v>None</v>
      </c>
      <c r="H2135" s="3">
        <v>45333.194745370369</v>
      </c>
      <c r="I2135" s="3">
        <v>45333.194745370369</v>
      </c>
      <c r="J2135" s="3">
        <v>43005.620682870373</v>
      </c>
      <c r="K2135" cm="1">
        <f t="array" ref="K2135">sentimentCalc(C2135)</f>
        <v>3</v>
      </c>
      <c r="L2135" t="str" cm="1">
        <f t="array" ref="L2135">sentimentCategory(K2135)</f>
        <v>Positive</v>
      </c>
    </row>
    <row r="2136" spans="1:12" x14ac:dyDescent="0.25">
      <c r="A2136" t="s">
        <v>32</v>
      </c>
      <c r="B2136" t="s">
        <v>603</v>
      </c>
      <c r="C2136" t="str" cm="1">
        <f t="array" ref="C2136">CleanText(B2136)</f>
        <v>margot robbie is the female johnny depp of movies i mean whatever role she plays she always brings this unique personality to each character she plays  thus makes every movie she makes worth watching because if it was another actress who played barbie then im pretty sure that the movie would have bombed but margot just makes it so much fun  very entertaining to watch  memorable much like the way johnny depp does with his movies i love depp  robbie they are  of the industrys best  finest entertainers</v>
      </c>
      <c r="D2136">
        <v>0</v>
      </c>
      <c r="E2136">
        <v>0</v>
      </c>
      <c r="F2136" t="s">
        <v>10</v>
      </c>
      <c r="G2136" t="str" cm="1">
        <f t="array" ref="G2136">FindCountryName(F2136)</f>
        <v>None</v>
      </c>
      <c r="H2136" s="3">
        <v>45316.7190162037</v>
      </c>
      <c r="I2136" s="3">
        <v>45316.719583333332</v>
      </c>
      <c r="J2136" s="3">
        <v>43331.851863425924</v>
      </c>
      <c r="K2136" cm="1">
        <f t="array" ref="K2136">sentimentCalc(C2136)</f>
        <v>17</v>
      </c>
      <c r="L2136" t="str" cm="1">
        <f t="array" ref="L2136">sentimentCategory(K2136)</f>
        <v>Positive</v>
      </c>
    </row>
    <row r="2137" spans="1:12" x14ac:dyDescent="0.25">
      <c r="A2137" t="s">
        <v>883</v>
      </c>
      <c r="B2137" t="s">
        <v>884</v>
      </c>
      <c r="C2137" t="str" cm="1">
        <f t="array" ref="C2137">CleanText(B2137)</f>
        <v>margot robbie oyunculuu harika srf onu izlemek iin bile gidilir</v>
      </c>
      <c r="D2137">
        <v>2</v>
      </c>
      <c r="E2137">
        <v>0</v>
      </c>
      <c r="F2137" t="s">
        <v>10</v>
      </c>
      <c r="G2137" t="str" cm="1">
        <f t="array" ref="G2137">FindCountryName(F2137)</f>
        <v>None</v>
      </c>
      <c r="H2137" s="3">
        <v>45299.327951388892</v>
      </c>
      <c r="I2137" s="3">
        <v>45299.327951388892</v>
      </c>
      <c r="J2137" s="3">
        <v>43913.410567129627</v>
      </c>
      <c r="K2137" cm="1">
        <f t="array" ref="K2137">sentimentCalc(C2137)</f>
        <v>0</v>
      </c>
      <c r="L2137" t="str" cm="1">
        <f t="array" ref="L2137">sentimentCategory(K2137)</f>
        <v>Neutral</v>
      </c>
    </row>
    <row r="2138" spans="1:12" x14ac:dyDescent="0.25">
      <c r="A2138" t="s">
        <v>986</v>
      </c>
      <c r="B2138" t="s">
        <v>1880</v>
      </c>
      <c r="C2138" t="str" cm="1">
        <f t="array" ref="C2138">CleanText(B2138)</f>
        <v>margot robbie parece candy candy white blanca protagonista de anime tiene novio anthony brown ardley y tiene amigos archie cornwell stear cornwell annie brighton patty o brian exnovio terry granchesette</v>
      </c>
      <c r="D2138">
        <v>0</v>
      </c>
      <c r="E2138">
        <v>0</v>
      </c>
      <c r="F2138" t="s">
        <v>10</v>
      </c>
      <c r="G2138" t="str" cm="1">
        <f t="array" ref="G2138">FindCountryName(F2138)</f>
        <v>None</v>
      </c>
      <c r="H2138" s="3">
        <v>45188.772129629629</v>
      </c>
      <c r="I2138" s="3">
        <v>45188.772129629629</v>
      </c>
      <c r="J2138" s="3">
        <v>44740.688738425924</v>
      </c>
      <c r="K2138" cm="1">
        <f t="array" ref="K2138">sentimentCalc(C2138)</f>
        <v>0</v>
      </c>
      <c r="L2138" t="str" cm="1">
        <f t="array" ref="L2138">sentimentCategory(K2138)</f>
        <v>Neutral</v>
      </c>
    </row>
    <row r="2139" spans="1:12" x14ac:dyDescent="0.25">
      <c r="A2139" t="s">
        <v>197</v>
      </c>
      <c r="B2139" t="s">
        <v>546</v>
      </c>
      <c r="C2139" t="str" cm="1">
        <f t="array" ref="C2139">CleanText(B2139)</f>
        <v>margot robbie seviyom ve filmi de ok muhteem grnyor</v>
      </c>
      <c r="D2139">
        <v>0</v>
      </c>
      <c r="E2139">
        <v>0</v>
      </c>
      <c r="F2139" t="s">
        <v>10</v>
      </c>
      <c r="G2139" t="str" cm="1">
        <f t="array" ref="G2139">FindCountryName(F2139)</f>
        <v>None</v>
      </c>
      <c r="H2139" s="3">
        <v>45317.275740740741</v>
      </c>
      <c r="I2139" s="3">
        <v>45317.275740740741</v>
      </c>
      <c r="J2139" s="3">
        <v>41656.527615740742</v>
      </c>
      <c r="K2139" cm="1">
        <f t="array" ref="K2139">sentimentCalc(C2139)</f>
        <v>0</v>
      </c>
      <c r="L2139" t="str" cm="1">
        <f t="array" ref="L2139">sentimentCategory(K2139)</f>
        <v>Neutral</v>
      </c>
    </row>
    <row r="2140" spans="1:12" x14ac:dyDescent="0.25">
      <c r="A2140" t="s">
        <v>893</v>
      </c>
      <c r="B2140" t="s">
        <v>894</v>
      </c>
      <c r="C2140" t="str" cm="1">
        <f t="array" ref="C2140">CleanText(B2140)</f>
        <v>margot robbie ve ryan goslingin mkemmel uyumu olmu</v>
      </c>
      <c r="D2140">
        <v>0</v>
      </c>
      <c r="E2140">
        <v>0</v>
      </c>
      <c r="F2140" t="s">
        <v>139</v>
      </c>
      <c r="G2140" t="str" cm="1">
        <f t="array" ref="G2140">FindCountryName(F2140)</f>
        <v>Turkey</v>
      </c>
      <c r="H2140" s="3">
        <v>45299.312210648146</v>
      </c>
      <c r="I2140" s="3">
        <v>45299.312210648146</v>
      </c>
      <c r="J2140" s="3">
        <v>39054.110162037039</v>
      </c>
      <c r="K2140" cm="1">
        <f t="array" ref="K2140">sentimentCalc(C2140)</f>
        <v>0</v>
      </c>
      <c r="L2140" t="str" cm="1">
        <f t="array" ref="L2140">sentimentCategory(K2140)</f>
        <v>Neutral</v>
      </c>
    </row>
    <row r="2141" spans="1:12" x14ac:dyDescent="0.25">
      <c r="A2141" t="s">
        <v>1656</v>
      </c>
      <c r="B2141" t="s">
        <v>1914</v>
      </c>
      <c r="C2141" t="str" cm="1">
        <f t="array" ref="C2141">CleanText(B2141)</f>
        <v>margt</v>
      </c>
      <c r="D2141">
        <v>2</v>
      </c>
      <c r="E2141">
        <v>0</v>
      </c>
      <c r="F2141" t="s">
        <v>10</v>
      </c>
      <c r="G2141" t="str" cm="1">
        <f t="array" ref="G2141">FindCountryName(F2141)</f>
        <v>None</v>
      </c>
      <c r="H2141" s="3">
        <v>45187.843298611115</v>
      </c>
      <c r="I2141" s="3">
        <v>45187.843298611115</v>
      </c>
      <c r="J2141" s="3">
        <v>44956.713969907411</v>
      </c>
      <c r="K2141" cm="1">
        <f t="array" ref="K2141">sentimentCalc(C2141)</f>
        <v>0</v>
      </c>
      <c r="L2141" t="str" cm="1">
        <f t="array" ref="L2141">sentimentCategory(K2141)</f>
        <v>Neutral</v>
      </c>
    </row>
    <row r="2142" spans="1:12" x14ac:dyDescent="0.25">
      <c r="A2142" t="s">
        <v>1656</v>
      </c>
      <c r="B2142" t="s">
        <v>1657</v>
      </c>
      <c r="C2142" t="str" cm="1">
        <f t="array" ref="C2142">CleanText(B2142)</f>
        <v>margta</v>
      </c>
      <c r="D2142">
        <v>1</v>
      </c>
      <c r="E2142">
        <v>0</v>
      </c>
      <c r="F2142" t="s">
        <v>10</v>
      </c>
      <c r="G2142" t="str" cm="1">
        <f t="array" ref="G2142">FindCountryName(F2142)</f>
        <v>None</v>
      </c>
      <c r="H2142" s="3">
        <v>45204.988020833334</v>
      </c>
      <c r="I2142" s="3">
        <v>45204.988020833334</v>
      </c>
      <c r="J2142" s="3">
        <v>44956.713969907411</v>
      </c>
      <c r="K2142" cm="1">
        <f t="array" ref="K2142">sentimentCalc(C2142)</f>
        <v>0</v>
      </c>
      <c r="L2142" t="str" cm="1">
        <f t="array" ref="L2142">sentimentCategory(K2142)</f>
        <v>Neutral</v>
      </c>
    </row>
    <row r="2143" spans="1:12" x14ac:dyDescent="0.25">
      <c r="A2143" t="s">
        <v>2281</v>
      </c>
      <c r="B2143" t="s">
        <v>2282</v>
      </c>
      <c r="C2143" t="str" cm="1">
        <f t="array" ref="C2143">CleanText(B2143)</f>
        <v>marketing was excellent the st few minutes were fun and the set design spot on but the movie was meh themes messages aside i didnt really connect strongly with any characters tho the representation like real barbie was nice there is nothing wrong with delivering a message in the story but its how its done for me building strong characterization empathy for characters solid growth arc is key thats where it failed for me</v>
      </c>
      <c r="D2143">
        <v>3</v>
      </c>
      <c r="E2143">
        <v>1</v>
      </c>
      <c r="F2143" t="s">
        <v>10</v>
      </c>
      <c r="G2143" t="str" cm="1">
        <f t="array" ref="G2143">FindCountryName(F2143)</f>
        <v>None</v>
      </c>
      <c r="H2143" s="3">
        <v>45172.885775462964</v>
      </c>
      <c r="I2143" s="3">
        <v>45172.887037037035</v>
      </c>
      <c r="J2143" s="3">
        <v>40707.2106712963</v>
      </c>
      <c r="K2143" cm="1">
        <f t="array" ref="K2143">sentimentCalc(C2143)</f>
        <v>14</v>
      </c>
      <c r="L2143" t="str" cm="1">
        <f t="array" ref="L2143">sentimentCategory(K2143)</f>
        <v>Positive</v>
      </c>
    </row>
    <row r="2144" spans="1:12" x14ac:dyDescent="0.25">
      <c r="A2144" t="s">
        <v>2212</v>
      </c>
      <c r="B2144" t="s">
        <v>2244</v>
      </c>
      <c r="C2144" t="str" cm="1">
        <f t="array" ref="C2144">CleanText(B2144)</f>
        <v>marshmallow pink snowflake white in soft focus cinematic mode the western world will be in dire need of a cultural stomach pump of epic proportions should it even survive all this bourgeois woke sentimentality</v>
      </c>
      <c r="D2144">
        <v>0</v>
      </c>
      <c r="E2144">
        <v>0</v>
      </c>
      <c r="F2144" t="s">
        <v>10</v>
      </c>
      <c r="G2144" t="str" cm="1">
        <f t="array" ref="G2144">FindCountryName(F2144)</f>
        <v>None</v>
      </c>
      <c r="H2144" s="3">
        <v>45174.506284722222</v>
      </c>
      <c r="I2144" s="3">
        <v>45174.506273148145</v>
      </c>
      <c r="J2144" s="3">
        <v>40205.803159722222</v>
      </c>
      <c r="K2144" cm="1">
        <f t="array" ref="K2144">sentimentCalc(C2144)</f>
        <v>-3</v>
      </c>
      <c r="L2144" t="str" cm="1">
        <f t="array" ref="L2144">sentimentCategory(K2144)</f>
        <v>Negative</v>
      </c>
    </row>
    <row r="2145" spans="1:12" x14ac:dyDescent="0.25">
      <c r="A2145" t="s">
        <v>3194</v>
      </c>
      <c r="B2145" t="s">
        <v>3195</v>
      </c>
      <c r="C2145" t="str" cm="1">
        <f t="array" ref="C2145">CleanText(B2145)</f>
        <v>masterclass in film</v>
      </c>
      <c r="D2145">
        <v>0</v>
      </c>
      <c r="E2145">
        <v>0</v>
      </c>
      <c r="F2145" t="s">
        <v>10</v>
      </c>
      <c r="G2145" t="str" cm="1">
        <f t="array" ref="G2145">FindCountryName(F2145)</f>
        <v>None</v>
      </c>
      <c r="H2145" s="3">
        <v>45152.09951388889</v>
      </c>
      <c r="I2145" s="3">
        <v>45152.099502314813</v>
      </c>
      <c r="J2145" s="3">
        <v>44252.967615740738</v>
      </c>
      <c r="K2145" cm="1">
        <f t="array" ref="K2145">sentimentCalc(C2145)</f>
        <v>0</v>
      </c>
      <c r="L2145" t="str" cm="1">
        <f t="array" ref="L2145">sentimentCategory(K2145)</f>
        <v>Neutral</v>
      </c>
    </row>
    <row r="2146" spans="1:12" x14ac:dyDescent="0.25">
      <c r="A2146" t="s">
        <v>2123</v>
      </c>
      <c r="B2146" t="s">
        <v>2124</v>
      </c>
      <c r="C2146" t="str" cm="1">
        <f t="array" ref="C2146">CleanText(B2146)</f>
        <v>masterpiece we are all enough we are all just human beings and thats already enough</v>
      </c>
      <c r="D2146">
        <v>0</v>
      </c>
      <c r="E2146">
        <v>0</v>
      </c>
      <c r="F2146" t="s">
        <v>10</v>
      </c>
      <c r="G2146" t="str" cm="1">
        <f t="array" ref="G2146">FindCountryName(F2146)</f>
        <v>None</v>
      </c>
      <c r="H2146" s="3">
        <v>45179.568136574075</v>
      </c>
      <c r="I2146" s="3">
        <v>45179.650879629633</v>
      </c>
      <c r="J2146" s="3">
        <v>44144.648425925923</v>
      </c>
      <c r="K2146" cm="1">
        <f t="array" ref="K2146">sentimentCalc(C2146)</f>
        <v>4</v>
      </c>
      <c r="L2146" t="str" cm="1">
        <f t="array" ref="L2146">sentimentCategory(K2146)</f>
        <v>Positive</v>
      </c>
    </row>
    <row r="2147" spans="1:12" x14ac:dyDescent="0.25">
      <c r="A2147" t="s">
        <v>77</v>
      </c>
      <c r="B2147" t="s">
        <v>78</v>
      </c>
      <c r="C2147" t="str" cm="1">
        <f t="array" ref="C2147">CleanText(B2147)</f>
        <v>mastershit movie</v>
      </c>
      <c r="D2147">
        <v>1</v>
      </c>
      <c r="E2147">
        <v>3</v>
      </c>
      <c r="F2147" t="s">
        <v>10</v>
      </c>
      <c r="G2147" t="str" cm="1">
        <f t="array" ref="G2147">FindCountryName(F2147)</f>
        <v>None</v>
      </c>
      <c r="H2147" s="3">
        <v>45341.024687500001</v>
      </c>
      <c r="I2147" s="3">
        <v>45341.024687500001</v>
      </c>
      <c r="J2147" s="3">
        <v>42179.576504629629</v>
      </c>
      <c r="K2147" cm="1">
        <f t="array" ref="K2147">sentimentCalc(C2147)</f>
        <v>0</v>
      </c>
      <c r="L2147" t="str" cm="1">
        <f t="array" ref="L2147">sentimentCategory(K2147)</f>
        <v>Neutral</v>
      </c>
    </row>
    <row r="2148" spans="1:12" x14ac:dyDescent="0.25">
      <c r="A2148" t="s">
        <v>239</v>
      </c>
      <c r="B2148" t="s">
        <v>240</v>
      </c>
      <c r="C2148" t="str" cm="1">
        <f t="array" ref="C2148">CleanText(B2148)</f>
        <v>mattel used child labor for decades making barbie boring biased pressures girls to waste  on fashion gross pink decor classic cars  not age past  no american api barbie men need female leader all negative film reviews are censured</v>
      </c>
      <c r="D2148">
        <v>0</v>
      </c>
      <c r="E2148">
        <v>0</v>
      </c>
      <c r="F2148" t="s">
        <v>10</v>
      </c>
      <c r="G2148" t="str" cm="1">
        <f t="array" ref="G2148">FindCountryName(F2148)</f>
        <v>None</v>
      </c>
      <c r="H2148" s="3">
        <v>45326.941655092596</v>
      </c>
      <c r="I2148" s="3">
        <v>45327.003587962965</v>
      </c>
      <c r="J2148" s="3">
        <v>43788.588587962964</v>
      </c>
      <c r="K2148" cm="1">
        <f t="array" ref="K2148">sentimentCalc(C2148)</f>
        <v>-11</v>
      </c>
      <c r="L2148" t="str" cm="1">
        <f t="array" ref="L2148">sentimentCategory(K2148)</f>
        <v>Negative</v>
      </c>
    </row>
    <row r="2149" spans="1:12" x14ac:dyDescent="0.25">
      <c r="A2149" t="s">
        <v>1107</v>
      </c>
      <c r="B2149" t="s">
        <v>3718</v>
      </c>
      <c r="C2149" t="str" cm="1">
        <f t="array" ref="C2149">CleanText(B2149)</f>
        <v>mave</v>
      </c>
      <c r="D2149">
        <v>0</v>
      </c>
      <c r="E2149">
        <v>0</v>
      </c>
      <c r="F2149" t="s">
        <v>1520</v>
      </c>
      <c r="G2149" t="str" cm="1">
        <f t="array" ref="G2149">FindCountryName(F2149)</f>
        <v>Nepal</v>
      </c>
      <c r="H2149" s="3">
        <v>45146.071736111109</v>
      </c>
      <c r="I2149" s="3">
        <v>45146.071736111109</v>
      </c>
      <c r="J2149" s="3">
        <v>42932.297152777777</v>
      </c>
      <c r="K2149" cm="1">
        <f t="array" ref="K2149">sentimentCalc(C2149)</f>
        <v>0</v>
      </c>
      <c r="L2149" t="str" cm="1">
        <f t="array" ref="L2149">sentimentCategory(K2149)</f>
        <v>Neutral</v>
      </c>
    </row>
    <row r="2150" spans="1:12" x14ac:dyDescent="0.25">
      <c r="A2150" t="s">
        <v>235</v>
      </c>
      <c r="B2150" t="s">
        <v>236</v>
      </c>
      <c r="C2150" t="str" cm="1">
        <f t="array" ref="C2150">CleanText(B2150)</f>
        <v>may peace and true light truly be with you reader what is truly good for a human hearthumans surely you can see through this crime against humanity it is easy to be brainwashed though it seems as i have been in the past and probably still am in areas where does all the money go and what is the hidden agenda i wonder if all the clothes worn are made with ethically sourced materials i wonder if the make up worn is truly good for your skin and the planet with budgets so big we must ask what is really good for a human heart no matter what i believe barbie is inherently evil when our human resources are spent on building homes for all organic healing foods for all and skills such as sewing taught to everyone we could create a better world but no its currently spent on toxic merchandise toxic food toxic drinks toxic clothing and supporting false idolswith innocent people starving and lacking education people still believing that alcohol is even worth a penny of their money the fact that mcdonalds actually even exists still may god grant us all better knowledge and strength amen stop buying pointless plastic unhealthy evil rubbish invest in what is truly blessed invest in what is truly good for your soul may peace and light be with you reader amenif its not genuinely good and healthy for people if its not good for the earth  stop it boycott</v>
      </c>
      <c r="D2150">
        <v>0</v>
      </c>
      <c r="E2150">
        <v>0</v>
      </c>
      <c r="F2150" t="s">
        <v>10</v>
      </c>
      <c r="G2150" t="str" cm="1">
        <f t="array" ref="G2150">FindCountryName(F2150)</f>
        <v>None</v>
      </c>
      <c r="H2150" s="3">
        <v>45327.886400462965</v>
      </c>
      <c r="I2150" s="3">
        <v>45327.886400462965</v>
      </c>
      <c r="J2150" s="3">
        <v>44253.090300925927</v>
      </c>
      <c r="K2150" cm="1">
        <f t="array" ref="K2150">sentimentCalc(C2150)</f>
        <v>19</v>
      </c>
      <c r="L2150" t="str" cm="1">
        <f t="array" ref="L2150">sentimentCategory(K2150)</f>
        <v>Positive</v>
      </c>
    </row>
    <row r="2151" spans="1:12" x14ac:dyDescent="0.25">
      <c r="A2151" t="s">
        <v>235</v>
      </c>
      <c r="B2151" t="s">
        <v>1102</v>
      </c>
      <c r="C2151" t="str" cm="1">
        <f t="array" ref="C2151">CleanText(B2151)</f>
        <v>maybe i am missing something or just old fashioned but this film missed on all points for mewhile it is a vision in technicolour it pales to black and white very quickly its basic problem is its just too wokei am a supporter of all folk being treated equally and fairly but the director beats us over the head with itwhere the like of toy story etc win this fails there is absolutely nothing here for a child or the child in us allthe performances are excellent but i am not sure everyone got it or is invested in the story which is bizarre too adult the closing line emphasises this completelyi wanted it to be a joy and it isnt barbie starts as a stunning version of the doll then disintegrates into a sad housewife type of depressed person maybe that was the point god knowsi understand it has been extremely popular and will win awards however i think this is down to the power of hype and social mediai was really disappointed and sort of angry as this was a waste of a great opportunity oh and if mattel was mentioned once it was a thousand time</v>
      </c>
      <c r="D2151">
        <v>1</v>
      </c>
      <c r="E2151">
        <v>0</v>
      </c>
      <c r="F2151" t="s">
        <v>10</v>
      </c>
      <c r="G2151" t="str" cm="1">
        <f t="array" ref="G2151">FindCountryName(F2151)</f>
        <v>None</v>
      </c>
      <c r="H2151" s="3">
        <v>45289.509155092594</v>
      </c>
      <c r="I2151" s="3">
        <v>45289.509155092594</v>
      </c>
      <c r="J2151" s="3">
        <v>40408.127569444441</v>
      </c>
      <c r="K2151" cm="1">
        <f t="array" ref="K2151">sentimentCalc(C2151)</f>
        <v>14</v>
      </c>
      <c r="L2151" t="str" cm="1">
        <f t="array" ref="L2151">sentimentCategory(K2151)</f>
        <v>Positive</v>
      </c>
    </row>
    <row r="2152" spans="1:12" x14ac:dyDescent="0.25">
      <c r="A2152" t="s">
        <v>2629</v>
      </c>
      <c r="B2152" t="s">
        <v>2630</v>
      </c>
      <c r="C2152" t="str" cm="1">
        <f t="array" ref="C2152">CleanText(B2152)</f>
        <v>maybe someone already said this but after seeing the reaction of people who watched barbie and thinking about main idea of movie i think wb and mattel should make this movie free on youtube they already made lots of money but this movie will soon be forgotten so how about getting it in here so all little girls and boys around the globe will have possibility to watch it as many times as they want to imaging reaction of the people i think it will lead not only to changing of the world but also to the increase in sales of barbie profit</v>
      </c>
      <c r="D2152">
        <v>0</v>
      </c>
      <c r="E2152">
        <v>0</v>
      </c>
      <c r="F2152" t="s">
        <v>10</v>
      </c>
      <c r="G2152" t="str" cm="1">
        <f t="array" ref="G2152">FindCountryName(F2152)</f>
        <v>None</v>
      </c>
      <c r="H2152" s="3">
        <v>45161.430277777778</v>
      </c>
      <c r="I2152" s="3">
        <v>45161.430277777778</v>
      </c>
      <c r="J2152" s="3">
        <v>43787.301493055558</v>
      </c>
      <c r="K2152" cm="1">
        <f t="array" ref="K2152">sentimentCalc(C2152)</f>
        <v>2</v>
      </c>
      <c r="L2152" t="str" cm="1">
        <f t="array" ref="L2152">sentimentCategory(K2152)</f>
        <v>Positive</v>
      </c>
    </row>
    <row r="2153" spans="1:12" x14ac:dyDescent="0.25">
      <c r="A2153" t="s">
        <v>126</v>
      </c>
      <c r="B2153" t="s">
        <v>2021</v>
      </c>
      <c r="C2153" t="str" cm="1">
        <f t="array" ref="C2153">CleanText(B2153)</f>
        <v>me</v>
      </c>
      <c r="D2153">
        <v>0</v>
      </c>
      <c r="E2153">
        <v>0</v>
      </c>
      <c r="F2153" t="s">
        <v>10</v>
      </c>
      <c r="G2153" t="str" cm="1">
        <f t="array" ref="G2153">FindCountryName(F2153)</f>
        <v>None</v>
      </c>
      <c r="H2153" s="3">
        <v>45184.263368055559</v>
      </c>
      <c r="I2153" s="3">
        <v>45184.263368055559</v>
      </c>
      <c r="J2153" s="3">
        <v>43258.325266203705</v>
      </c>
      <c r="K2153" cm="1">
        <f t="array" ref="K2153">sentimentCalc(C2153)</f>
        <v>0</v>
      </c>
      <c r="L2153" t="str" cm="1">
        <f t="array" ref="L2153">sentimentCategory(K2153)</f>
        <v>Neutral</v>
      </c>
    </row>
    <row r="2154" spans="1:12" x14ac:dyDescent="0.25">
      <c r="A2154" t="s">
        <v>1185</v>
      </c>
      <c r="B2154" t="s">
        <v>1188</v>
      </c>
      <c r="C2154" t="str" cm="1">
        <f t="array" ref="C2154">CleanText(B2154)</f>
        <v>me dream bout it ms d barbie</v>
      </c>
      <c r="D2154">
        <v>0</v>
      </c>
      <c r="E2154">
        <v>0</v>
      </c>
      <c r="F2154" t="s">
        <v>1187</v>
      </c>
      <c r="G2154" t="str" cm="1">
        <f t="array" ref="G2154">FindCountryName(F2154)</f>
        <v>Jamaica</v>
      </c>
      <c r="H2154" s="3">
        <v>45279.218414351853</v>
      </c>
      <c r="I2154" s="3">
        <v>45279.218414351853</v>
      </c>
      <c r="J2154" s="3">
        <v>42111.443842592591</v>
      </c>
      <c r="K2154" cm="1">
        <f t="array" ref="K2154">sentimentCalc(C2154)</f>
        <v>1</v>
      </c>
      <c r="L2154" t="str" cm="1">
        <f t="array" ref="L2154">sentimentCategory(K2154)</f>
        <v>Positive</v>
      </c>
    </row>
    <row r="2155" spans="1:12" x14ac:dyDescent="0.25">
      <c r="A2155" t="s">
        <v>3410</v>
      </c>
      <c r="B2155" t="s">
        <v>4110</v>
      </c>
      <c r="C2155" t="str" cm="1">
        <f t="array" ref="C2155">CleanText(B2155)</f>
        <v>me my brother and my dad are going to see this movie at pm d</v>
      </c>
      <c r="D2155">
        <v>1</v>
      </c>
      <c r="E2155">
        <v>0</v>
      </c>
      <c r="F2155" t="s">
        <v>10</v>
      </c>
      <c r="G2155" t="str" cm="1">
        <f t="array" ref="G2155">FindCountryName(F2155)</f>
        <v>None</v>
      </c>
      <c r="H2155" s="3">
        <v>45142.808888888889</v>
      </c>
      <c r="I2155" s="3">
        <v>45142.808888888889</v>
      </c>
      <c r="J2155" s="3">
        <v>44233.875462962962</v>
      </c>
      <c r="K2155" cm="1">
        <f t="array" ref="K2155">sentimentCalc(C2155)</f>
        <v>0</v>
      </c>
      <c r="L2155" t="str" cm="1">
        <f t="array" ref="L2155">sentimentCategory(K2155)</f>
        <v>Neutral</v>
      </c>
    </row>
    <row r="2156" spans="1:12" x14ac:dyDescent="0.25">
      <c r="A2156" t="s">
        <v>605</v>
      </c>
      <c r="B2156" t="s">
        <v>2443</v>
      </c>
      <c r="C2156" t="str" cm="1">
        <f t="array" ref="C2156">CleanText(B2156)</f>
        <v>meanwhile oppenheimers gonna bomb this city in no time</v>
      </c>
      <c r="D2156">
        <v>0</v>
      </c>
      <c r="E2156">
        <v>1</v>
      </c>
      <c r="F2156" t="s">
        <v>10</v>
      </c>
      <c r="G2156" t="str" cm="1">
        <f t="array" ref="G2156">FindCountryName(F2156)</f>
        <v>None</v>
      </c>
      <c r="H2156" s="3">
        <v>45167.161215277774</v>
      </c>
      <c r="I2156" s="3">
        <v>45167.161203703705</v>
      </c>
      <c r="J2156" s="3">
        <v>44653.94939814815</v>
      </c>
      <c r="K2156" cm="1">
        <f t="array" ref="K2156">sentimentCalc(C2156)</f>
        <v>-2</v>
      </c>
      <c r="L2156" t="str" cm="1">
        <f t="array" ref="L2156">sentimentCategory(K2156)</f>
        <v>Negative</v>
      </c>
    </row>
    <row r="2157" spans="1:12" x14ac:dyDescent="0.25">
      <c r="A2157" t="s">
        <v>1215</v>
      </c>
      <c r="B2157" t="s">
        <v>1216</v>
      </c>
      <c r="C2157" t="str" cm="1">
        <f t="array" ref="C2157">CleanText(B2157)</f>
        <v>mediocre movie very very backwards in a lot of in not all the content i struggled thru  of this thing  yea i m good</v>
      </c>
      <c r="D2157">
        <v>2</v>
      </c>
      <c r="E2157">
        <v>1</v>
      </c>
      <c r="F2157" t="s">
        <v>10</v>
      </c>
      <c r="G2157" t="str" cm="1">
        <f t="array" ref="G2157">FindCountryName(F2157)</f>
        <v>None</v>
      </c>
      <c r="H2157" s="3">
        <v>45275.637407407405</v>
      </c>
      <c r="I2157" s="3">
        <v>45275.637407407405</v>
      </c>
      <c r="J2157" s="3">
        <v>43966.454895833333</v>
      </c>
      <c r="K2157" cm="1">
        <f t="array" ref="K2157">sentimentCalc(C2157)</f>
        <v>1</v>
      </c>
      <c r="L2157" t="str" cm="1">
        <f t="array" ref="L2157">sentimentCategory(K2157)</f>
        <v>Positive</v>
      </c>
    </row>
    <row r="2158" spans="1:12" x14ac:dyDescent="0.25">
      <c r="A2158" t="s">
        <v>3415</v>
      </c>
      <c r="B2158" t="s">
        <v>3491</v>
      </c>
      <c r="C2158" t="str" cm="1">
        <f t="array" ref="C2158">CleanText(B2158)</f>
        <v>meh saw it found it quite messy there were some fun scenes but it wanted to do too many things and it just got out on the weird side for me at least some scenes were super forced that just made me look around like this a ted talk or what</v>
      </c>
      <c r="D2158">
        <v>1</v>
      </c>
      <c r="E2158">
        <v>0</v>
      </c>
      <c r="F2158" t="s">
        <v>10</v>
      </c>
      <c r="G2158" t="str" cm="1">
        <f t="array" ref="G2158">FindCountryName(F2158)</f>
        <v>None</v>
      </c>
      <c r="H2158" s="3">
        <v>45148.304525462961</v>
      </c>
      <c r="I2158" s="3">
        <v>45148.304513888892</v>
      </c>
      <c r="J2158" s="3">
        <v>39097.391261574077</v>
      </c>
      <c r="K2158" cm="1">
        <f t="array" ref="K2158">sentimentCalc(C2158)</f>
        <v>6</v>
      </c>
      <c r="L2158" t="str" cm="1">
        <f t="array" ref="L2158">sentimentCategory(K2158)</f>
        <v>Positive</v>
      </c>
    </row>
    <row r="2159" spans="1:12" x14ac:dyDescent="0.25">
      <c r="A2159" t="s">
        <v>1095</v>
      </c>
      <c r="B2159" t="s">
        <v>1096</v>
      </c>
      <c r="C2159" t="str" cm="1">
        <f t="array" ref="C2159">CleanText(B2159)</f>
        <v>meh</v>
      </c>
      <c r="D2159">
        <v>0</v>
      </c>
      <c r="E2159">
        <v>0</v>
      </c>
      <c r="F2159" t="s">
        <v>10</v>
      </c>
      <c r="G2159" t="str" cm="1">
        <f t="array" ref="G2159">FindCountryName(F2159)</f>
        <v>None</v>
      </c>
      <c r="H2159" s="3">
        <v>45289.98741898148</v>
      </c>
      <c r="I2159" s="3">
        <v>45289.98741898148</v>
      </c>
      <c r="J2159" s="3">
        <v>39888.467916666668</v>
      </c>
      <c r="K2159" cm="1">
        <f t="array" ref="K2159">sentimentCalc(C2159)</f>
        <v>0</v>
      </c>
      <c r="L2159" t="str" cm="1">
        <f t="array" ref="L2159">sentimentCategory(K2159)</f>
        <v>Neutral</v>
      </c>
    </row>
    <row r="2160" spans="1:12" x14ac:dyDescent="0.25">
      <c r="A2160" t="s">
        <v>1185</v>
      </c>
      <c r="B2160" t="s">
        <v>1186</v>
      </c>
      <c r="C2160" t="str" cm="1">
        <f t="array" ref="C2160">CleanText(B2160)</f>
        <v>member man a nuh barbie</v>
      </c>
      <c r="D2160">
        <v>0</v>
      </c>
      <c r="E2160">
        <v>0</v>
      </c>
      <c r="F2160" t="s">
        <v>1187</v>
      </c>
      <c r="G2160" t="str" cm="1">
        <f t="array" ref="G2160">FindCountryName(F2160)</f>
        <v>Jamaica</v>
      </c>
      <c r="H2160" s="3">
        <v>45279.221307870372</v>
      </c>
      <c r="I2160" s="3">
        <v>45279.221307870372</v>
      </c>
      <c r="J2160" s="3">
        <v>42111.443842592591</v>
      </c>
      <c r="K2160" cm="1">
        <f t="array" ref="K2160">sentimentCalc(C2160)</f>
        <v>0</v>
      </c>
      <c r="L2160" t="str" cm="1">
        <f t="array" ref="L2160">sentimentCategory(K2160)</f>
        <v>Neutral</v>
      </c>
    </row>
    <row r="2161" spans="1:12" x14ac:dyDescent="0.25">
      <c r="A2161" t="s">
        <v>1949</v>
      </c>
      <c r="B2161" t="s">
        <v>2084</v>
      </c>
      <c r="C2161" t="str" cm="1">
        <f t="array" ref="C2161">CleanText(B2161)</f>
        <v>men</v>
      </c>
      <c r="D2161">
        <v>4</v>
      </c>
      <c r="E2161">
        <v>0</v>
      </c>
      <c r="F2161" t="s">
        <v>10</v>
      </c>
      <c r="G2161" t="str" cm="1">
        <f t="array" ref="G2161">FindCountryName(F2161)</f>
        <v>None</v>
      </c>
      <c r="H2161" s="3">
        <v>45181.258148148147</v>
      </c>
      <c r="I2161" s="3">
        <v>45181.258136574077</v>
      </c>
      <c r="J2161" s="3">
        <v>45144.565474537034</v>
      </c>
      <c r="K2161" cm="1">
        <f t="array" ref="K2161">sentimentCalc(C2161)</f>
        <v>0</v>
      </c>
      <c r="L2161" t="str" cm="1">
        <f t="array" ref="L2161">sentimentCategory(K2161)</f>
        <v>Neutral</v>
      </c>
    </row>
    <row r="2162" spans="1:12" x14ac:dyDescent="0.25">
      <c r="A2162" t="s">
        <v>36</v>
      </c>
      <c r="B2162" t="s">
        <v>1221</v>
      </c>
      <c r="C2162" t="str" cm="1">
        <f t="array" ref="C2162">CleanText(B2162)</f>
        <v>menuda basura de pelcula</v>
      </c>
      <c r="D2162">
        <v>3</v>
      </c>
      <c r="E2162">
        <v>0</v>
      </c>
      <c r="F2162" t="s">
        <v>10</v>
      </c>
      <c r="G2162" t="str" cm="1">
        <f t="array" ref="G2162">FindCountryName(F2162)</f>
        <v>None</v>
      </c>
      <c r="H2162" s="3">
        <v>45274.319212962961</v>
      </c>
      <c r="I2162" s="3">
        <v>45274.319212962961</v>
      </c>
      <c r="J2162" s="3">
        <v>41911.525613425925</v>
      </c>
      <c r="K2162" cm="1">
        <f t="array" ref="K2162">sentimentCalc(C2162)</f>
        <v>0</v>
      </c>
      <c r="L2162" t="str" cm="1">
        <f t="array" ref="L2162">sentimentCategory(K2162)</f>
        <v>Neutral</v>
      </c>
    </row>
    <row r="2163" spans="1:12" x14ac:dyDescent="0.25">
      <c r="A2163" t="s">
        <v>432</v>
      </c>
      <c r="B2163" t="s">
        <v>1726</v>
      </c>
      <c r="C2163" t="str" cm="1">
        <f t="array" ref="C2163">CleanText(B2163)</f>
        <v>merci  je li brasse bien fort  je li di li ka merci pour tout mon amour  je li te ye ti i  get it done before we move</v>
      </c>
      <c r="D2163">
        <v>0</v>
      </c>
      <c r="E2163">
        <v>0</v>
      </c>
      <c r="F2163" t="s">
        <v>10</v>
      </c>
      <c r="G2163" t="str" cm="1">
        <f t="array" ref="G2163">FindCountryName(F2163)</f>
        <v>None</v>
      </c>
      <c r="H2163" s="3">
        <v>45198.942118055558</v>
      </c>
      <c r="I2163" s="3">
        <v>45198.942118055558</v>
      </c>
      <c r="J2163" s="3">
        <v>41890.361585648148</v>
      </c>
      <c r="K2163" cm="1">
        <f t="array" ref="K2163">sentimentCalc(C2163)</f>
        <v>-2</v>
      </c>
      <c r="L2163" t="str" cm="1">
        <f t="array" ref="L2163">sentimentCategory(K2163)</f>
        <v>Negative</v>
      </c>
    </row>
    <row r="2164" spans="1:12" x14ac:dyDescent="0.25">
      <c r="A2164" t="s">
        <v>871</v>
      </c>
      <c r="B2164" t="s">
        <v>952</v>
      </c>
      <c r="C2164" t="str" cm="1">
        <f t="array" ref="C2164">CleanText(B2164)</f>
        <v>merhaba</v>
      </c>
      <c r="D2164">
        <v>0</v>
      </c>
      <c r="E2164">
        <v>0</v>
      </c>
      <c r="F2164" t="s">
        <v>10</v>
      </c>
      <c r="G2164" t="str" cm="1">
        <f t="array" ref="G2164">FindCountryName(F2164)</f>
        <v>None</v>
      </c>
      <c r="H2164" s="3">
        <v>45299.257291666669</v>
      </c>
      <c r="I2164" s="3">
        <v>45299.257291666669</v>
      </c>
      <c r="J2164" s="3">
        <v>41673.542430555557</v>
      </c>
      <c r="K2164" cm="1">
        <f t="array" ref="K2164">sentimentCalc(C2164)</f>
        <v>0</v>
      </c>
      <c r="L2164" t="str" cm="1">
        <f t="array" ref="L2164">sentimentCategory(K2164)</f>
        <v>Neutral</v>
      </c>
    </row>
    <row r="2165" spans="1:12" x14ac:dyDescent="0.25">
      <c r="A2165" t="s">
        <v>3659</v>
      </c>
      <c r="B2165" t="s">
        <v>3660</v>
      </c>
      <c r="C2165" t="str" cm="1">
        <f t="array" ref="C2165">CleanText(B2165)</f>
        <v>merko rona aa raha hai rocky  rani ki copy</v>
      </c>
      <c r="D2165">
        <v>0</v>
      </c>
      <c r="E2165">
        <v>0</v>
      </c>
      <c r="F2165" t="s">
        <v>10</v>
      </c>
      <c r="G2165" t="str" cm="1">
        <f t="array" ref="G2165">FindCountryName(F2165)</f>
        <v>None</v>
      </c>
      <c r="H2165" s="3">
        <v>45146.699988425928</v>
      </c>
      <c r="I2165" s="3">
        <v>45146.699988425928</v>
      </c>
      <c r="J2165" s="3">
        <v>44446.572002314817</v>
      </c>
      <c r="K2165" cm="1">
        <f t="array" ref="K2165">sentimentCalc(C2165)</f>
        <v>0</v>
      </c>
      <c r="L2165" t="str" cm="1">
        <f t="array" ref="L2165">sentimentCategory(K2165)</f>
        <v>Neutral</v>
      </c>
    </row>
    <row r="2166" spans="1:12" x14ac:dyDescent="0.25">
      <c r="A2166" t="s">
        <v>225</v>
      </c>
      <c r="B2166" t="s">
        <v>1453</v>
      </c>
      <c r="C2166" t="str" cm="1">
        <f t="array" ref="C2166">CleanText(B2166)</f>
        <v>meu deus muito bom</v>
      </c>
      <c r="D2166">
        <v>0</v>
      </c>
      <c r="E2166">
        <v>0</v>
      </c>
      <c r="F2166" t="s">
        <v>10</v>
      </c>
      <c r="G2166" t="str" cm="1">
        <f t="array" ref="G2166">FindCountryName(F2166)</f>
        <v>None</v>
      </c>
      <c r="H2166" s="3">
        <v>45226.499884259261</v>
      </c>
      <c r="I2166" s="3">
        <v>45226.499884259261</v>
      </c>
      <c r="J2166" s="3">
        <v>44037.923634259256</v>
      </c>
      <c r="K2166" cm="1">
        <f t="array" ref="K2166">sentimentCalc(C2166)</f>
        <v>0</v>
      </c>
      <c r="L2166" t="str" cm="1">
        <f t="array" ref="L2166">sentimentCategory(K2166)</f>
        <v>Neutral</v>
      </c>
    </row>
    <row r="2167" spans="1:12" x14ac:dyDescent="0.25">
      <c r="A2167" t="s">
        <v>1740</v>
      </c>
      <c r="B2167" t="s">
        <v>1741</v>
      </c>
      <c r="C2167" t="str" cm="1">
        <f t="array" ref="C2167">CleanText(B2167)</f>
        <v>meu sonho de infncia em filme</v>
      </c>
      <c r="D2167">
        <v>0</v>
      </c>
      <c r="E2167">
        <v>0</v>
      </c>
      <c r="F2167" t="s">
        <v>10</v>
      </c>
      <c r="G2167" t="str" cm="1">
        <f t="array" ref="G2167">FindCountryName(F2167)</f>
        <v>None</v>
      </c>
      <c r="H2167" s="3">
        <v>45197.594537037039</v>
      </c>
      <c r="I2167" s="3">
        <v>45197.594537037039</v>
      </c>
      <c r="J2167" s="3">
        <v>39282.662962962961</v>
      </c>
      <c r="K2167" cm="1">
        <f t="array" ref="K2167">sentimentCalc(C2167)</f>
        <v>0</v>
      </c>
      <c r="L2167" t="str" cm="1">
        <f t="array" ref="L2167">sentimentCategory(K2167)</f>
        <v>Neutral</v>
      </c>
    </row>
    <row r="2168" spans="1:12" x14ac:dyDescent="0.25">
      <c r="A2168" t="s">
        <v>195</v>
      </c>
      <c r="B2168" t="s">
        <v>4309</v>
      </c>
      <c r="C2168" t="str" cm="1">
        <f t="array" ref="C2168">CleanText(B2168)</f>
        <v>mga pinkhahaha</v>
      </c>
      <c r="D2168">
        <v>1</v>
      </c>
      <c r="E2168">
        <v>1</v>
      </c>
      <c r="F2168" t="s">
        <v>10</v>
      </c>
      <c r="G2168" t="str" cm="1">
        <f t="array" ref="G2168">FindCountryName(F2168)</f>
        <v>None</v>
      </c>
      <c r="H2168" s="3">
        <v>45141.070798611108</v>
      </c>
      <c r="I2168" s="3">
        <v>45141.070798611108</v>
      </c>
      <c r="J2168" s="3">
        <v>41849.131747685184</v>
      </c>
      <c r="K2168" cm="1">
        <f t="array" ref="K2168">sentimentCalc(C2168)</f>
        <v>0</v>
      </c>
      <c r="L2168" t="str" cm="1">
        <f t="array" ref="L2168">sentimentCategory(K2168)</f>
        <v>Neutral</v>
      </c>
    </row>
    <row r="2169" spans="1:12" x14ac:dyDescent="0.25">
      <c r="A2169" t="s">
        <v>49</v>
      </c>
      <c r="B2169" t="s">
        <v>1723</v>
      </c>
      <c r="C2169" t="str" cm="1">
        <f t="array" ref="C2169">CleanText(B2169)</f>
        <v>michelle obama for president</v>
      </c>
      <c r="D2169">
        <v>0</v>
      </c>
      <c r="E2169">
        <v>0</v>
      </c>
      <c r="F2169" t="s">
        <v>10</v>
      </c>
      <c r="G2169" t="str" cm="1">
        <f t="array" ref="G2169">FindCountryName(F2169)</f>
        <v>None</v>
      </c>
      <c r="H2169" s="3">
        <v>45199.390567129631</v>
      </c>
      <c r="I2169" s="3">
        <v>45199.390567129631</v>
      </c>
      <c r="J2169" s="3">
        <v>45165.203923611109</v>
      </c>
      <c r="K2169" cm="1">
        <f t="array" ref="K2169">sentimentCalc(C2169)</f>
        <v>0</v>
      </c>
      <c r="L2169" t="str" cm="1">
        <f t="array" ref="L2169">sentimentCategory(K2169)</f>
        <v>Neutral</v>
      </c>
    </row>
    <row r="2170" spans="1:12" x14ac:dyDescent="0.25">
      <c r="A2170" t="s">
        <v>1119</v>
      </c>
      <c r="B2170" t="s">
        <v>1120</v>
      </c>
      <c r="C2170" t="str" cm="1">
        <f t="array" ref="C2170">CleanText(B2170)</f>
        <v>middle age barbieisnt barbie a teen</v>
      </c>
      <c r="D2170">
        <v>0</v>
      </c>
      <c r="E2170">
        <v>2</v>
      </c>
      <c r="F2170" t="s">
        <v>10</v>
      </c>
      <c r="G2170" t="str" cm="1">
        <f t="array" ref="G2170">FindCountryName(F2170)</f>
        <v>None</v>
      </c>
      <c r="H2170" s="3">
        <v>45287.424988425926</v>
      </c>
      <c r="I2170" s="3">
        <v>45287.424988425926</v>
      </c>
      <c r="J2170" s="3">
        <v>44021.901041666664</v>
      </c>
      <c r="K2170" cm="1">
        <f t="array" ref="K2170">sentimentCalc(C2170)</f>
        <v>0</v>
      </c>
      <c r="L2170" t="str" cm="1">
        <f t="array" ref="L2170">sentimentCategory(K2170)</f>
        <v>Neutral</v>
      </c>
    </row>
    <row r="2171" spans="1:12" x14ac:dyDescent="0.25">
      <c r="A2171" t="s">
        <v>41</v>
      </c>
      <c r="B2171" t="s">
        <v>1501</v>
      </c>
      <c r="C2171" t="str" cm="1">
        <f t="array" ref="C2171">CleanText(B2171)</f>
        <v>minha sobrinha est encantada</v>
      </c>
      <c r="D2171">
        <v>0</v>
      </c>
      <c r="E2171">
        <v>0</v>
      </c>
      <c r="F2171" t="s">
        <v>10</v>
      </c>
      <c r="G2171" t="str" cm="1">
        <f t="array" ref="G2171">FindCountryName(F2171)</f>
        <v>None</v>
      </c>
      <c r="H2171" s="3">
        <v>45218.830810185187</v>
      </c>
      <c r="I2171" s="3">
        <v>45218.830810185187</v>
      </c>
      <c r="J2171" s="3">
        <v>45218.578773148147</v>
      </c>
      <c r="K2171" cm="1">
        <f t="array" ref="K2171">sentimentCalc(C2171)</f>
        <v>0</v>
      </c>
      <c r="L2171" t="str" cm="1">
        <f t="array" ref="L2171">sentimentCategory(K2171)</f>
        <v>Neutral</v>
      </c>
    </row>
    <row r="2172" spans="1:12" x14ac:dyDescent="0.25">
      <c r="A2172" t="s">
        <v>3375</v>
      </c>
      <c r="B2172" t="s">
        <v>3376</v>
      </c>
      <c r="C2172" t="str" cm="1">
        <f t="array" ref="C2172">CleanText(B2172)</f>
        <v>misandrist movie that promotes victimhoodcan someone tell me how the f these women are still pushing patriarchy garbage when women get away with murder on daily basis and women have way more rights and privileges than menonly in the west u can see the men that built everything and that makes everything working that these ungrateful feminists enjoy just to be denigratedif men would disappear i bet u these ungrateful feminists wouldnt last a week</v>
      </c>
      <c r="D2172">
        <v>1</v>
      </c>
      <c r="E2172">
        <v>1</v>
      </c>
      <c r="F2172" t="s">
        <v>10</v>
      </c>
      <c r="G2172" t="str" cm="1">
        <f t="array" ref="G2172">FindCountryName(F2172)</f>
        <v>None</v>
      </c>
      <c r="H2172" s="3">
        <v>45149.488391203704</v>
      </c>
      <c r="I2172" s="3">
        <v>45149.488391203704</v>
      </c>
      <c r="J2172" s="3">
        <v>42747.34033564815</v>
      </c>
      <c r="K2172" cm="1">
        <f t="array" ref="K2172">sentimentCalc(C2172)</f>
        <v>0</v>
      </c>
      <c r="L2172" t="str" cm="1">
        <f t="array" ref="L2172">sentimentCategory(K2172)</f>
        <v>Neutral</v>
      </c>
    </row>
    <row r="2173" spans="1:12" x14ac:dyDescent="0.25">
      <c r="A2173" t="s">
        <v>1316</v>
      </c>
      <c r="B2173" t="s">
        <v>1376</v>
      </c>
      <c r="C2173" t="str" cm="1">
        <f t="array" ref="C2173">CleanText(B2173)</f>
        <v>misandry</v>
      </c>
      <c r="D2173">
        <v>1</v>
      </c>
      <c r="E2173">
        <v>3</v>
      </c>
      <c r="F2173" t="s">
        <v>10</v>
      </c>
      <c r="G2173" t="str" cm="1">
        <f t="array" ref="G2173">FindCountryName(F2173)</f>
        <v>None</v>
      </c>
      <c r="H2173" s="3">
        <v>45236.015219907407</v>
      </c>
      <c r="I2173" s="3">
        <v>45236.015219907407</v>
      </c>
      <c r="J2173" s="3">
        <v>42748.166145833333</v>
      </c>
      <c r="K2173" cm="1">
        <f t="array" ref="K2173">sentimentCalc(C2173)</f>
        <v>0</v>
      </c>
      <c r="L2173" t="str" cm="1">
        <f t="array" ref="L2173">sentimentCategory(K2173)</f>
        <v>Neutral</v>
      </c>
    </row>
    <row r="2174" spans="1:12" x14ac:dyDescent="0.25">
      <c r="A2174" t="s">
        <v>505</v>
      </c>
      <c r="B2174" t="s">
        <v>2240</v>
      </c>
      <c r="C2174" t="str" cm="1">
        <f t="array" ref="C2174">CleanText(B2174)</f>
        <v>misogyny disguised as feminism disguised as new age feminism</v>
      </c>
      <c r="D2174">
        <v>2</v>
      </c>
      <c r="E2174">
        <v>19</v>
      </c>
      <c r="F2174" t="s">
        <v>845</v>
      </c>
      <c r="G2174" t="str" cm="1">
        <f t="array" ref="G2174">FindCountryName(F2174)</f>
        <v>Australia</v>
      </c>
      <c r="H2174" s="3">
        <v>45174.723333333335</v>
      </c>
      <c r="I2174" s="3">
        <v>45174.723333333335</v>
      </c>
      <c r="J2174" s="3">
        <v>41109.920567129629</v>
      </c>
      <c r="K2174" cm="1">
        <f t="array" ref="K2174">sentimentCalc(C2174)</f>
        <v>-2</v>
      </c>
      <c r="L2174" t="str" cm="1">
        <f t="array" ref="L2174">sentimentCategory(K2174)</f>
        <v>Negative</v>
      </c>
    </row>
    <row r="2175" spans="1:12" x14ac:dyDescent="0.25">
      <c r="A2175" t="s">
        <v>462</v>
      </c>
      <c r="B2175" t="s">
        <v>3922</v>
      </c>
      <c r="C2175" t="str" cm="1">
        <f t="array" ref="C2175">CleanText(B2175)</f>
        <v>missed this kinda vibes movies last time theres a movies like this i think  and under</v>
      </c>
      <c r="D2175">
        <v>1</v>
      </c>
      <c r="E2175">
        <v>0</v>
      </c>
      <c r="F2175" t="s">
        <v>10</v>
      </c>
      <c r="G2175" t="str" cm="1">
        <f t="array" ref="G2175">FindCountryName(F2175)</f>
        <v>None</v>
      </c>
      <c r="H2175" s="3">
        <v>45144.476273148146</v>
      </c>
      <c r="I2175" s="3">
        <v>45144.476273148146</v>
      </c>
      <c r="J2175" s="3">
        <v>44470.415810185186</v>
      </c>
      <c r="K2175" cm="1">
        <f t="array" ref="K2175">sentimentCalc(C2175)</f>
        <v>0</v>
      </c>
      <c r="L2175" t="str" cm="1">
        <f t="array" ref="L2175">sentimentCategory(K2175)</f>
        <v>Neutral</v>
      </c>
    </row>
    <row r="2176" spans="1:12" x14ac:dyDescent="0.25">
      <c r="A2176" t="s">
        <v>720</v>
      </c>
      <c r="B2176" t="s">
        <v>3100</v>
      </c>
      <c r="C2176" t="str" cm="1">
        <f t="array" ref="C2176">CleanText(B2176)</f>
        <v>more and more countries are banning this movie due to it being unsuitable read too idiotic and imbecile for normal people to be exposed to it</v>
      </c>
      <c r="D2176">
        <v>3</v>
      </c>
      <c r="E2176">
        <v>1</v>
      </c>
      <c r="F2176" t="s">
        <v>10</v>
      </c>
      <c r="G2176" t="str" cm="1">
        <f t="array" ref="G2176">FindCountryName(F2176)</f>
        <v>None</v>
      </c>
      <c r="H2176" s="3">
        <v>45153.445821759262</v>
      </c>
      <c r="I2176" s="3">
        <v>45153.445821759262</v>
      </c>
      <c r="J2176" s="3">
        <v>41197.092361111114</v>
      </c>
      <c r="K2176" cm="1">
        <f t="array" ref="K2176">sentimentCalc(C2176)</f>
        <v>-7</v>
      </c>
      <c r="L2176" t="str" cm="1">
        <f t="array" ref="L2176">sentimentCategory(K2176)</f>
        <v>Negative</v>
      </c>
    </row>
    <row r="2177" spans="1:12" x14ac:dyDescent="0.25">
      <c r="A2177" t="s">
        <v>4297</v>
      </c>
      <c r="B2177" t="s">
        <v>4298</v>
      </c>
      <c r="C2177" t="str" cm="1">
        <f t="array" ref="C2177">CleanText(B2177)</f>
        <v>more fantasy brain washing trash on the big screen</v>
      </c>
      <c r="D2177">
        <v>1</v>
      </c>
      <c r="E2177">
        <v>0</v>
      </c>
      <c r="F2177" t="s">
        <v>10</v>
      </c>
      <c r="G2177" t="str" cm="1">
        <f t="array" ref="G2177">FindCountryName(F2177)</f>
        <v>None</v>
      </c>
      <c r="H2177" s="3">
        <v>45141.142175925925</v>
      </c>
      <c r="I2177" s="3">
        <v>45141.149525462963</v>
      </c>
      <c r="J2177" s="3">
        <v>41110.762395833335</v>
      </c>
      <c r="K2177" cm="1">
        <f t="array" ref="K2177">sentimentCalc(C2177)</f>
        <v>1</v>
      </c>
      <c r="L2177" t="str" cm="1">
        <f t="array" ref="L2177">sentimentCategory(K2177)</f>
        <v>Positive</v>
      </c>
    </row>
    <row r="2178" spans="1:12" x14ac:dyDescent="0.25">
      <c r="A2178" t="s">
        <v>1283</v>
      </c>
      <c r="B2178" t="s">
        <v>3533</v>
      </c>
      <c r="C2178" t="str" cm="1">
        <f t="array" ref="C2178">CleanText(B2178)</f>
        <v>more feminist woke garbage</v>
      </c>
      <c r="D2178">
        <v>1</v>
      </c>
      <c r="E2178">
        <v>1</v>
      </c>
      <c r="F2178" t="s">
        <v>10</v>
      </c>
      <c r="G2178" t="str" cm="1">
        <f t="array" ref="G2178">FindCountryName(F2178)</f>
        <v>None</v>
      </c>
      <c r="H2178" s="3">
        <v>45147.751226851855</v>
      </c>
      <c r="I2178" s="3">
        <v>45147.751215277778</v>
      </c>
      <c r="J2178" s="3">
        <v>44295.738055555557</v>
      </c>
      <c r="K2178" cm="1">
        <f t="array" ref="K2178">sentimentCalc(C2178)</f>
        <v>0</v>
      </c>
      <c r="L2178" t="str" cm="1">
        <f t="array" ref="L2178">sentimentCategory(K2178)</f>
        <v>Neutral</v>
      </c>
    </row>
    <row r="2179" spans="1:12" x14ac:dyDescent="0.25">
      <c r="A2179" t="s">
        <v>2070</v>
      </c>
      <c r="B2179" t="s">
        <v>2071</v>
      </c>
      <c r="C2179" t="str" cm="1">
        <f t="array" ref="C2179">CleanText(B2179)</f>
        <v>more garbage</v>
      </c>
      <c r="D2179">
        <v>4</v>
      </c>
      <c r="E2179">
        <v>3</v>
      </c>
      <c r="F2179" t="s">
        <v>10</v>
      </c>
      <c r="G2179" t="str" cm="1">
        <f t="array" ref="G2179">FindCountryName(F2179)</f>
        <v>None</v>
      </c>
      <c r="H2179" s="3">
        <v>45182.03497685185</v>
      </c>
      <c r="I2179" s="3">
        <v>45182.03497685185</v>
      </c>
      <c r="J2179" s="3">
        <v>39120.797175925924</v>
      </c>
      <c r="K2179" cm="1">
        <f t="array" ref="K2179">sentimentCalc(C2179)</f>
        <v>0</v>
      </c>
      <c r="L2179" t="str" cm="1">
        <f t="array" ref="L2179">sentimentCategory(K2179)</f>
        <v>Neutral</v>
      </c>
    </row>
    <row r="2180" spans="1:12" x14ac:dyDescent="0.25">
      <c r="A2180" t="s">
        <v>245</v>
      </c>
      <c r="B2180" t="s">
        <v>246</v>
      </c>
      <c r="C2180" t="str" cm="1">
        <f t="array" ref="C2180">CleanText(B2180)</f>
        <v>more junk food entertainment nobody asked for</v>
      </c>
      <c r="D2180">
        <v>0</v>
      </c>
      <c r="E2180">
        <v>4</v>
      </c>
      <c r="F2180" t="s">
        <v>10</v>
      </c>
      <c r="G2180" t="str" cm="1">
        <f t="array" ref="G2180">FindCountryName(F2180)</f>
        <v>None</v>
      </c>
      <c r="H2180" s="3">
        <v>45326.375844907408</v>
      </c>
      <c r="I2180" s="3">
        <v>45326.375844907408</v>
      </c>
      <c r="J2180" s="3">
        <v>40883.820844907408</v>
      </c>
      <c r="K2180" cm="1">
        <f t="array" ref="K2180">sentimentCalc(C2180)</f>
        <v>0</v>
      </c>
      <c r="L2180" t="str" cm="1">
        <f t="array" ref="L2180">sentimentCategory(K2180)</f>
        <v>Neutral</v>
      </c>
    </row>
    <row r="2181" spans="1:12" x14ac:dyDescent="0.25">
      <c r="A2181" t="s">
        <v>313</v>
      </c>
      <c r="B2181" t="s">
        <v>1595</v>
      </c>
      <c r="C2181" t="str" cm="1">
        <f t="array" ref="C2181">CleanText(B2181)</f>
        <v>more video plz</v>
      </c>
      <c r="D2181">
        <v>0</v>
      </c>
      <c r="E2181">
        <v>0</v>
      </c>
      <c r="F2181" t="s">
        <v>10</v>
      </c>
      <c r="G2181" t="str" cm="1">
        <f t="array" ref="G2181">FindCountryName(F2181)</f>
        <v>None</v>
      </c>
      <c r="H2181" s="3">
        <v>45210.33929398148</v>
      </c>
      <c r="I2181" s="3">
        <v>45210.33929398148</v>
      </c>
      <c r="J2181" s="3">
        <v>45121.115289351852</v>
      </c>
      <c r="K2181" cm="1">
        <f t="array" ref="K2181">sentimentCalc(C2181)</f>
        <v>0</v>
      </c>
      <c r="L2181" t="str" cm="1">
        <f t="array" ref="L2181">sentimentCategory(K2181)</f>
        <v>Neutral</v>
      </c>
    </row>
    <row r="2182" spans="1:12" x14ac:dyDescent="0.25">
      <c r="A2182" t="s">
        <v>1117</v>
      </c>
      <c r="B2182" t="s">
        <v>1118</v>
      </c>
      <c r="C2182" t="str" cm="1">
        <f t="array" ref="C2182">CleanText(B2182)</f>
        <v>most of the men commenting are saying its an awful film but theyre missing the point its about barbie but its really made to expose the harsh reality of being a woman in todays society and because theyre male theyll never understand our struggles and how difficult it is to surpass a man in any field if youre a woman</v>
      </c>
      <c r="D2182">
        <v>2</v>
      </c>
      <c r="E2182">
        <v>2</v>
      </c>
      <c r="F2182" t="s">
        <v>10</v>
      </c>
      <c r="G2182" t="str" cm="1">
        <f t="array" ref="G2182">FindCountryName(F2182)</f>
        <v>None</v>
      </c>
      <c r="H2182" s="3">
        <v>45287.772766203707</v>
      </c>
      <c r="I2182" s="3">
        <v>45287.772766203707</v>
      </c>
      <c r="J2182" s="3">
        <v>44094.259108796294</v>
      </c>
      <c r="K2182" cm="1">
        <f t="array" ref="K2182">sentimentCalc(C2182)</f>
        <v>-11</v>
      </c>
      <c r="L2182" t="str" cm="1">
        <f t="array" ref="L2182">sentimentCategory(K2182)</f>
        <v>Negative</v>
      </c>
    </row>
    <row r="2183" spans="1:12" x14ac:dyDescent="0.25">
      <c r="A2183" t="s">
        <v>871</v>
      </c>
      <c r="B2183" t="s">
        <v>3880</v>
      </c>
      <c r="C2183" t="str" cm="1">
        <f t="array" ref="C2183">CleanText(B2183)</f>
        <v>most overrated movie ever</v>
      </c>
      <c r="D2183">
        <v>4</v>
      </c>
      <c r="E2183">
        <v>0</v>
      </c>
      <c r="F2183" t="s">
        <v>10</v>
      </c>
      <c r="G2183" t="str" cm="1">
        <f t="array" ref="G2183">FindCountryName(F2183)</f>
        <v>None</v>
      </c>
      <c r="H2183" s="3">
        <v>45144.759155092594</v>
      </c>
      <c r="I2183" s="3">
        <v>45144.759155092594</v>
      </c>
      <c r="J2183" s="3">
        <v>44847.544120370374</v>
      </c>
      <c r="K2183" cm="1">
        <f t="array" ref="K2183">sentimentCalc(C2183)</f>
        <v>0</v>
      </c>
      <c r="L2183" t="str" cm="1">
        <f t="array" ref="L2183">sentimentCategory(K2183)</f>
        <v>Neutral</v>
      </c>
    </row>
    <row r="2184" spans="1:12" x14ac:dyDescent="0.25">
      <c r="A2184" t="s">
        <v>213</v>
      </c>
      <c r="B2184" t="s">
        <v>1730</v>
      </c>
      <c r="C2184" t="str" cm="1">
        <f t="array" ref="C2184">CleanText(B2184)</f>
        <v>most overrated movie of the centurylike if you agree</v>
      </c>
      <c r="D2184">
        <v>1</v>
      </c>
      <c r="E2184">
        <v>0</v>
      </c>
      <c r="F2184" t="s">
        <v>10</v>
      </c>
      <c r="G2184" t="str" cm="1">
        <f t="array" ref="G2184">FindCountryName(F2184)</f>
        <v>None</v>
      </c>
      <c r="H2184" s="3">
        <v>45198.508321759262</v>
      </c>
      <c r="I2184" s="3">
        <v>45198.508321759262</v>
      </c>
      <c r="J2184" s="3">
        <v>44421.031736111108</v>
      </c>
      <c r="K2184" cm="1">
        <f t="array" ref="K2184">sentimentCalc(C2184)</f>
        <v>1</v>
      </c>
      <c r="L2184" t="str" cm="1">
        <f t="array" ref="L2184">sentimentCategory(K2184)</f>
        <v>Positive</v>
      </c>
    </row>
    <row r="2185" spans="1:12" x14ac:dyDescent="0.25">
      <c r="A2185" t="s">
        <v>331</v>
      </c>
      <c r="B2185" t="s">
        <v>2063</v>
      </c>
      <c r="C2185" t="str" cm="1">
        <f t="array" ref="C2185">CleanText(B2185)</f>
        <v>most retarded civilisasion movie i ever seen coming true to the life  lik a a idicracy f you liberas elites  and other bill and gates and big lieing companis f of this world and let people evolve mfkers goretarded mfcker</v>
      </c>
      <c r="D2185">
        <v>0</v>
      </c>
      <c r="E2185">
        <v>1</v>
      </c>
      <c r="F2185" t="s">
        <v>10</v>
      </c>
      <c r="G2185" t="str" cm="1">
        <f t="array" ref="G2185">FindCountryName(F2185)</f>
        <v>None</v>
      </c>
      <c r="H2185" s="3">
        <v>45182.429988425924</v>
      </c>
      <c r="I2185" s="3">
        <v>45182.429988425924</v>
      </c>
      <c r="J2185" s="3">
        <v>42009.477083333331</v>
      </c>
      <c r="K2185" cm="1">
        <f t="array" ref="K2185">sentimentCalc(C2185)</f>
        <v>3</v>
      </c>
      <c r="L2185" t="str" cm="1">
        <f t="array" ref="L2185">sentimentCategory(K2185)</f>
        <v>Positive</v>
      </c>
    </row>
    <row r="2186" spans="1:12" x14ac:dyDescent="0.25">
      <c r="A2186" t="s">
        <v>15</v>
      </c>
      <c r="B2186" t="s">
        <v>3313</v>
      </c>
      <c r="C2186" t="str" cm="1">
        <f t="array" ref="C2186">CleanText(B2186)</f>
        <v>most sexiest movie ever this whole movie is against men but guess what they dont care</v>
      </c>
      <c r="D2186">
        <v>2</v>
      </c>
      <c r="E2186">
        <v>3</v>
      </c>
      <c r="F2186" t="s">
        <v>1073</v>
      </c>
      <c r="G2186" t="str" cm="1">
        <f t="array" ref="G2186">FindCountryName(F2186)</f>
        <v>India</v>
      </c>
      <c r="H2186" s="3">
        <v>45150.440462962964</v>
      </c>
      <c r="I2186" s="3">
        <v>45150.440462962964</v>
      </c>
      <c r="J2186" s="3">
        <v>41583.054155092592</v>
      </c>
      <c r="K2186" cm="1">
        <f t="array" ref="K2186">sentimentCalc(C2186)</f>
        <v>2</v>
      </c>
      <c r="L2186" t="str" cm="1">
        <f t="array" ref="L2186">sentimentCategory(K2186)</f>
        <v>Positive</v>
      </c>
    </row>
    <row r="2187" spans="1:12" x14ac:dyDescent="0.25">
      <c r="A2187" t="s">
        <v>4067</v>
      </c>
      <c r="B2187" t="s">
        <v>4068</v>
      </c>
      <c r="C2187" t="str" cm="1">
        <f t="array" ref="C2187">CleanText(B2187)</f>
        <v>mouvie for imbecill</v>
      </c>
      <c r="D2187">
        <v>1</v>
      </c>
      <c r="E2187">
        <v>0</v>
      </c>
      <c r="F2187" t="s">
        <v>10</v>
      </c>
      <c r="G2187" t="str" cm="1">
        <f t="array" ref="G2187">FindCountryName(F2187)</f>
        <v>None</v>
      </c>
      <c r="H2187" s="3">
        <v>45143.159594907411</v>
      </c>
      <c r="I2187" s="3">
        <v>45143.159594907411</v>
      </c>
      <c r="J2187" s="3">
        <v>45120.494780092595</v>
      </c>
      <c r="K2187" cm="1">
        <f t="array" ref="K2187">sentimentCalc(C2187)</f>
        <v>0</v>
      </c>
      <c r="L2187" t="str" cm="1">
        <f t="array" ref="L2187">sentimentCategory(K2187)</f>
        <v>Neutral</v>
      </c>
    </row>
    <row r="2188" spans="1:12" x14ac:dyDescent="0.25">
      <c r="A2188" t="s">
        <v>1766</v>
      </c>
      <c r="B2188" t="s">
        <v>1767</v>
      </c>
      <c r="C2188" t="str" cm="1">
        <f t="array" ref="C2188">CleanText(B2188)</f>
        <v>movie is a nonsense</v>
      </c>
      <c r="D2188">
        <v>0</v>
      </c>
      <c r="E2188">
        <v>0</v>
      </c>
      <c r="F2188" t="s">
        <v>10</v>
      </c>
      <c r="G2188" t="str" cm="1">
        <f t="array" ref="G2188">FindCountryName(F2188)</f>
        <v>None</v>
      </c>
      <c r="H2188" s="3">
        <v>45196.707083333335</v>
      </c>
      <c r="I2188" s="3">
        <v>45196.707083333335</v>
      </c>
      <c r="J2188" s="3">
        <v>40334.262789351851</v>
      </c>
      <c r="K2188" cm="1">
        <f t="array" ref="K2188">sentimentCalc(C2188)</f>
        <v>-2</v>
      </c>
      <c r="L2188" t="str" cm="1">
        <f t="array" ref="L2188">sentimentCategory(K2188)</f>
        <v>Negative</v>
      </c>
    </row>
    <row r="2189" spans="1:12" x14ac:dyDescent="0.25">
      <c r="A2189" t="s">
        <v>290</v>
      </c>
      <c r="B2189" t="s">
        <v>3019</v>
      </c>
      <c r="C2189" t="str" cm="1">
        <f t="array" ref="C2189">CleanText(B2189)</f>
        <v>movie looks crappy</v>
      </c>
      <c r="D2189">
        <v>2</v>
      </c>
      <c r="E2189">
        <v>0</v>
      </c>
      <c r="F2189" t="s">
        <v>10</v>
      </c>
      <c r="G2189" t="str" cm="1">
        <f t="array" ref="G2189">FindCountryName(F2189)</f>
        <v>None</v>
      </c>
      <c r="H2189" s="3">
        <v>45154.443171296298</v>
      </c>
      <c r="I2189" s="3">
        <v>45154.443171296298</v>
      </c>
      <c r="J2189" s="3">
        <v>44056.487326388888</v>
      </c>
      <c r="K2189" cm="1">
        <f t="array" ref="K2189">sentimentCalc(C2189)</f>
        <v>0</v>
      </c>
      <c r="L2189" t="str" cm="1">
        <f t="array" ref="L2189">sentimentCategory(K2189)</f>
        <v>Neutral</v>
      </c>
    </row>
    <row r="2190" spans="1:12" x14ac:dyDescent="0.25">
      <c r="A2190" t="s">
        <v>3053</v>
      </c>
      <c r="B2190" t="s">
        <v>3054</v>
      </c>
      <c r="C2190" t="str" cm="1">
        <f t="array" ref="C2190">CleanText(B2190)</f>
        <v>movie shouldve been called ken hope you feminists are coping with the real star of the movie stay triggered</v>
      </c>
      <c r="D2190">
        <v>2</v>
      </c>
      <c r="E2190">
        <v>10</v>
      </c>
      <c r="F2190" t="s">
        <v>10</v>
      </c>
      <c r="G2190" t="str" cm="1">
        <f t="array" ref="G2190">FindCountryName(F2190)</f>
        <v>None</v>
      </c>
      <c r="H2190" s="3">
        <v>45154.002025462964</v>
      </c>
      <c r="I2190" s="3">
        <v>45154.002025462964</v>
      </c>
      <c r="J2190" s="3">
        <v>43584.869756944441</v>
      </c>
      <c r="K2190" cm="1">
        <f t="array" ref="K2190">sentimentCalc(C2190)</f>
        <v>2</v>
      </c>
      <c r="L2190" t="str" cm="1">
        <f t="array" ref="L2190">sentimentCategory(K2190)</f>
        <v>Positive</v>
      </c>
    </row>
    <row r="2191" spans="1:12" x14ac:dyDescent="0.25">
      <c r="A2191" t="s">
        <v>365</v>
      </c>
      <c r="B2191" t="s">
        <v>1081</v>
      </c>
      <c r="C2191" t="str" cm="1">
        <f t="array" ref="C2191">CleanText(B2191)</f>
        <v>movie sucked like wtf didni just watch</v>
      </c>
      <c r="D2191">
        <v>0</v>
      </c>
      <c r="E2191">
        <v>0</v>
      </c>
      <c r="F2191" t="s">
        <v>10</v>
      </c>
      <c r="G2191" t="str" cm="1">
        <f t="array" ref="G2191">FindCountryName(F2191)</f>
        <v>None</v>
      </c>
      <c r="H2191" s="3">
        <v>45291.817928240744</v>
      </c>
      <c r="I2191" s="3">
        <v>45291.817928240744</v>
      </c>
      <c r="J2191" s="3">
        <v>42420.975069444445</v>
      </c>
      <c r="K2191" cm="1">
        <f t="array" ref="K2191">sentimentCalc(C2191)</f>
        <v>2</v>
      </c>
      <c r="L2191" t="str" cm="1">
        <f t="array" ref="L2191">sentimentCategory(K2191)</f>
        <v>Positive</v>
      </c>
    </row>
    <row r="2192" spans="1:12" x14ac:dyDescent="0.25">
      <c r="A2192" t="s">
        <v>1498</v>
      </c>
      <c r="B2192" t="s">
        <v>1499</v>
      </c>
      <c r="C2192" t="str" cm="1">
        <f t="array" ref="C2192">CleanText(B2192)</f>
        <v>movie was fire</v>
      </c>
      <c r="D2192">
        <v>0</v>
      </c>
      <c r="E2192">
        <v>0</v>
      </c>
      <c r="F2192" t="s">
        <v>10</v>
      </c>
      <c r="G2192" t="str" cm="1">
        <f t="array" ref="G2192">FindCountryName(F2192)</f>
        <v>None</v>
      </c>
      <c r="H2192" s="3">
        <v>45219.868842592594</v>
      </c>
      <c r="I2192" s="3">
        <v>45219.868842592594</v>
      </c>
      <c r="J2192" s="3">
        <v>44792.442986111113</v>
      </c>
      <c r="K2192" cm="1">
        <f t="array" ref="K2192">sentimentCalc(C2192)</f>
        <v>-2</v>
      </c>
      <c r="L2192" t="str" cm="1">
        <f t="array" ref="L2192">sentimentCategory(K2192)</f>
        <v>Negative</v>
      </c>
    </row>
    <row r="2193" spans="1:12" x14ac:dyDescent="0.25">
      <c r="A2193" t="s">
        <v>465</v>
      </c>
      <c r="B2193" t="s">
        <v>3442</v>
      </c>
      <c r="C2193" t="str" cm="1">
        <f t="array" ref="C2193">CleanText(B2193)</f>
        <v>movie was pure trash after the st  mins</v>
      </c>
      <c r="D2193">
        <v>2</v>
      </c>
      <c r="E2193">
        <v>0</v>
      </c>
      <c r="F2193" t="s">
        <v>10</v>
      </c>
      <c r="G2193" t="str" cm="1">
        <f t="array" ref="G2193">FindCountryName(F2193)</f>
        <v>None</v>
      </c>
      <c r="H2193" s="3">
        <v>45148.842673611114</v>
      </c>
      <c r="I2193" s="3">
        <v>45148.90898148148</v>
      </c>
      <c r="J2193" s="3">
        <v>38915.889270833337</v>
      </c>
      <c r="K2193" cm="1">
        <f t="array" ref="K2193">sentimentCalc(C2193)</f>
        <v>0</v>
      </c>
      <c r="L2193" t="str" cm="1">
        <f t="array" ref="L2193">sentimentCategory(K2193)</f>
        <v>Neutral</v>
      </c>
    </row>
    <row r="2194" spans="1:12" x14ac:dyDescent="0.25">
      <c r="A2194" t="s">
        <v>537</v>
      </c>
      <c r="B2194" t="s">
        <v>2943</v>
      </c>
      <c r="C2194" t="str" cm="1">
        <f t="array" ref="C2194">CleanText(B2194)</f>
        <v>movie was what i expected a show telling how women will be contradictory and that extreme masculinity is looked upon negatively as well as extreme feminity</v>
      </c>
      <c r="D2194">
        <v>0</v>
      </c>
      <c r="E2194">
        <v>0</v>
      </c>
      <c r="F2194" t="s">
        <v>10</v>
      </c>
      <c r="G2194" t="str" cm="1">
        <f t="array" ref="G2194">FindCountryName(F2194)</f>
        <v>None</v>
      </c>
      <c r="H2194" s="3">
        <v>45155.635104166664</v>
      </c>
      <c r="I2194" s="3">
        <v>45155.635104166664</v>
      </c>
      <c r="J2194" s="3">
        <v>44078.415763888886</v>
      </c>
      <c r="K2194" cm="1">
        <f t="array" ref="K2194">sentimentCalc(C2194)</f>
        <v>0</v>
      </c>
      <c r="L2194" t="str" cm="1">
        <f t="array" ref="L2194">sentimentCategory(K2194)</f>
        <v>Neutral</v>
      </c>
    </row>
    <row r="2195" spans="1:12" x14ac:dyDescent="0.25">
      <c r="A2195" t="s">
        <v>1112</v>
      </c>
      <c r="B2195" t="s">
        <v>3830</v>
      </c>
      <c r="C2195" t="str" cm="1">
        <f t="array" ref="C2195">CleanText(B2195)</f>
        <v>movies are just getting dumber and dumber no imagination whatsoever</v>
      </c>
      <c r="D2195">
        <v>3</v>
      </c>
      <c r="E2195">
        <v>0</v>
      </c>
      <c r="F2195" t="s">
        <v>10</v>
      </c>
      <c r="G2195" t="str" cm="1">
        <f t="array" ref="G2195">FindCountryName(F2195)</f>
        <v>None</v>
      </c>
      <c r="H2195" s="3">
        <v>45145.197256944448</v>
      </c>
      <c r="I2195" s="3">
        <v>45145.197256944448</v>
      </c>
      <c r="J2195" s="3">
        <v>42870.912685185183</v>
      </c>
      <c r="K2195" cm="1">
        <f t="array" ref="K2195">sentimentCalc(C2195)</f>
        <v>-1</v>
      </c>
      <c r="L2195" t="str" cm="1">
        <f t="array" ref="L2195">sentimentCategory(K2195)</f>
        <v>Negative</v>
      </c>
    </row>
    <row r="2196" spans="1:12" x14ac:dyDescent="0.25">
      <c r="A2196" t="s">
        <v>266</v>
      </c>
      <c r="B2196" t="s">
        <v>3598</v>
      </c>
      <c r="C2196" t="str" cm="1">
        <f t="array" ref="C2196">CleanText(B2196)</f>
        <v>muah to ai</v>
      </c>
      <c r="D2196">
        <v>0</v>
      </c>
      <c r="E2196">
        <v>0</v>
      </c>
      <c r="F2196" t="s">
        <v>1073</v>
      </c>
      <c r="G2196" t="str" cm="1">
        <f t="array" ref="G2196">FindCountryName(F2196)</f>
        <v>India</v>
      </c>
      <c r="H2196" s="3">
        <v>45147.260046296295</v>
      </c>
      <c r="I2196" s="3">
        <v>45147.260046296295</v>
      </c>
      <c r="J2196" s="3">
        <v>43520.177835648145</v>
      </c>
      <c r="K2196" cm="1">
        <f t="array" ref="K2196">sentimentCalc(C2196)</f>
        <v>0</v>
      </c>
      <c r="L2196" t="str" cm="1">
        <f t="array" ref="L2196">sentimentCategory(K2196)</f>
        <v>Neutral</v>
      </c>
    </row>
    <row r="2197" spans="1:12" x14ac:dyDescent="0.25">
      <c r="A2197" t="s">
        <v>192</v>
      </c>
      <c r="B2197" t="s">
        <v>340</v>
      </c>
      <c r="C2197" t="str" cm="1">
        <f t="array" ref="C2197">CleanText(B2197)</f>
        <v>muazzam bir dizi ok beendim ok kaliteli</v>
      </c>
      <c r="D2197">
        <v>0</v>
      </c>
      <c r="E2197">
        <v>0</v>
      </c>
      <c r="F2197" t="s">
        <v>10</v>
      </c>
      <c r="G2197" t="str" cm="1">
        <f t="array" ref="G2197">FindCountryName(F2197)</f>
        <v>None</v>
      </c>
      <c r="H2197" s="3">
        <v>45322.279513888891</v>
      </c>
      <c r="I2197" s="3">
        <v>45322.279513888891</v>
      </c>
      <c r="J2197" s="3">
        <v>45322.252071759256</v>
      </c>
      <c r="K2197" cm="1">
        <f t="array" ref="K2197">sentimentCalc(C2197)</f>
        <v>0</v>
      </c>
      <c r="L2197" t="str" cm="1">
        <f t="array" ref="L2197">sentimentCategory(K2197)</f>
        <v>Neutral</v>
      </c>
    </row>
    <row r="2198" spans="1:12" x14ac:dyDescent="0.25">
      <c r="A2198" t="s">
        <v>36</v>
      </c>
      <c r="B2198" t="s">
        <v>756</v>
      </c>
      <c r="C2198" t="str" cm="1">
        <f t="array" ref="C2198">CleanText(B2198)</f>
        <v>muazzam olmu bence oppenheimer da gzel fakat kendi alanlarnda ikisi de birer yldz</v>
      </c>
      <c r="D2198">
        <v>0</v>
      </c>
      <c r="E2198">
        <v>0</v>
      </c>
      <c r="F2198" t="s">
        <v>10</v>
      </c>
      <c r="G2198" t="str" cm="1">
        <f t="array" ref="G2198">FindCountryName(F2198)</f>
        <v>None</v>
      </c>
      <c r="H2198" s="3">
        <v>45310.250543981485</v>
      </c>
      <c r="I2198" s="3">
        <v>45310.250543981485</v>
      </c>
      <c r="J2198" s="3">
        <v>41506.317962962959</v>
      </c>
      <c r="K2198" cm="1">
        <f t="array" ref="K2198">sentimentCalc(C2198)</f>
        <v>0</v>
      </c>
      <c r="L2198" t="str" cm="1">
        <f t="array" ref="L2198">sentimentCategory(K2198)</f>
        <v>Neutral</v>
      </c>
    </row>
    <row r="2199" spans="1:12" x14ac:dyDescent="0.25">
      <c r="A2199" t="s">
        <v>878</v>
      </c>
      <c r="B2199" t="s">
        <v>3573</v>
      </c>
      <c r="C2199" t="str" cm="1">
        <f t="array" ref="C2199">CleanText(B2199)</f>
        <v>much success and health to all</v>
      </c>
      <c r="D2199">
        <v>0</v>
      </c>
      <c r="E2199">
        <v>0</v>
      </c>
      <c r="F2199" t="s">
        <v>10</v>
      </c>
      <c r="G2199" t="str" cm="1">
        <f t="array" ref="G2199">FindCountryName(F2199)</f>
        <v>None</v>
      </c>
      <c r="H2199" s="3">
        <v>45147.469629629632</v>
      </c>
      <c r="I2199" s="3">
        <v>45147.469629629632</v>
      </c>
      <c r="J2199" s="3">
        <v>41629.219895833332</v>
      </c>
      <c r="K2199" cm="1">
        <f t="array" ref="K2199">sentimentCalc(C2199)</f>
        <v>2</v>
      </c>
      <c r="L2199" t="str" cm="1">
        <f t="array" ref="L2199">sentimentCategory(K2199)</f>
        <v>Positive</v>
      </c>
    </row>
    <row r="2200" spans="1:12" x14ac:dyDescent="0.25">
      <c r="A2200" t="s">
        <v>105</v>
      </c>
      <c r="B2200" t="s">
        <v>966</v>
      </c>
      <c r="C2200" t="str" cm="1">
        <f t="array" ref="C2200">CleanText(B2200)</f>
        <v>muhteem</v>
      </c>
      <c r="D2200">
        <v>0</v>
      </c>
      <c r="E2200">
        <v>0</v>
      </c>
      <c r="F2200" t="s">
        <v>10</v>
      </c>
      <c r="G2200" t="str" cm="1">
        <f t="array" ref="G2200">FindCountryName(F2200)</f>
        <v>None</v>
      </c>
      <c r="H2200" s="3">
        <v>45299.255254629628</v>
      </c>
      <c r="I2200" s="3">
        <v>45299.255254629628</v>
      </c>
      <c r="J2200" s="3">
        <v>45299.255243055559</v>
      </c>
      <c r="K2200" cm="1">
        <f t="array" ref="K2200">sentimentCalc(C2200)</f>
        <v>0</v>
      </c>
      <c r="L2200" t="str" cm="1">
        <f t="array" ref="L2200">sentimentCategory(K2200)</f>
        <v>Neutral</v>
      </c>
    </row>
    <row r="2201" spans="1:12" x14ac:dyDescent="0.25">
      <c r="A2201" t="s">
        <v>1503</v>
      </c>
      <c r="B2201" t="s">
        <v>1504</v>
      </c>
      <c r="C2201" t="str" cm="1">
        <f t="array" ref="C2201">CleanText(B2201)</f>
        <v>muito ansioso</v>
      </c>
      <c r="D2201">
        <v>0</v>
      </c>
      <c r="E2201">
        <v>0</v>
      </c>
      <c r="F2201" t="s">
        <v>10</v>
      </c>
      <c r="G2201" t="str" cm="1">
        <f t="array" ref="G2201">FindCountryName(F2201)</f>
        <v>None</v>
      </c>
      <c r="H2201" s="3">
        <v>45218.752581018518</v>
      </c>
      <c r="I2201" s="3">
        <v>45218.752581018518</v>
      </c>
      <c r="J2201" s="3">
        <v>43260.356689814813</v>
      </c>
      <c r="K2201" cm="1">
        <f t="array" ref="K2201">sentimentCalc(C2201)</f>
        <v>0</v>
      </c>
      <c r="L2201" t="str" cm="1">
        <f t="array" ref="L2201">sentimentCategory(K2201)</f>
        <v>Neutral</v>
      </c>
    </row>
    <row r="2202" spans="1:12" x14ac:dyDescent="0.25">
      <c r="A2202" t="s">
        <v>254</v>
      </c>
      <c r="B2202" t="s">
        <v>1336</v>
      </c>
      <c r="C2202" t="str" cm="1">
        <f t="array" ref="C2202">CleanText(B2202)</f>
        <v>muito bom</v>
      </c>
      <c r="D2202">
        <v>1</v>
      </c>
      <c r="E2202">
        <v>0</v>
      </c>
      <c r="F2202" t="s">
        <v>10</v>
      </c>
      <c r="G2202" t="str" cm="1">
        <f t="array" ref="G2202">FindCountryName(F2202)</f>
        <v>None</v>
      </c>
      <c r="H2202" s="3">
        <v>45242.703090277777</v>
      </c>
      <c r="I2202" s="3">
        <v>45242.703090277777</v>
      </c>
      <c r="J2202" s="3">
        <v>43844.344085648147</v>
      </c>
      <c r="K2202" cm="1">
        <f t="array" ref="K2202">sentimentCalc(C2202)</f>
        <v>0</v>
      </c>
      <c r="L2202" t="str" cm="1">
        <f t="array" ref="L2202">sentimentCategory(K2202)</f>
        <v>Neutral</v>
      </c>
    </row>
    <row r="2203" spans="1:12" x14ac:dyDescent="0.25">
      <c r="A2203" t="s">
        <v>514</v>
      </c>
      <c r="B2203" t="s">
        <v>1840</v>
      </c>
      <c r="C2203" t="str" cm="1">
        <f t="array" ref="C2203">CleanText(B2203)</f>
        <v>muito bom</v>
      </c>
      <c r="D2203">
        <v>0</v>
      </c>
      <c r="E2203">
        <v>0</v>
      </c>
      <c r="F2203" t="s">
        <v>10</v>
      </c>
      <c r="G2203" t="str" cm="1">
        <f t="array" ref="G2203">FindCountryName(F2203)</f>
        <v>None</v>
      </c>
      <c r="H2203" s="3">
        <v>45191.579351851855</v>
      </c>
      <c r="I2203" s="3">
        <v>45191.579351851855</v>
      </c>
      <c r="J2203" s="3">
        <v>42172.607800925929</v>
      </c>
      <c r="K2203" cm="1">
        <f t="array" ref="K2203">sentimentCalc(C2203)</f>
        <v>0</v>
      </c>
      <c r="L2203" t="str" cm="1">
        <f t="array" ref="L2203">sentimentCategory(K2203)</f>
        <v>Neutral</v>
      </c>
    </row>
    <row r="2204" spans="1:12" x14ac:dyDescent="0.25">
      <c r="A2204" t="s">
        <v>1553</v>
      </c>
      <c r="B2204" t="s">
        <v>1554</v>
      </c>
      <c r="C2204" t="str" cm="1">
        <f t="array" ref="C2204">CleanText(B2204)</f>
        <v>muito bom esse filme</v>
      </c>
      <c r="D2204">
        <v>0</v>
      </c>
      <c r="E2204">
        <v>0</v>
      </c>
      <c r="F2204" t="s">
        <v>10</v>
      </c>
      <c r="G2204" t="str" cm="1">
        <f t="array" ref="G2204">FindCountryName(F2204)</f>
        <v>None</v>
      </c>
      <c r="H2204" s="3">
        <v>45214.436921296299</v>
      </c>
      <c r="I2204" s="3">
        <v>45214.436921296299</v>
      </c>
      <c r="J2204" s="3">
        <v>40034.813067129631</v>
      </c>
      <c r="K2204" cm="1">
        <f t="array" ref="K2204">sentimentCalc(C2204)</f>
        <v>0</v>
      </c>
      <c r="L2204" t="str" cm="1">
        <f t="array" ref="L2204">sentimentCategory(K2204)</f>
        <v>Neutral</v>
      </c>
    </row>
    <row r="2205" spans="1:12" x14ac:dyDescent="0.25">
      <c r="A2205" t="s">
        <v>537</v>
      </c>
      <c r="B2205" t="s">
        <v>1565</v>
      </c>
      <c r="C2205" t="str" cm="1">
        <f t="array" ref="C2205">CleanText(B2205)</f>
        <v>muito bom esse filme  parabens aos criadores</v>
      </c>
      <c r="D2205">
        <v>0</v>
      </c>
      <c r="E2205">
        <v>0</v>
      </c>
      <c r="F2205" t="s">
        <v>10</v>
      </c>
      <c r="G2205" t="str" cm="1">
        <f t="array" ref="G2205">FindCountryName(F2205)</f>
        <v>None</v>
      </c>
      <c r="H2205" s="3">
        <v>45214.279988425929</v>
      </c>
      <c r="I2205" s="3">
        <v>45214.279988425929</v>
      </c>
      <c r="J2205" s="3">
        <v>42689.86613425926</v>
      </c>
      <c r="K2205" cm="1">
        <f t="array" ref="K2205">sentimentCalc(C2205)</f>
        <v>0</v>
      </c>
      <c r="L2205" t="str" cm="1">
        <f t="array" ref="L2205">sentimentCategory(K2205)</f>
        <v>Neutral</v>
      </c>
    </row>
    <row r="2206" spans="1:12" x14ac:dyDescent="0.25">
      <c r="A2206" t="s">
        <v>1076</v>
      </c>
      <c r="B2206" t="s">
        <v>1563</v>
      </c>
      <c r="C2206" t="str" cm="1">
        <f t="array" ref="C2206">CleanText(B2206)</f>
        <v>muito bom esse filme</v>
      </c>
      <c r="D2206">
        <v>0</v>
      </c>
      <c r="E2206">
        <v>0</v>
      </c>
      <c r="F2206" t="s">
        <v>10</v>
      </c>
      <c r="G2206" t="str" cm="1">
        <f t="array" ref="G2206">FindCountryName(F2206)</f>
        <v>None</v>
      </c>
      <c r="H2206" s="3">
        <v>45214.293067129627</v>
      </c>
      <c r="I2206" s="3">
        <v>45214.293067129627</v>
      </c>
      <c r="J2206" s="3">
        <v>42268.916388888887</v>
      </c>
      <c r="K2206" cm="1">
        <f t="array" ref="K2206">sentimentCalc(C2206)</f>
        <v>0</v>
      </c>
      <c r="L2206" t="str" cm="1">
        <f t="array" ref="L2206">sentimentCategory(K2206)</f>
        <v>Neutral</v>
      </c>
    </row>
    <row r="2207" spans="1:12" x14ac:dyDescent="0.25">
      <c r="A2207" t="s">
        <v>735</v>
      </c>
      <c r="B2207" t="s">
        <v>1449</v>
      </c>
      <c r="C2207" t="str" cm="1">
        <f t="array" ref="C2207">CleanText(B2207)</f>
        <v>muito bom eu e meus filhos adoraram</v>
      </c>
      <c r="D2207">
        <v>0</v>
      </c>
      <c r="E2207">
        <v>0</v>
      </c>
      <c r="F2207" t="s">
        <v>10</v>
      </c>
      <c r="G2207" t="str" cm="1">
        <f t="array" ref="G2207">FindCountryName(F2207)</f>
        <v>None</v>
      </c>
      <c r="H2207" s="3">
        <v>45226.548518518517</v>
      </c>
      <c r="I2207" s="3">
        <v>45226.548518518517</v>
      </c>
      <c r="J2207" s="3">
        <v>43971.307835648149</v>
      </c>
      <c r="K2207" cm="1">
        <f t="array" ref="K2207">sentimentCalc(C2207)</f>
        <v>0</v>
      </c>
      <c r="L2207" t="str" cm="1">
        <f t="array" ref="L2207">sentimentCategory(K2207)</f>
        <v>Neutral</v>
      </c>
    </row>
    <row r="2208" spans="1:12" x14ac:dyDescent="0.25">
      <c r="A2208" t="s">
        <v>152</v>
      </c>
      <c r="B2208" t="s">
        <v>1455</v>
      </c>
      <c r="C2208" t="str" cm="1">
        <f t="array" ref="C2208">CleanText(B2208)</f>
        <v>muito bom filme a barbie como nunca tinha visto antes</v>
      </c>
      <c r="D2208">
        <v>0</v>
      </c>
      <c r="E2208">
        <v>0</v>
      </c>
      <c r="F2208" t="s">
        <v>10</v>
      </c>
      <c r="G2208" t="str" cm="1">
        <f t="array" ref="G2208">FindCountryName(F2208)</f>
        <v>None</v>
      </c>
      <c r="H2208" s="3">
        <v>45226.484965277778</v>
      </c>
      <c r="I2208" s="3">
        <v>45226.484965277778</v>
      </c>
      <c r="J2208" s="3">
        <v>39925.769699074073</v>
      </c>
      <c r="K2208" cm="1">
        <f t="array" ref="K2208">sentimentCalc(C2208)</f>
        <v>0</v>
      </c>
      <c r="L2208" t="str" cm="1">
        <f t="array" ref="L2208">sentimentCategory(K2208)</f>
        <v>Neutral</v>
      </c>
    </row>
    <row r="2209" spans="1:12" x14ac:dyDescent="0.25">
      <c r="A2209" t="s">
        <v>1433</v>
      </c>
      <c r="B2209" t="s">
        <v>1625</v>
      </c>
      <c r="C2209" t="str" cm="1">
        <f t="array" ref="C2209">CleanText(B2209)</f>
        <v>muito bom o filme</v>
      </c>
      <c r="D2209">
        <v>0</v>
      </c>
      <c r="E2209">
        <v>0</v>
      </c>
      <c r="F2209" t="s">
        <v>10</v>
      </c>
      <c r="G2209" t="str" cm="1">
        <f t="array" ref="G2209">FindCountryName(F2209)</f>
        <v>None</v>
      </c>
      <c r="H2209" s="3">
        <v>45207.533055555556</v>
      </c>
      <c r="I2209" s="3">
        <v>45207.533055555556</v>
      </c>
      <c r="J2209" s="3">
        <v>43836.827152777776</v>
      </c>
      <c r="K2209" cm="1">
        <f t="array" ref="K2209">sentimentCalc(C2209)</f>
        <v>0</v>
      </c>
      <c r="L2209" t="str" cm="1">
        <f t="array" ref="L2209">sentimentCategory(K2209)</f>
        <v>Neutral</v>
      </c>
    </row>
    <row r="2210" spans="1:12" x14ac:dyDescent="0.25">
      <c r="A2210" t="s">
        <v>1394</v>
      </c>
      <c r="B2210" t="s">
        <v>1768</v>
      </c>
      <c r="C2210" t="str" cm="1">
        <f t="array" ref="C2210">CleanText(B2210)</f>
        <v>muito bom o filme galeraaaa vale a pena assistir</v>
      </c>
      <c r="D2210">
        <v>0</v>
      </c>
      <c r="E2210">
        <v>0</v>
      </c>
      <c r="F2210" t="s">
        <v>10</v>
      </c>
      <c r="G2210" t="str" cm="1">
        <f t="array" ref="G2210">FindCountryName(F2210)</f>
        <v>None</v>
      </c>
      <c r="H2210" s="3">
        <v>45196.637106481481</v>
      </c>
      <c r="I2210" s="3">
        <v>45196.637106481481</v>
      </c>
      <c r="J2210" s="3">
        <v>43980.589108796295</v>
      </c>
      <c r="K2210" cm="1">
        <f t="array" ref="K2210">sentimentCalc(C2210)</f>
        <v>0</v>
      </c>
      <c r="L2210" t="str" cm="1">
        <f t="array" ref="L2210">sentimentCategory(K2210)</f>
        <v>Neutral</v>
      </c>
    </row>
    <row r="2211" spans="1:12" x14ac:dyDescent="0.25">
      <c r="A2211" t="s">
        <v>120</v>
      </c>
      <c r="B2211" t="s">
        <v>1632</v>
      </c>
      <c r="C2211" t="str" cm="1">
        <f t="array" ref="C2211">CleanText(B2211)</f>
        <v>muito bom um filme legal pra relembrar os personagens</v>
      </c>
      <c r="D2211">
        <v>5</v>
      </c>
      <c r="E2211">
        <v>0</v>
      </c>
      <c r="F2211" t="s">
        <v>10</v>
      </c>
      <c r="G2211" t="str" cm="1">
        <f t="array" ref="G2211">FindCountryName(F2211)</f>
        <v>None</v>
      </c>
      <c r="H2211" s="3">
        <v>45207.324467592596</v>
      </c>
      <c r="I2211" s="3">
        <v>45207.324467592596</v>
      </c>
      <c r="J2211" s="3">
        <v>45203.640960648147</v>
      </c>
      <c r="K2211" cm="1">
        <f t="array" ref="K2211">sentimentCalc(C2211)</f>
        <v>1</v>
      </c>
      <c r="L2211" t="str" cm="1">
        <f t="array" ref="L2211">sentimentCategory(K2211)</f>
        <v>Positive</v>
      </c>
    </row>
    <row r="2212" spans="1:12" x14ac:dyDescent="0.25">
      <c r="A2212" t="s">
        <v>569</v>
      </c>
      <c r="B2212" t="s">
        <v>1715</v>
      </c>
      <c r="C2212" t="str" cm="1">
        <f t="array" ref="C2212">CleanText(B2212)</f>
        <v>muito bom</v>
      </c>
      <c r="D2212">
        <v>0</v>
      </c>
      <c r="E2212">
        <v>0</v>
      </c>
      <c r="F2212" t="s">
        <v>10</v>
      </c>
      <c r="G2212" t="str" cm="1">
        <f t="array" ref="G2212">FindCountryName(F2212)</f>
        <v>None</v>
      </c>
      <c r="H2212" s="3">
        <v>45200.27957175926</v>
      </c>
      <c r="I2212" s="3">
        <v>45200.27957175926</v>
      </c>
      <c r="J2212" s="3">
        <v>43924.610405092593</v>
      </c>
      <c r="K2212" cm="1">
        <f t="array" ref="K2212">sentimentCalc(C2212)</f>
        <v>0</v>
      </c>
      <c r="L2212" t="str" cm="1">
        <f t="array" ref="L2212">sentimentCategory(K2212)</f>
        <v>Neutral</v>
      </c>
    </row>
    <row r="2213" spans="1:12" x14ac:dyDescent="0.25">
      <c r="A2213" t="s">
        <v>1394</v>
      </c>
      <c r="B2213" t="s">
        <v>1743</v>
      </c>
      <c r="C2213" t="str" cm="1">
        <f t="array" ref="C2213">CleanText(B2213)</f>
        <v>muito bommmmm bom demais recomendo a todos</v>
      </c>
      <c r="D2213">
        <v>0</v>
      </c>
      <c r="E2213">
        <v>0</v>
      </c>
      <c r="F2213" t="s">
        <v>10</v>
      </c>
      <c r="G2213" t="str" cm="1">
        <f t="array" ref="G2213">FindCountryName(F2213)</f>
        <v>None</v>
      </c>
      <c r="H2213" s="3">
        <v>45197.510555555556</v>
      </c>
      <c r="I2213" s="3">
        <v>45197.510555555556</v>
      </c>
      <c r="J2213" s="3">
        <v>42761.97861111111</v>
      </c>
      <c r="K2213" cm="1">
        <f t="array" ref="K2213">sentimentCalc(C2213)</f>
        <v>0</v>
      </c>
      <c r="L2213" t="str" cm="1">
        <f t="array" ref="L2213">sentimentCategory(K2213)</f>
        <v>Neutral</v>
      </c>
    </row>
    <row r="2214" spans="1:12" x14ac:dyDescent="0.25">
      <c r="A2214" t="s">
        <v>635</v>
      </c>
      <c r="B2214" t="s">
        <v>2035</v>
      </c>
      <c r="C2214" t="str" cm="1">
        <f t="array" ref="C2214">CleanText(B2214)</f>
        <v>muito divertido o filme</v>
      </c>
      <c r="D2214">
        <v>0</v>
      </c>
      <c r="E2214">
        <v>0</v>
      </c>
      <c r="F2214" t="s">
        <v>10</v>
      </c>
      <c r="G2214" t="str" cm="1">
        <f t="array" ref="G2214">FindCountryName(F2214)</f>
        <v>None</v>
      </c>
      <c r="H2214" s="3">
        <v>45183.443807870368</v>
      </c>
      <c r="I2214" s="3">
        <v>45183.443807870368</v>
      </c>
      <c r="J2214" s="3">
        <v>41631.701203703706</v>
      </c>
      <c r="K2214" cm="1">
        <f t="array" ref="K2214">sentimentCalc(C2214)</f>
        <v>0</v>
      </c>
      <c r="L2214" t="str" cm="1">
        <f t="array" ref="L2214">sentimentCategory(K2214)</f>
        <v>Neutral</v>
      </c>
    </row>
    <row r="2215" spans="1:12" x14ac:dyDescent="0.25">
      <c r="A2215" t="s">
        <v>1215</v>
      </c>
      <c r="B2215" t="s">
        <v>1392</v>
      </c>
      <c r="C2215" t="str" cm="1">
        <f t="array" ref="C2215">CleanText(B2215)</f>
        <v>muito legal</v>
      </c>
      <c r="D2215">
        <v>0</v>
      </c>
      <c r="E2215">
        <v>0</v>
      </c>
      <c r="F2215" t="s">
        <v>10</v>
      </c>
      <c r="G2215" t="str" cm="1">
        <f t="array" ref="G2215">FindCountryName(F2215)</f>
        <v>None</v>
      </c>
      <c r="H2215" s="3">
        <v>45233.672094907408</v>
      </c>
      <c r="I2215" s="3">
        <v>45233.672094907408</v>
      </c>
      <c r="J2215" s="3">
        <v>44413.886261574073</v>
      </c>
      <c r="K2215" cm="1">
        <f t="array" ref="K2215">sentimentCalc(C2215)</f>
        <v>1</v>
      </c>
      <c r="L2215" t="str" cm="1">
        <f t="array" ref="L2215">sentimentCategory(K2215)</f>
        <v>Positive</v>
      </c>
    </row>
    <row r="2216" spans="1:12" x14ac:dyDescent="0.25">
      <c r="A2216" t="s">
        <v>77</v>
      </c>
      <c r="B2216" t="s">
        <v>2056</v>
      </c>
      <c r="C2216" t="str" cm="1">
        <f t="array" ref="C2216">CleanText(B2216)</f>
        <v>muito show de bola super recomendo</v>
      </c>
      <c r="D2216">
        <v>3</v>
      </c>
      <c r="E2216">
        <v>0</v>
      </c>
      <c r="F2216" t="s">
        <v>10</v>
      </c>
      <c r="G2216" t="str" cm="1">
        <f t="array" ref="G2216">FindCountryName(F2216)</f>
        <v>None</v>
      </c>
      <c r="H2216" s="3">
        <v>45182.520173611112</v>
      </c>
      <c r="I2216" s="3">
        <v>45182.520162037035</v>
      </c>
      <c r="J2216" s="3">
        <v>44849.946400462963</v>
      </c>
      <c r="K2216" cm="1">
        <f t="array" ref="K2216">sentimentCalc(C2216)</f>
        <v>3</v>
      </c>
      <c r="L2216" t="str" cm="1">
        <f t="array" ref="L2216">sentimentCategory(K2216)</f>
        <v>Positive</v>
      </c>
    </row>
    <row r="2217" spans="1:12" x14ac:dyDescent="0.25">
      <c r="A2217" t="s">
        <v>43</v>
      </c>
      <c r="B2217" t="s">
        <v>1435</v>
      </c>
      <c r="C2217" t="str" cm="1">
        <f t="array" ref="C2217">CleanText(B2217)</f>
        <v>muito show um retorno  infncia</v>
      </c>
      <c r="D2217">
        <v>7</v>
      </c>
      <c r="E2217">
        <v>0</v>
      </c>
      <c r="F2217" t="s">
        <v>10</v>
      </c>
      <c r="G2217" t="str" cm="1">
        <f t="array" ref="G2217">FindCountryName(F2217)</f>
        <v>None</v>
      </c>
      <c r="H2217" s="3">
        <v>45227.326261574075</v>
      </c>
      <c r="I2217" s="3">
        <v>45227.326261574075</v>
      </c>
      <c r="J2217" s="3">
        <v>43821.679467592592</v>
      </c>
      <c r="K2217" cm="1">
        <f t="array" ref="K2217">sentimentCalc(C2217)</f>
        <v>0</v>
      </c>
      <c r="L2217" t="str" cm="1">
        <f t="array" ref="L2217">sentimentCategory(K2217)</f>
        <v>Neutral</v>
      </c>
    </row>
    <row r="2218" spans="1:12" x14ac:dyDescent="0.25">
      <c r="A2218" t="s">
        <v>43</v>
      </c>
      <c r="B2218" t="s">
        <v>1436</v>
      </c>
      <c r="C2218" t="str" cm="1">
        <f t="array" ref="C2218">CleanText(B2218)</f>
        <v>muito show um retorno  infncia</v>
      </c>
      <c r="D2218">
        <v>2</v>
      </c>
      <c r="E2218">
        <v>0</v>
      </c>
      <c r="F2218" t="s">
        <v>10</v>
      </c>
      <c r="G2218" t="str" cm="1">
        <f t="array" ref="G2218">FindCountryName(F2218)</f>
        <v>None</v>
      </c>
      <c r="H2218" s="3">
        <v>45227.326261574075</v>
      </c>
      <c r="I2218" s="3">
        <v>45227.326261574075</v>
      </c>
      <c r="J2218" s="3">
        <v>43821.679467592592</v>
      </c>
      <c r="K2218" cm="1">
        <f t="array" ref="K2218">sentimentCalc(C2218)</f>
        <v>0</v>
      </c>
      <c r="L2218" t="str" cm="1">
        <f t="array" ref="L2218">sentimentCategory(K2218)</f>
        <v>Neutral</v>
      </c>
    </row>
    <row r="2219" spans="1:12" x14ac:dyDescent="0.25">
      <c r="A2219" t="s">
        <v>501</v>
      </c>
      <c r="B2219" t="s">
        <v>1550</v>
      </c>
      <c r="C2219" t="str" cm="1">
        <f t="array" ref="C2219">CleanText(B2219)</f>
        <v>muito top</v>
      </c>
      <c r="D2219">
        <v>1</v>
      </c>
      <c r="E2219">
        <v>0</v>
      </c>
      <c r="F2219" t="s">
        <v>10</v>
      </c>
      <c r="G2219" t="str" cm="1">
        <f t="array" ref="G2219">FindCountryName(F2219)</f>
        <v>None</v>
      </c>
      <c r="H2219" s="3">
        <v>45214.505601851852</v>
      </c>
      <c r="I2219" s="3">
        <v>45214.505601851852</v>
      </c>
      <c r="J2219" s="3">
        <v>45212.428425925929</v>
      </c>
      <c r="K2219" cm="1">
        <f t="array" ref="K2219">sentimentCalc(C2219)</f>
        <v>2</v>
      </c>
      <c r="L2219" t="str" cm="1">
        <f t="array" ref="L2219">sentimentCategory(K2219)</f>
        <v>Positive</v>
      </c>
    </row>
    <row r="2220" spans="1:12" x14ac:dyDescent="0.25">
      <c r="A2220" t="s">
        <v>261</v>
      </c>
      <c r="B2220" t="s">
        <v>1349</v>
      </c>
      <c r="C2220" t="str" cm="1">
        <f t="array" ref="C2220">CleanText(B2220)</f>
        <v>muito top</v>
      </c>
      <c r="D2220">
        <v>1</v>
      </c>
      <c r="E2220">
        <v>0</v>
      </c>
      <c r="F2220" t="s">
        <v>1350</v>
      </c>
      <c r="G2220" t="str" cm="1">
        <f t="array" ref="G2220">FindCountryName(F2220)</f>
        <v>Brazil</v>
      </c>
      <c r="H2220" s="3">
        <v>45242.509375000001</v>
      </c>
      <c r="I2220" s="3">
        <v>45242.509375000001</v>
      </c>
      <c r="J2220" s="3">
        <v>41812.918263888889</v>
      </c>
      <c r="K2220" cm="1">
        <f t="array" ref="K2220">sentimentCalc(C2220)</f>
        <v>2</v>
      </c>
      <c r="L2220" t="str" cm="1">
        <f t="array" ref="L2220">sentimentCategory(K2220)</f>
        <v>Positive</v>
      </c>
    </row>
    <row r="2221" spans="1:12" x14ac:dyDescent="0.25">
      <c r="A2221" t="s">
        <v>98</v>
      </c>
      <c r="B2221" t="s">
        <v>1461</v>
      </c>
      <c r="C2221" t="str" cm="1">
        <f t="array" ref="C2221">CleanText(B2221)</f>
        <v>muito top esses filmes</v>
      </c>
      <c r="D2221">
        <v>0</v>
      </c>
      <c r="E2221">
        <v>0</v>
      </c>
      <c r="F2221" t="s">
        <v>10</v>
      </c>
      <c r="G2221" t="str" cm="1">
        <f t="array" ref="G2221">FindCountryName(F2221)</f>
        <v>None</v>
      </c>
      <c r="H2221" s="3">
        <v>45226.388819444444</v>
      </c>
      <c r="I2221" s="3">
        <v>45226.388819444444</v>
      </c>
      <c r="J2221" s="3">
        <v>40815.469340277778</v>
      </c>
      <c r="K2221" cm="1">
        <f t="array" ref="K2221">sentimentCalc(C2221)</f>
        <v>2</v>
      </c>
      <c r="L2221" t="str" cm="1">
        <f t="array" ref="L2221">sentimentCategory(K2221)</f>
        <v>Positive</v>
      </c>
    </row>
    <row r="2222" spans="1:12" x14ac:dyDescent="0.25">
      <c r="A2222" t="s">
        <v>557</v>
      </c>
      <c r="B2222" t="s">
        <v>1018</v>
      </c>
      <c r="C2222" t="str" cm="1">
        <f t="array" ref="C2222">CleanText(B2222)</f>
        <v>mukemmel</v>
      </c>
      <c r="D2222">
        <v>0</v>
      </c>
      <c r="E2222">
        <v>0</v>
      </c>
      <c r="F2222" t="s">
        <v>10</v>
      </c>
      <c r="G2222" t="str" cm="1">
        <f t="array" ref="G2222">FindCountryName(F2222)</f>
        <v>None</v>
      </c>
      <c r="H2222" s="3">
        <v>45299.25141203704</v>
      </c>
      <c r="I2222" s="3">
        <v>45299.25141203704</v>
      </c>
      <c r="J2222" s="3">
        <v>43467.318888888891</v>
      </c>
      <c r="K2222" cm="1">
        <f t="array" ref="K2222">sentimentCalc(C2222)</f>
        <v>0</v>
      </c>
      <c r="L2222" t="str" cm="1">
        <f t="array" ref="L2222">sentimentCategory(K2222)</f>
        <v>Neutral</v>
      </c>
    </row>
    <row r="2223" spans="1:12" x14ac:dyDescent="0.25">
      <c r="A2223" t="s">
        <v>331</v>
      </c>
      <c r="B2223" t="s">
        <v>332</v>
      </c>
      <c r="C2223" t="str" cm="1">
        <f t="array" ref="C2223">CleanText(B2223)</f>
        <v>mukemmel izledigim en guzel film diyebilirim</v>
      </c>
      <c r="D2223">
        <v>0</v>
      </c>
      <c r="E2223">
        <v>0</v>
      </c>
      <c r="F2223" t="s">
        <v>10</v>
      </c>
      <c r="G2223" t="str" cm="1">
        <f t="array" ref="G2223">FindCountryName(F2223)</f>
        <v>None</v>
      </c>
      <c r="H2223" s="3">
        <v>45322.289421296293</v>
      </c>
      <c r="I2223" s="3">
        <v>45322.289421296293</v>
      </c>
      <c r="J2223" s="3">
        <v>44308.635393518518</v>
      </c>
      <c r="K2223" cm="1">
        <f t="array" ref="K2223">sentimentCalc(C2223)</f>
        <v>0</v>
      </c>
      <c r="L2223" t="str" cm="1">
        <f t="array" ref="L2223">sentimentCategory(K2223)</f>
        <v>Neutral</v>
      </c>
    </row>
    <row r="2224" spans="1:12" x14ac:dyDescent="0.25">
      <c r="A2224" t="s">
        <v>182</v>
      </c>
      <c r="B2224" t="s">
        <v>419</v>
      </c>
      <c r="C2224" t="str" cm="1">
        <f t="array" ref="C2224">CleanText(B2224)</f>
        <v>muq</v>
      </c>
      <c r="D2224">
        <v>0</v>
      </c>
      <c r="E2224">
        <v>0</v>
      </c>
      <c r="F2224" t="s">
        <v>10</v>
      </c>
      <c r="G2224" t="str" cm="1">
        <f t="array" ref="G2224">FindCountryName(F2224)</f>
        <v>None</v>
      </c>
      <c r="H2224" s="3">
        <v>45322.272187499999</v>
      </c>
      <c r="I2224" s="3">
        <v>45322.272187499999</v>
      </c>
      <c r="J2224" s="3">
        <v>43554.630914351852</v>
      </c>
      <c r="K2224" cm="1">
        <f t="array" ref="K2224">sentimentCalc(C2224)</f>
        <v>0</v>
      </c>
      <c r="L2224" t="str" cm="1">
        <f t="array" ref="L2224">sentimentCategory(K2224)</f>
        <v>Neutral</v>
      </c>
    </row>
    <row r="2225" spans="1:12" x14ac:dyDescent="0.25">
      <c r="A2225" t="s">
        <v>472</v>
      </c>
      <c r="B2225" t="s">
        <v>4385</v>
      </c>
      <c r="C2225" t="str" cm="1">
        <f t="array" ref="C2225">CleanText(B2225)</f>
        <v>my aunt take me to the movie is adult movie this movie created by a long time ago</v>
      </c>
      <c r="D2225">
        <v>1</v>
      </c>
      <c r="E2225">
        <v>1</v>
      </c>
      <c r="F2225" t="s">
        <v>10</v>
      </c>
      <c r="G2225" t="str" cm="1">
        <f t="array" ref="G2225">FindCountryName(F2225)</f>
        <v>None</v>
      </c>
      <c r="H2225" s="3">
        <v>45140.517476851855</v>
      </c>
      <c r="I2225" s="3">
        <v>45140.517476851855</v>
      </c>
      <c r="J2225" s="3">
        <v>41393.696168981478</v>
      </c>
      <c r="K2225" cm="1">
        <f t="array" ref="K2225">sentimentCalc(C2225)</f>
        <v>0</v>
      </c>
      <c r="L2225" t="str" cm="1">
        <f t="array" ref="L2225">sentimentCategory(K2225)</f>
        <v>Neutral</v>
      </c>
    </row>
    <row r="2226" spans="1:12" x14ac:dyDescent="0.25">
      <c r="A2226" t="s">
        <v>2612</v>
      </c>
      <c r="B2226" t="s">
        <v>2613</v>
      </c>
      <c r="C2226" t="str" cm="1">
        <f t="array" ref="C2226">CleanText(B2226)</f>
        <v>my barbenheimermashup is online now</v>
      </c>
      <c r="D2226">
        <v>3</v>
      </c>
      <c r="E2226">
        <v>1</v>
      </c>
      <c r="F2226" t="s">
        <v>10</v>
      </c>
      <c r="G2226" t="str" cm="1">
        <f t="array" ref="G2226">FindCountryName(F2226)</f>
        <v>None</v>
      </c>
      <c r="H2226" s="3">
        <v>45161.866111111114</v>
      </c>
      <c r="I2226" s="3">
        <v>45161.866111111114</v>
      </c>
      <c r="J2226" s="3">
        <v>44634.050613425927</v>
      </c>
      <c r="K2226" cm="1">
        <f t="array" ref="K2226">sentimentCalc(C2226)</f>
        <v>0</v>
      </c>
      <c r="L2226" t="str" cm="1">
        <f t="array" ref="L2226">sentimentCategory(K2226)</f>
        <v>Neutral</v>
      </c>
    </row>
    <row r="2227" spans="1:12" x14ac:dyDescent="0.25">
      <c r="A2227" t="s">
        <v>1394</v>
      </c>
      <c r="B2227" t="s">
        <v>2264</v>
      </c>
      <c r="C2227" t="str" cm="1">
        <f t="array" ref="C2227">CleanText(B2227)</f>
        <v>my consin isike barbie and im loke ken</v>
      </c>
      <c r="D2227">
        <v>3</v>
      </c>
      <c r="E2227">
        <v>0</v>
      </c>
      <c r="F2227" t="s">
        <v>10</v>
      </c>
      <c r="G2227" t="str" cm="1">
        <f t="array" ref="G2227">FindCountryName(F2227)</f>
        <v>None</v>
      </c>
      <c r="H2227" s="3">
        <v>45173.344375000001</v>
      </c>
      <c r="I2227" s="3">
        <v>45173.344363425924</v>
      </c>
      <c r="J2227" s="3">
        <v>44026.530092592591</v>
      </c>
      <c r="K2227" cm="1">
        <f t="array" ref="K2227">sentimentCalc(C2227)</f>
        <v>0</v>
      </c>
      <c r="L2227" t="str" cm="1">
        <f t="array" ref="L2227">sentimentCategory(K2227)</f>
        <v>Neutral</v>
      </c>
    </row>
    <row r="2228" spans="1:12" x14ac:dyDescent="0.25">
      <c r="A2228" t="s">
        <v>130</v>
      </c>
      <c r="B2228" t="s">
        <v>1408</v>
      </c>
      <c r="C2228" t="str" cm="1">
        <f t="array" ref="C2228">CleanText(B2228)</f>
        <v>my daughter love</v>
      </c>
      <c r="D2228">
        <v>0</v>
      </c>
      <c r="E2228">
        <v>0</v>
      </c>
      <c r="F2228" t="s">
        <v>10</v>
      </c>
      <c r="G2228" t="str" cm="1">
        <f t="array" ref="G2228">FindCountryName(F2228)</f>
        <v>None</v>
      </c>
      <c r="H2228" s="3">
        <v>45233.519814814812</v>
      </c>
      <c r="I2228" s="3">
        <v>45233.519814814812</v>
      </c>
      <c r="J2228" s="3">
        <v>45233.327974537038</v>
      </c>
      <c r="K2228" cm="1">
        <f t="array" ref="K2228">sentimentCalc(C2228)</f>
        <v>3</v>
      </c>
      <c r="L2228" t="str" cm="1">
        <f t="array" ref="L2228">sentimentCategory(K2228)</f>
        <v>Positive</v>
      </c>
    </row>
    <row r="2229" spans="1:12" x14ac:dyDescent="0.25">
      <c r="A2229" t="s">
        <v>4227</v>
      </c>
      <c r="B2229" t="s">
        <v>4228</v>
      </c>
      <c r="C2229" t="str" cm="1">
        <f t="array" ref="C2229">CleanText(B2229)</f>
        <v>my dislike for the barbie movie stems from several reasons the portrayal of women lacking respect for one another and in real life women like barbies are engaging in moral wrong behaviors like stealing someone elses partner by using attractiveness and naivety and competing with each other regardless of the consequences  barbie often emphasizes her appearance showing a lot of skin and strives not to be seen as an object yet it would be better to promote modesty appropriate behavior towards men and avoiding excessive flirting the movie seems to promote the idea of women treating men as toys to be controlled wanting their undivided attention while not reciprocating the same feelings this portrays an unstable and unhealthy representation of women barbie and similar portrayals may inadvertently shape wrong attitudes in men promoting the objectification of women and a lack of moral valuesin summary these aspects of the barbie movie contribute to my overall negative perception of itand if barbie would have been a real life person she would have been pregnant which is nothing wrong about that as long she chosen the right person and is willing to commit a serious relationship in many levels but yet she would leave the man for someone else because she doesnt feel it the child would be collateral damage and he or she the child would not know what a stable and good family would look and behave like she would then find her joy in life multiple times and she would not care for her child in the appropriate way because her ego is too big and important her ex would be annoyed by herm so he would behave stupidly she is constantly trying to find satisfaction in material things and in her carrier or from the love aspect but this poor little women isnt finding it so the world is to blame and especially the men if she would have raised a boy this boy wouldnt be raised a good men so the vicious cycle is continuing and all the other women would portray this women as a strong feminist somewhere in life we have to hold on to commitment and sacrifice which this movie isnt showing</v>
      </c>
      <c r="D2229">
        <v>0</v>
      </c>
      <c r="E2229">
        <v>2</v>
      </c>
      <c r="F2229" t="s">
        <v>10</v>
      </c>
      <c r="G2229" t="str" cm="1">
        <f t="array" ref="G2229">FindCountryName(F2229)</f>
        <v>None</v>
      </c>
      <c r="H2229" s="3">
        <v>45141.694340277776</v>
      </c>
      <c r="I2229" s="3">
        <v>45141.694340277776</v>
      </c>
      <c r="J2229" s="3">
        <v>39225.828831018516</v>
      </c>
      <c r="K2229" cm="1">
        <f t="array" ref="K2229">sentimentCalc(C2229)</f>
        <v>5</v>
      </c>
      <c r="L2229" t="str" cm="1">
        <f t="array" ref="L2229">sentimentCategory(K2229)</f>
        <v>Positive</v>
      </c>
    </row>
    <row r="2230" spans="1:12" x14ac:dyDescent="0.25">
      <c r="A2230" t="s">
        <v>1086</v>
      </c>
      <c r="B2230" t="s">
        <v>1087</v>
      </c>
      <c r="C2230" t="str" cm="1">
        <f t="array" ref="C2230">CleanText(B2230)</f>
        <v>my dream is to play this movie while sleeping and waking up to the exact time where i left off on my first time seeing it or the ending or anything tt cant stand the first half</v>
      </c>
      <c r="D2230">
        <v>0</v>
      </c>
      <c r="E2230">
        <v>0</v>
      </c>
      <c r="F2230" t="s">
        <v>10</v>
      </c>
      <c r="G2230" t="str" cm="1">
        <f t="array" ref="G2230">FindCountryName(F2230)</f>
        <v>None</v>
      </c>
      <c r="H2230" s="3">
        <v>45291.063136574077</v>
      </c>
      <c r="I2230" s="3">
        <v>45291.063136574077</v>
      </c>
      <c r="J2230" s="3">
        <v>44564.739178240743</v>
      </c>
      <c r="K2230" cm="1">
        <f t="array" ref="K2230">sentimentCalc(C2230)</f>
        <v>1</v>
      </c>
      <c r="L2230" t="str" cm="1">
        <f t="array" ref="L2230">sentimentCategory(K2230)</f>
        <v>Positive</v>
      </c>
    </row>
    <row r="2231" spans="1:12" x14ac:dyDescent="0.25">
      <c r="A2231" t="s">
        <v>2318</v>
      </c>
      <c r="B2231" t="s">
        <v>2545</v>
      </c>
      <c r="C2231" t="str" cm="1">
        <f t="array" ref="C2231">CleanText(B2231)</f>
        <v>my dreem life</v>
      </c>
      <c r="D2231">
        <v>0</v>
      </c>
      <c r="E2231">
        <v>0</v>
      </c>
      <c r="F2231" t="s">
        <v>10</v>
      </c>
      <c r="G2231" t="str" cm="1">
        <f t="array" ref="G2231">FindCountryName(F2231)</f>
        <v>None</v>
      </c>
      <c r="H2231" s="3">
        <v>45163.638206018521</v>
      </c>
      <c r="I2231" s="3">
        <v>45163.638194444444</v>
      </c>
      <c r="J2231" s="3">
        <v>45100.477164351854</v>
      </c>
      <c r="K2231" cm="1">
        <f t="array" ref="K2231">sentimentCalc(C2231)</f>
        <v>0</v>
      </c>
      <c r="L2231" t="str" cm="1">
        <f t="array" ref="L2231">sentimentCategory(K2231)</f>
        <v>Neutral</v>
      </c>
    </row>
    <row r="2232" spans="1:12" x14ac:dyDescent="0.25">
      <c r="A2232" t="s">
        <v>453</v>
      </c>
      <c r="B2232" t="s">
        <v>851</v>
      </c>
      <c r="C2232" t="str" cm="1">
        <f t="array" ref="C2232">CleanText(B2232)</f>
        <v>my eyes are burned for life now</v>
      </c>
      <c r="D2232">
        <v>1</v>
      </c>
      <c r="E2232">
        <v>1</v>
      </c>
      <c r="F2232" t="s">
        <v>10</v>
      </c>
      <c r="G2232" t="str" cm="1">
        <f t="array" ref="G2232">FindCountryName(F2232)</f>
        <v>None</v>
      </c>
      <c r="H2232" s="3">
        <v>45300.286145833335</v>
      </c>
      <c r="I2232" s="3">
        <v>45300.286145833335</v>
      </c>
      <c r="J2232" s="3">
        <v>41387.620208333334</v>
      </c>
      <c r="K2232" cm="1">
        <f t="array" ref="K2232">sentimentCalc(C2232)</f>
        <v>0</v>
      </c>
      <c r="L2232" t="str" cm="1">
        <f t="array" ref="L2232">sentimentCategory(K2232)</f>
        <v>Neutral</v>
      </c>
    </row>
    <row r="2233" spans="1:12" x14ac:dyDescent="0.25">
      <c r="A2233" t="s">
        <v>780</v>
      </c>
      <c r="B2233" t="s">
        <v>1687</v>
      </c>
      <c r="C2233" t="str" cm="1">
        <f t="array" ref="C2233">CleanText(B2233)</f>
        <v>my favorite movie ever its genuinely so good the music is fantastic the story is pleasing and im so obsessed with pink that when i see it im overjoyed so basically this movie was a perfect</v>
      </c>
      <c r="D2233">
        <v>0</v>
      </c>
      <c r="E2233">
        <v>0</v>
      </c>
      <c r="F2233" t="s">
        <v>10</v>
      </c>
      <c r="G2233" t="str" cm="1">
        <f t="array" ref="G2233">FindCountryName(F2233)</f>
        <v>None</v>
      </c>
      <c r="H2233" s="3">
        <v>45201.953553240739</v>
      </c>
      <c r="I2233" s="3">
        <v>45201.953553240739</v>
      </c>
      <c r="J2233" s="3">
        <v>42728.978263888886</v>
      </c>
      <c r="K2233" cm="1">
        <f t="array" ref="K2233">sentimentCalc(C2233)</f>
        <v>18</v>
      </c>
      <c r="L2233" t="str" cm="1">
        <f t="array" ref="L2233">sentimentCategory(K2233)</f>
        <v>Positive</v>
      </c>
    </row>
    <row r="2234" spans="1:12" x14ac:dyDescent="0.25">
      <c r="A2234" t="s">
        <v>3699</v>
      </c>
      <c r="B2234" t="s">
        <v>4089</v>
      </c>
      <c r="C2234" t="str" cm="1">
        <f t="array" ref="C2234">CleanText(B2234)</f>
        <v>my favorite part is when barbie said its barbie time and barbied all over the place</v>
      </c>
      <c r="D2234">
        <v>2</v>
      </c>
      <c r="E2234">
        <v>2</v>
      </c>
      <c r="F2234" t="s">
        <v>10</v>
      </c>
      <c r="G2234" t="str" cm="1">
        <f t="array" ref="G2234">FindCountryName(F2234)</f>
        <v>None</v>
      </c>
      <c r="H2234" s="3">
        <v>45142.987743055557</v>
      </c>
      <c r="I2234" s="3">
        <v>45142.987743055557</v>
      </c>
      <c r="J2234" s="3">
        <v>43846.565069444441</v>
      </c>
      <c r="K2234" cm="1">
        <f t="array" ref="K2234">sentimentCalc(C2234)</f>
        <v>2</v>
      </c>
      <c r="L2234" t="str" cm="1">
        <f t="array" ref="L2234">sentimentCategory(K2234)</f>
        <v>Positive</v>
      </c>
    </row>
    <row r="2235" spans="1:12" x14ac:dyDescent="0.25">
      <c r="A2235" t="s">
        <v>152</v>
      </c>
      <c r="B2235" t="s">
        <v>1330</v>
      </c>
      <c r="C2235" t="str" cm="1">
        <f t="array" ref="C2235">CleanText(B2235)</f>
        <v>my favourite movie of this year followed by guardians of the galaxy  its more than just a silly film with good music and a brilliant cast i love everything about this movie and in my opinion this is up there with some of the greatest films of the st century</v>
      </c>
      <c r="D2235">
        <v>4</v>
      </c>
      <c r="E2235">
        <v>0</v>
      </c>
      <c r="F2235" t="s">
        <v>10</v>
      </c>
      <c r="G2235" t="str" cm="1">
        <f t="array" ref="G2235">FindCountryName(F2235)</f>
        <v>None</v>
      </c>
      <c r="H2235" s="3">
        <v>45243.617002314815</v>
      </c>
      <c r="I2235" s="3">
        <v>45243.617002314815</v>
      </c>
      <c r="J2235" s="3">
        <v>43691.455775462964</v>
      </c>
      <c r="K2235" cm="1">
        <f t="array" ref="K2235">sentimentCalc(C2235)</f>
        <v>12</v>
      </c>
      <c r="L2235" t="str" cm="1">
        <f t="array" ref="L2235">sentimentCategory(K2235)</f>
        <v>Positive</v>
      </c>
    </row>
    <row r="2236" spans="1:12" x14ac:dyDescent="0.25">
      <c r="A2236" t="s">
        <v>156</v>
      </c>
      <c r="B2236" t="s">
        <v>1979</v>
      </c>
      <c r="C2236" t="str" cm="1">
        <f t="array" ref="C2236">CleanText(B2236)</f>
        <v>my favourite part is when ken was going to kiss jer</v>
      </c>
      <c r="D2236">
        <v>0</v>
      </c>
      <c r="E2236">
        <v>0</v>
      </c>
      <c r="F2236" t="s">
        <v>10</v>
      </c>
      <c r="G2236" t="str" cm="1">
        <f t="array" ref="G2236">FindCountryName(F2236)</f>
        <v>None</v>
      </c>
      <c r="H2236" s="3">
        <v>45185.542696759258</v>
      </c>
      <c r="I2236" s="3">
        <v>45185.542696759258</v>
      </c>
      <c r="J2236" s="3">
        <v>43114.826157407406</v>
      </c>
      <c r="K2236" cm="1">
        <f t="array" ref="K2236">sentimentCalc(C2236)</f>
        <v>2</v>
      </c>
      <c r="L2236" t="str" cm="1">
        <f t="array" ref="L2236">sentimentCategory(K2236)</f>
        <v>Positive</v>
      </c>
    </row>
    <row r="2237" spans="1:12" x14ac:dyDescent="0.25">
      <c r="A2237" t="s">
        <v>1918</v>
      </c>
      <c r="B2237" t="s">
        <v>4377</v>
      </c>
      <c r="C2237" t="str" cm="1">
        <f t="array" ref="C2237">CleanText(B2237)</f>
        <v>my favourite part was when margot robbie went its barbiin time</v>
      </c>
      <c r="D2237">
        <v>1</v>
      </c>
      <c r="E2237">
        <v>0</v>
      </c>
      <c r="F2237" t="s">
        <v>10</v>
      </c>
      <c r="G2237" t="str" cm="1">
        <f t="array" ref="G2237">FindCountryName(F2237)</f>
        <v>None</v>
      </c>
      <c r="H2237" s="3">
        <v>45140.546319444446</v>
      </c>
      <c r="I2237" s="3">
        <v>45140.546319444446</v>
      </c>
      <c r="J2237" s="3">
        <v>40718.052303240744</v>
      </c>
      <c r="K2237" cm="1">
        <f t="array" ref="K2237">sentimentCalc(C2237)</f>
        <v>0</v>
      </c>
      <c r="L2237" t="str" cm="1">
        <f t="array" ref="L2237">sentimentCategory(K2237)</f>
        <v>Neutral</v>
      </c>
    </row>
    <row r="2238" spans="1:12" x14ac:dyDescent="0.25">
      <c r="A2238" t="s">
        <v>442</v>
      </c>
      <c r="B2238" t="s">
        <v>3859</v>
      </c>
      <c r="C2238" t="str" cm="1">
        <f t="array" ref="C2238">CleanText(B2238)</f>
        <v>my favourite ryan is ryan reynolds</v>
      </c>
      <c r="D2238">
        <v>2</v>
      </c>
      <c r="E2238">
        <v>0</v>
      </c>
      <c r="F2238" t="s">
        <v>10</v>
      </c>
      <c r="G2238" t="str" cm="1">
        <f t="array" ref="G2238">FindCountryName(F2238)</f>
        <v>None</v>
      </c>
      <c r="H2238" s="3">
        <v>45144.932083333333</v>
      </c>
      <c r="I2238" s="3">
        <v>45144.932083333333</v>
      </c>
      <c r="J2238" s="3">
        <v>43810.834062499998</v>
      </c>
      <c r="K2238" cm="1">
        <f t="array" ref="K2238">sentimentCalc(C2238)</f>
        <v>0</v>
      </c>
      <c r="L2238" t="str" cm="1">
        <f t="array" ref="L2238">sentimentCategory(K2238)</f>
        <v>Neutral</v>
      </c>
    </row>
    <row r="2239" spans="1:12" x14ac:dyDescent="0.25">
      <c r="A2239" t="s">
        <v>525</v>
      </c>
      <c r="B2239" t="s">
        <v>1801</v>
      </c>
      <c r="C2239" t="str" cm="1">
        <f t="array" ref="C2239">CleanText(B2239)</f>
        <v>my first impression was a very strong one repeated the prince when they took me away from russia i remember i passed through many german towns and looked out of the windows but i didnt trouble myself to ask questions about them this was after a long series of fits i would always fall into a sort of torpid condition after such a series losing my memory almost entirely even though i wasnt entirely without reason during these times i lacked the logical power of thought this would continue for three or four days and then i would recover myself again i remember my melancholy was intolerable i felt inclined to cry sat and wondered uncomfortably the consciousness that everything was strange weighed heavily upon me i could understand that it was all foreign and unfamiliar i recall waking up from this state for the first time in basle one evening the braying of barbie woke me up barbie in the town market i saw the barbie and was extremely pleased with it from that moment on my mind seemed to clearbarbie how strange yet its not so strange anyone of us might fall in love with barbie it happened in mythological times said madame epanchin casting a wrathful glance at her daughters who had started to laugh please continue princesince that evening ive had a special fondness for barbies i began to ask questions about them as i had never seen one before i immediately came to the conclusion that this must be one of the most fascinating thingscolorful imaginative and delightful thanks to this barbie i started to appreciate the whole country i was traveling through and my melancholy gradually faded away</v>
      </c>
      <c r="D2239">
        <v>1</v>
      </c>
      <c r="E2239">
        <v>0</v>
      </c>
      <c r="F2239" t="s">
        <v>10</v>
      </c>
      <c r="G2239" t="str" cm="1">
        <f t="array" ref="G2239">FindCountryName(F2239)</f>
        <v>None</v>
      </c>
      <c r="H2239" s="3">
        <v>45193.770011574074</v>
      </c>
      <c r="I2239" s="3">
        <v>45193.77</v>
      </c>
      <c r="J2239" s="3">
        <v>41642.456377314818</v>
      </c>
      <c r="K2239" cm="1">
        <f t="array" ref="K2239">sentimentCalc(C2239)</f>
        <v>3</v>
      </c>
      <c r="L2239" t="str" cm="1">
        <f t="array" ref="L2239">sentimentCategory(K2239)</f>
        <v>Positive</v>
      </c>
    </row>
    <row r="2240" spans="1:12" x14ac:dyDescent="0.25">
      <c r="A2240" t="s">
        <v>114</v>
      </c>
      <c r="B2240" t="s">
        <v>3285</v>
      </c>
      <c r="C2240" t="str" cm="1">
        <f t="array" ref="C2240">CleanText(B2240)</f>
        <v>my friend and i just went and watched this last night weird barbie was my favorite it was awesome seeing rhea pearlman in it</v>
      </c>
      <c r="D2240">
        <v>6</v>
      </c>
      <c r="E2240">
        <v>0</v>
      </c>
      <c r="F2240" t="s">
        <v>10</v>
      </c>
      <c r="G2240" t="str" cm="1">
        <f t="array" ref="G2240">FindCountryName(F2240)</f>
        <v>None</v>
      </c>
      <c r="H2240" s="3">
        <v>45150.716770833336</v>
      </c>
      <c r="I2240" s="3">
        <v>45150.716770833336</v>
      </c>
      <c r="J2240" s="3">
        <v>42000.631597222222</v>
      </c>
      <c r="K2240" cm="1">
        <f t="array" ref="K2240">sentimentCalc(C2240)</f>
        <v>4</v>
      </c>
      <c r="L2240" t="str" cm="1">
        <f t="array" ref="L2240">sentimentCategory(K2240)</f>
        <v>Positive</v>
      </c>
    </row>
    <row r="2241" spans="1:12" x14ac:dyDescent="0.25">
      <c r="A2241" t="s">
        <v>2005</v>
      </c>
      <c r="B2241" t="s">
        <v>4311</v>
      </c>
      <c r="C2241" t="str" cm="1">
        <f t="array" ref="C2241">CleanText(B2241)</f>
        <v>my friend and i were so excited to see this movie it was soooo boring she about fell asleep  and i just kept waiting for it to get better  the acting is great the production is great but the plot was lacking</v>
      </c>
      <c r="D2241">
        <v>0</v>
      </c>
      <c r="E2241">
        <v>1</v>
      </c>
      <c r="F2241" t="s">
        <v>10</v>
      </c>
      <c r="G2241" t="str" cm="1">
        <f t="array" ref="G2241">FindCountryName(F2241)</f>
        <v>None</v>
      </c>
      <c r="H2241" s="3">
        <v>45141.063275462962</v>
      </c>
      <c r="I2241" s="3">
        <v>45141.063275462962</v>
      </c>
      <c r="J2241" s="3">
        <v>40713.843182870369</v>
      </c>
      <c r="K2241" cm="1">
        <f t="array" ref="K2241">sentimentCalc(C2241)</f>
        <v>8</v>
      </c>
      <c r="L2241" t="str" cm="1">
        <f t="array" ref="L2241">sentimentCategory(K2241)</f>
        <v>Positive</v>
      </c>
    </row>
    <row r="2242" spans="1:12" x14ac:dyDescent="0.25">
      <c r="A2242" t="s">
        <v>2474</v>
      </c>
      <c r="B2242" t="s">
        <v>2475</v>
      </c>
      <c r="C2242" t="str" cm="1">
        <f t="array" ref="C2242">CleanText(B2242)</f>
        <v>my friend played in this movieshes the girl on the very right at  and im really proud of her</v>
      </c>
      <c r="D2242">
        <v>6</v>
      </c>
      <c r="E2242">
        <v>2</v>
      </c>
      <c r="F2242" t="s">
        <v>10</v>
      </c>
      <c r="G2242" t="str" cm="1">
        <f t="array" ref="G2242">FindCountryName(F2242)</f>
        <v>None</v>
      </c>
      <c r="H2242" s="3">
        <v>45165.801412037035</v>
      </c>
      <c r="I2242" s="3">
        <v>45165.801412037035</v>
      </c>
      <c r="J2242" s="3">
        <v>44287.787708333337</v>
      </c>
      <c r="K2242" cm="1">
        <f t="array" ref="K2242">sentimentCalc(C2242)</f>
        <v>2</v>
      </c>
      <c r="L2242" t="str" cm="1">
        <f t="array" ref="L2242">sentimentCategory(K2242)</f>
        <v>Positive</v>
      </c>
    </row>
    <row r="2243" spans="1:12" x14ac:dyDescent="0.25">
      <c r="A2243" t="s">
        <v>70</v>
      </c>
      <c r="B2243" t="s">
        <v>71</v>
      </c>
      <c r="C2243" t="str" cm="1">
        <f t="array" ref="C2243">CleanText(B2243)</f>
        <v>my god is it that good well then maybe i will watch it maybe</v>
      </c>
      <c r="D2243">
        <v>0</v>
      </c>
      <c r="E2243">
        <v>0</v>
      </c>
      <c r="F2243" t="s">
        <v>10</v>
      </c>
      <c r="G2243" t="str" cm="1">
        <f t="array" ref="G2243">FindCountryName(F2243)</f>
        <v>None</v>
      </c>
      <c r="H2243" s="3">
        <v>45342.043425925927</v>
      </c>
      <c r="I2243" s="3">
        <v>45342.043425925927</v>
      </c>
      <c r="J2243" s="3">
        <v>42130.619814814818</v>
      </c>
      <c r="K2243" cm="1">
        <f t="array" ref="K2243">sentimentCalc(C2243)</f>
        <v>4</v>
      </c>
      <c r="L2243" t="str" cm="1">
        <f t="array" ref="L2243">sentimentCategory(K2243)</f>
        <v>Positive</v>
      </c>
    </row>
    <row r="2244" spans="1:12" x14ac:dyDescent="0.25">
      <c r="A2244" t="s">
        <v>32</v>
      </c>
      <c r="B2244" t="s">
        <v>3243</v>
      </c>
      <c r="C2244" t="str" cm="1">
        <f t="array" ref="C2244">CleanText(B2244)</f>
        <v>my imagination is to de like u</v>
      </c>
      <c r="D2244">
        <v>0</v>
      </c>
      <c r="E2244">
        <v>0</v>
      </c>
      <c r="F2244" t="s">
        <v>10</v>
      </c>
      <c r="G2244" t="str" cm="1">
        <f t="array" ref="G2244">FindCountryName(F2244)</f>
        <v>None</v>
      </c>
      <c r="H2244" s="3">
        <v>45151.401250000003</v>
      </c>
      <c r="I2244" s="3">
        <v>45151.401250000003</v>
      </c>
      <c r="J2244" s="3">
        <v>43119.880937499998</v>
      </c>
      <c r="K2244" cm="1">
        <f t="array" ref="K2244">sentimentCalc(C2244)</f>
        <v>2</v>
      </c>
      <c r="L2244" t="str" cm="1">
        <f t="array" ref="L2244">sentimentCategory(K2244)</f>
        <v>Positive</v>
      </c>
    </row>
    <row r="2245" spans="1:12" x14ac:dyDescent="0.25">
      <c r="A2245" t="s">
        <v>1734</v>
      </c>
      <c r="B2245" t="s">
        <v>1735</v>
      </c>
      <c r="C2245" t="str" cm="1">
        <f t="array" ref="C2245">CleanText(B2245)</f>
        <v>my kids  and  yo and my wife find it boring i slept in the second half time</v>
      </c>
      <c r="D2245">
        <v>0</v>
      </c>
      <c r="E2245">
        <v>0</v>
      </c>
      <c r="F2245" t="s">
        <v>10</v>
      </c>
      <c r="G2245" t="str" cm="1">
        <f t="array" ref="G2245">FindCountryName(F2245)</f>
        <v>None</v>
      </c>
      <c r="H2245" s="3">
        <v>45198.081331018519</v>
      </c>
      <c r="I2245" s="3">
        <v>45198.081331018519</v>
      </c>
      <c r="J2245" s="3">
        <v>39080.10460648148</v>
      </c>
      <c r="K2245" cm="1">
        <f t="array" ref="K2245">sentimentCalc(C2245)</f>
        <v>-3</v>
      </c>
      <c r="L2245" t="str" cm="1">
        <f t="array" ref="L2245">sentimentCategory(K2245)</f>
        <v>Negative</v>
      </c>
    </row>
    <row r="2246" spans="1:12" x14ac:dyDescent="0.25">
      <c r="A2246" t="s">
        <v>828</v>
      </c>
      <c r="B2246" t="s">
        <v>4372</v>
      </c>
      <c r="C2246" t="str" cm="1">
        <f t="array" ref="C2246">CleanText(B2246)</f>
        <v>my libtard sensors are going off the chart if i cringed any harder my face would fall off i see feminism lgbt womens rights a hint of blm is squeezed in there right at the end feed your head just be careful</v>
      </c>
      <c r="D2246">
        <v>2</v>
      </c>
      <c r="E2246">
        <v>0</v>
      </c>
      <c r="F2246" t="s">
        <v>10</v>
      </c>
      <c r="G2246" t="str" cm="1">
        <f t="array" ref="G2246">FindCountryName(F2246)</f>
        <v>None</v>
      </c>
      <c r="H2246" s="3">
        <v>45140.578460648147</v>
      </c>
      <c r="I2246" s="3">
        <v>45140.583541666667</v>
      </c>
      <c r="J2246" s="3">
        <v>39606.076493055552</v>
      </c>
      <c r="K2246" cm="1">
        <f t="array" ref="K2246">sentimentCalc(C2246)</f>
        <v>2</v>
      </c>
      <c r="L2246" t="str" cm="1">
        <f t="array" ref="L2246">sentimentCategory(K2246)</f>
        <v>Positive</v>
      </c>
    </row>
    <row r="2247" spans="1:12" x14ac:dyDescent="0.25">
      <c r="A2247" t="s">
        <v>120</v>
      </c>
      <c r="B2247" t="s">
        <v>4249</v>
      </c>
      <c r="C2247" t="str" cm="1">
        <f t="array" ref="C2247">CleanText(B2247)</f>
        <v>my new favorite movie</v>
      </c>
      <c r="D2247">
        <v>1</v>
      </c>
      <c r="E2247">
        <v>0</v>
      </c>
      <c r="F2247" t="s">
        <v>10</v>
      </c>
      <c r="G2247" t="str" cm="1">
        <f t="array" ref="G2247">FindCountryName(F2247)</f>
        <v>None</v>
      </c>
      <c r="H2247" s="3">
        <v>45141.477152777778</v>
      </c>
      <c r="I2247" s="3">
        <v>45141.477152777778</v>
      </c>
      <c r="J2247" s="3">
        <v>44489.12771990741</v>
      </c>
      <c r="K2247" cm="1">
        <f t="array" ref="K2247">sentimentCalc(C2247)</f>
        <v>2</v>
      </c>
      <c r="L2247" t="str" cm="1">
        <f t="array" ref="L2247">sentimentCategory(K2247)</f>
        <v>Positive</v>
      </c>
    </row>
    <row r="2248" spans="1:12" x14ac:dyDescent="0.25">
      <c r="A2248" t="s">
        <v>1731</v>
      </c>
      <c r="B2248" t="s">
        <v>1732</v>
      </c>
      <c r="C2248" t="str" cm="1">
        <f t="array" ref="C2248">CleanText(B2248)</f>
        <v>my sister has seen movie and she enjoyed it her rating was an</v>
      </c>
      <c r="D2248">
        <v>1</v>
      </c>
      <c r="E2248">
        <v>0</v>
      </c>
      <c r="F2248" t="s">
        <v>10</v>
      </c>
      <c r="G2248" t="str" cm="1">
        <f t="array" ref="G2248">FindCountryName(F2248)</f>
        <v>None</v>
      </c>
      <c r="H2248" s="3">
        <v>45198.365023148152</v>
      </c>
      <c r="I2248" s="3">
        <v>45198.365023148152</v>
      </c>
      <c r="J2248" s="3">
        <v>43459.719953703701</v>
      </c>
      <c r="K2248" cm="1">
        <f t="array" ref="K2248">sentimentCalc(C2248)</f>
        <v>0</v>
      </c>
      <c r="L2248" t="str" cm="1">
        <f t="array" ref="L2248">sentimentCategory(K2248)</f>
        <v>Neutral</v>
      </c>
    </row>
    <row r="2249" spans="1:12" x14ac:dyDescent="0.25">
      <c r="A2249" t="s">
        <v>1842</v>
      </c>
      <c r="B2249" t="s">
        <v>1843</v>
      </c>
      <c r="C2249" t="str" cm="1">
        <f t="array" ref="C2249">CleanText(B2249)</f>
        <v>my sister i love barbie is pink me wth</v>
      </c>
      <c r="D2249">
        <v>0</v>
      </c>
      <c r="E2249">
        <v>0</v>
      </c>
      <c r="F2249" t="s">
        <v>10</v>
      </c>
      <c r="G2249" t="str" cm="1">
        <f t="array" ref="G2249">FindCountryName(F2249)</f>
        <v>None</v>
      </c>
      <c r="H2249" s="3">
        <v>45191.226331018515</v>
      </c>
      <c r="I2249" s="3">
        <v>45191.226331018515</v>
      </c>
      <c r="J2249" s="3">
        <v>45150.293344907404</v>
      </c>
      <c r="K2249" cm="1">
        <f t="array" ref="K2249">sentimentCalc(C2249)</f>
        <v>3</v>
      </c>
      <c r="L2249" t="str" cm="1">
        <f t="array" ref="L2249">sentimentCategory(K2249)</f>
        <v>Positive</v>
      </c>
    </row>
    <row r="2250" spans="1:12" x14ac:dyDescent="0.25">
      <c r="A2250" t="s">
        <v>2691</v>
      </c>
      <c r="B2250" t="s">
        <v>2969</v>
      </c>
      <c r="C2250" t="str" cm="1">
        <f t="array" ref="C2250">CleanText(B2250)</f>
        <v>my sister loves barbie she even went to the movies</v>
      </c>
      <c r="D2250">
        <v>0</v>
      </c>
      <c r="E2250">
        <v>0</v>
      </c>
      <c r="F2250" t="s">
        <v>10</v>
      </c>
      <c r="G2250" t="str" cm="1">
        <f t="array" ref="G2250">FindCountryName(F2250)</f>
        <v>None</v>
      </c>
      <c r="H2250" s="3">
        <v>45155.220625000002</v>
      </c>
      <c r="I2250" s="3">
        <v>45155.220625000002</v>
      </c>
      <c r="J2250" s="3">
        <v>45099.175729166665</v>
      </c>
      <c r="K2250" cm="1">
        <f t="array" ref="K2250">sentimentCalc(C2250)</f>
        <v>0</v>
      </c>
      <c r="L2250" t="str" cm="1">
        <f t="array" ref="L2250">sentimentCategory(K2250)</f>
        <v>Neutral</v>
      </c>
    </row>
    <row r="2251" spans="1:12" x14ac:dyDescent="0.25">
      <c r="A2251" t="s">
        <v>600</v>
      </c>
      <c r="B2251" t="s">
        <v>601</v>
      </c>
      <c r="C2251" t="str" cm="1">
        <f t="array" ref="C2251">CleanText(B2251)</f>
        <v>n</v>
      </c>
      <c r="D2251">
        <v>0</v>
      </c>
      <c r="E2251">
        <v>0</v>
      </c>
      <c r="F2251" t="s">
        <v>10</v>
      </c>
      <c r="G2251" t="str" cm="1">
        <f t="array" ref="G2251">FindCountryName(F2251)</f>
        <v>None</v>
      </c>
      <c r="H2251" s="3">
        <v>45316.788622685184</v>
      </c>
      <c r="I2251" s="3">
        <v>45316.788622685184</v>
      </c>
      <c r="J2251" s="3">
        <v>44728.598067129627</v>
      </c>
      <c r="K2251" cm="1">
        <f t="array" ref="K2251">sentimentCalc(C2251)</f>
        <v>0</v>
      </c>
      <c r="L2251" t="str" cm="1">
        <f t="array" ref="L2251">sentimentCategory(K2251)</f>
        <v>Neutral</v>
      </c>
    </row>
    <row r="2252" spans="1:12" x14ac:dyDescent="0.25">
      <c r="A2252" t="s">
        <v>201</v>
      </c>
      <c r="B2252" t="s">
        <v>2383</v>
      </c>
      <c r="C2252" t="str" cm="1">
        <f t="array" ref="C2252">CleanText(B2252)</f>
        <v>n</v>
      </c>
      <c r="D2252">
        <v>0</v>
      </c>
      <c r="E2252">
        <v>0</v>
      </c>
      <c r="F2252" t="s">
        <v>10</v>
      </c>
      <c r="G2252" t="str" cm="1">
        <f t="array" ref="G2252">FindCountryName(F2252)</f>
        <v>None</v>
      </c>
      <c r="H2252" s="3">
        <v>45169.601446759261</v>
      </c>
      <c r="I2252" s="3">
        <v>45169.601435185185</v>
      </c>
      <c r="J2252" s="3">
        <v>45018.679560185185</v>
      </c>
      <c r="K2252" cm="1">
        <f t="array" ref="K2252">sentimentCalc(C2252)</f>
        <v>0</v>
      </c>
      <c r="L2252" t="str" cm="1">
        <f t="array" ref="L2252">sentimentCategory(K2252)</f>
        <v>Neutral</v>
      </c>
    </row>
    <row r="2253" spans="1:12" x14ac:dyDescent="0.25">
      <c r="A2253" t="s">
        <v>201</v>
      </c>
      <c r="B2253" t="s">
        <v>1273</v>
      </c>
      <c r="C2253" t="str" cm="1">
        <f t="array" ref="C2253">CleanText(B2253)</f>
        <v>n</v>
      </c>
      <c r="D2253">
        <v>0</v>
      </c>
      <c r="E2253">
        <v>0</v>
      </c>
      <c r="F2253" t="s">
        <v>1274</v>
      </c>
      <c r="G2253" t="str" cm="1">
        <f t="array" ref="G2253">FindCountryName(F2253)</f>
        <v>Russian Federation (the)</v>
      </c>
      <c r="H2253" s="3">
        <v>45261.089120370372</v>
      </c>
      <c r="I2253" s="3">
        <v>45261.089120370372</v>
      </c>
      <c r="J2253" s="3">
        <v>42925.1174537037</v>
      </c>
      <c r="K2253" cm="1">
        <f t="array" ref="K2253">sentimentCalc(C2253)</f>
        <v>0</v>
      </c>
      <c r="L2253" t="str" cm="1">
        <f t="array" ref="L2253">sentimentCategory(K2253)</f>
        <v>Neutral</v>
      </c>
    </row>
    <row r="2254" spans="1:12" x14ac:dyDescent="0.25">
      <c r="A2254" t="s">
        <v>618</v>
      </c>
      <c r="B2254" t="s">
        <v>1447</v>
      </c>
      <c r="C2254" t="str" cm="1">
        <f t="array" ref="C2254">CleanText(B2254)</f>
        <v>no consegui assistir no cinema mas que filme heim que filme</v>
      </c>
      <c r="D2254">
        <v>1</v>
      </c>
      <c r="E2254">
        <v>0</v>
      </c>
      <c r="F2254" t="s">
        <v>10</v>
      </c>
      <c r="G2254" t="str" cm="1">
        <f t="array" ref="G2254">FindCountryName(F2254)</f>
        <v>None</v>
      </c>
      <c r="H2254" s="3">
        <v>45226.564988425926</v>
      </c>
      <c r="I2254" s="3">
        <v>45226.564988425926</v>
      </c>
      <c r="J2254" s="3">
        <v>41819.815601851849</v>
      </c>
      <c r="K2254" cm="1">
        <f t="array" ref="K2254">sentimentCalc(C2254)</f>
        <v>-2</v>
      </c>
      <c r="L2254" t="str" cm="1">
        <f t="array" ref="L2254">sentimentCategory(K2254)</f>
        <v>Negative</v>
      </c>
    </row>
    <row r="2255" spans="1:12" x14ac:dyDescent="0.25">
      <c r="A2255" t="s">
        <v>1384</v>
      </c>
      <c r="B2255" t="s">
        <v>1385</v>
      </c>
      <c r="C2255" t="str" cm="1">
        <f t="array" ref="C2255">CleanText(B2255)</f>
        <v>no dava nada  e entregou tudo muito bom</v>
      </c>
      <c r="D2255">
        <v>0</v>
      </c>
      <c r="E2255">
        <v>0</v>
      </c>
      <c r="F2255" t="s">
        <v>10</v>
      </c>
      <c r="G2255" t="str" cm="1">
        <f t="array" ref="G2255">FindCountryName(F2255)</f>
        <v>None</v>
      </c>
      <c r="H2255" s="3">
        <v>45234.40420138889</v>
      </c>
      <c r="I2255" s="3">
        <v>45234.40420138889</v>
      </c>
      <c r="J2255" s="3">
        <v>42219.719166666669</v>
      </c>
      <c r="K2255" cm="1">
        <f t="array" ref="K2255">sentimentCalc(C2255)</f>
        <v>-1</v>
      </c>
      <c r="L2255" t="str" cm="1">
        <f t="array" ref="L2255">sentimentCategory(K2255)</f>
        <v>Negative</v>
      </c>
    </row>
    <row r="2256" spans="1:12" x14ac:dyDescent="0.25">
      <c r="A2256" t="s">
        <v>653</v>
      </c>
      <c r="B2256" t="s">
        <v>654</v>
      </c>
      <c r="C2256" t="str" cm="1">
        <f t="array" ref="C2256">CleanText(B2256)</f>
        <v>no preciso nem falar sobre a nostalgia que esse filme trs barbie sempre fazendo histria</v>
      </c>
      <c r="D2256">
        <v>1</v>
      </c>
      <c r="E2256">
        <v>0</v>
      </c>
      <c r="F2256" t="s">
        <v>10</v>
      </c>
      <c r="G2256" t="str" cm="1">
        <f t="array" ref="G2256">FindCountryName(F2256)</f>
        <v>None</v>
      </c>
      <c r="H2256" s="3">
        <v>45314.277326388888</v>
      </c>
      <c r="I2256" s="3">
        <v>45314.277326388888</v>
      </c>
      <c r="J2256" s="3">
        <v>43847.091909722221</v>
      </c>
      <c r="K2256" cm="1">
        <f t="array" ref="K2256">sentimentCalc(C2256)</f>
        <v>-1</v>
      </c>
      <c r="L2256" t="str" cm="1">
        <f t="array" ref="L2256">sentimentCategory(K2256)</f>
        <v>Negative</v>
      </c>
    </row>
    <row r="2257" spans="1:12" x14ac:dyDescent="0.25">
      <c r="A2257" t="s">
        <v>1428</v>
      </c>
      <c r="B2257" t="s">
        <v>1459</v>
      </c>
      <c r="C2257" t="str" cm="1">
        <f t="array" ref="C2257">CleanText(B2257)</f>
        <v>no tenho nem palavras simplesmente maravilhoso</v>
      </c>
      <c r="D2257">
        <v>3</v>
      </c>
      <c r="E2257">
        <v>1</v>
      </c>
      <c r="F2257" t="s">
        <v>10</v>
      </c>
      <c r="G2257" t="str" cm="1">
        <f t="array" ref="G2257">FindCountryName(F2257)</f>
        <v>None</v>
      </c>
      <c r="H2257" s="3">
        <v>45226.419259259259</v>
      </c>
      <c r="I2257" s="3">
        <v>45226.419259259259</v>
      </c>
      <c r="J2257" s="3">
        <v>40812.817916666667</v>
      </c>
      <c r="K2257" cm="1">
        <f t="array" ref="K2257">sentimentCalc(C2257)</f>
        <v>-1</v>
      </c>
      <c r="L2257" t="str" cm="1">
        <f t="array" ref="L2257">sentimentCategory(K2257)</f>
        <v>Negative</v>
      </c>
    </row>
    <row r="2258" spans="1:12" x14ac:dyDescent="0.25">
      <c r="A2258" t="s">
        <v>156</v>
      </c>
      <c r="B2258" t="s">
        <v>4443</v>
      </c>
      <c r="C2258" t="str" cm="1">
        <f t="array" ref="C2258">CleanText(B2258)</f>
        <v>nah the face is harly quinn</v>
      </c>
      <c r="D2258">
        <v>0</v>
      </c>
      <c r="E2258">
        <v>0</v>
      </c>
      <c r="F2258" t="s">
        <v>10</v>
      </c>
      <c r="G2258" t="str" cm="1">
        <f t="array" ref="G2258">FindCountryName(F2258)</f>
        <v>None</v>
      </c>
      <c r="H2258" s="3">
        <v>45140.237384259257</v>
      </c>
      <c r="I2258" s="3">
        <v>45140.237384259257</v>
      </c>
      <c r="J2258" s="3">
        <v>44366.334131944444</v>
      </c>
      <c r="K2258" cm="1">
        <f t="array" ref="K2258">sentimentCalc(C2258)</f>
        <v>0</v>
      </c>
      <c r="L2258" t="str" cm="1">
        <f t="array" ref="L2258">sentimentCategory(K2258)</f>
        <v>Neutral</v>
      </c>
    </row>
    <row r="2259" spans="1:12" x14ac:dyDescent="0.25">
      <c r="A2259" t="s">
        <v>840</v>
      </c>
      <c r="B2259" t="s">
        <v>841</v>
      </c>
      <c r="C2259" t="str" cm="1">
        <f t="array" ref="C2259">CleanText(B2259)</f>
        <v>namaste namaskar namaskaram</v>
      </c>
      <c r="D2259">
        <v>1</v>
      </c>
      <c r="E2259">
        <v>0</v>
      </c>
      <c r="F2259" t="s">
        <v>227</v>
      </c>
      <c r="G2259" t="str" cm="1">
        <f t="array" ref="G2259">FindCountryName(F2259)</f>
        <v>United States of America (the)</v>
      </c>
      <c r="H2259" s="3">
        <v>45301.742986111109</v>
      </c>
      <c r="I2259" s="3">
        <v>45301.742986111109</v>
      </c>
      <c r="J2259" s="3">
        <v>44935.021087962959</v>
      </c>
      <c r="K2259" cm="1">
        <f t="array" ref="K2259">sentimentCalc(C2259)</f>
        <v>0</v>
      </c>
      <c r="L2259" t="str" cm="1">
        <f t="array" ref="L2259">sentimentCategory(K2259)</f>
        <v>Neutral</v>
      </c>
    </row>
    <row r="2260" spans="1:12" x14ac:dyDescent="0.25">
      <c r="A2260" t="s">
        <v>213</v>
      </c>
      <c r="B2260" t="s">
        <v>3407</v>
      </c>
      <c r="C2260" t="str" cm="1">
        <f t="array" ref="C2260">CleanText(B2260)</f>
        <v>name the music in trailler please</v>
      </c>
      <c r="D2260">
        <v>2</v>
      </c>
      <c r="E2260">
        <v>0</v>
      </c>
      <c r="F2260" t="s">
        <v>10</v>
      </c>
      <c r="G2260" t="str" cm="1">
        <f t="array" ref="G2260">FindCountryName(F2260)</f>
        <v>None</v>
      </c>
      <c r="H2260" s="3">
        <v>45149.264062499999</v>
      </c>
      <c r="I2260" s="3">
        <v>45149.264062499999</v>
      </c>
      <c r="J2260" s="3">
        <v>44163.68414351852</v>
      </c>
      <c r="K2260" cm="1">
        <f t="array" ref="K2260">sentimentCalc(C2260)</f>
        <v>1</v>
      </c>
      <c r="L2260" t="str" cm="1">
        <f t="array" ref="L2260">sentimentCategory(K2260)</f>
        <v>Positive</v>
      </c>
    </row>
    <row r="2261" spans="1:12" x14ac:dyDescent="0.25">
      <c r="A2261" t="s">
        <v>1142</v>
      </c>
      <c r="B2261" t="s">
        <v>3378</v>
      </c>
      <c r="C2261" t="str" cm="1">
        <f t="array" ref="C2261">CleanText(B2261)</f>
        <v>nancy williamsdurrell kitchenlindsey hornerand cheyenne pyron</v>
      </c>
      <c r="D2261">
        <v>1</v>
      </c>
      <c r="E2261">
        <v>0</v>
      </c>
      <c r="F2261" t="s">
        <v>10</v>
      </c>
      <c r="G2261" t="str" cm="1">
        <f t="array" ref="G2261">FindCountryName(F2261)</f>
        <v>None</v>
      </c>
      <c r="H2261" s="3">
        <v>45149.442974537036</v>
      </c>
      <c r="I2261" s="3">
        <v>45149.442974537036</v>
      </c>
      <c r="J2261" s="3">
        <v>43926.655752314815</v>
      </c>
      <c r="K2261" cm="1">
        <f t="array" ref="K2261">sentimentCalc(C2261)</f>
        <v>0</v>
      </c>
      <c r="L2261" t="str" cm="1">
        <f t="array" ref="L2261">sentimentCategory(K2261)</f>
        <v>Neutral</v>
      </c>
    </row>
    <row r="2262" spans="1:12" x14ac:dyDescent="0.25">
      <c r="A2262" t="s">
        <v>609</v>
      </c>
      <c r="B2262" t="s">
        <v>3108</v>
      </c>
      <c r="C2262" t="str" cm="1">
        <f t="array" ref="C2262">CleanText(B2262)</f>
        <v>naomi watts would had been hot a barbie</v>
      </c>
      <c r="D2262">
        <v>1</v>
      </c>
      <c r="E2262">
        <v>0</v>
      </c>
      <c r="F2262" t="s">
        <v>10</v>
      </c>
      <c r="G2262" t="str" cm="1">
        <f t="array" ref="G2262">FindCountryName(F2262)</f>
        <v>None</v>
      </c>
      <c r="H2262" s="3">
        <v>45153.377453703702</v>
      </c>
      <c r="I2262" s="3">
        <v>45153.377453703702</v>
      </c>
      <c r="J2262" s="3">
        <v>42627.825891203705</v>
      </c>
      <c r="K2262" cm="1">
        <f t="array" ref="K2262">sentimentCalc(C2262)</f>
        <v>0</v>
      </c>
      <c r="L2262" t="str" cm="1">
        <f t="array" ref="L2262">sentimentCategory(K2262)</f>
        <v>Neutral</v>
      </c>
    </row>
    <row r="2263" spans="1:12" x14ac:dyDescent="0.25">
      <c r="A2263" t="s">
        <v>2447</v>
      </c>
      <c r="B2263" t="s">
        <v>2463</v>
      </c>
      <c r="C2263" t="str" cm="1">
        <f t="array" ref="C2263">CleanText(B2263)</f>
        <v>national cinema day was awesome because i finally saw barbie spoiler alert during part of the movie i was wondering if weird barbie or whatever nickname barbies gave that particular barbie was gymnastic barbie i guess the existing barbies were threatened in the s when flat feet barbie aka gymnastic barbie was introduced to and took the world by storm anyhow the actress did an excellent job portraying high heel barbie her body movements were brilliant i was admiring her acting very much and wondered how much she had to study the toy to practice barbie moves great job loved the movie it was colourful funny and definitely all about barbie and ken i suggest the lives of broken barbies be a theme of the next barbie movie</v>
      </c>
      <c r="D2263">
        <v>1</v>
      </c>
      <c r="E2263">
        <v>0</v>
      </c>
      <c r="F2263" t="s">
        <v>628</v>
      </c>
      <c r="G2263" t="str" cm="1">
        <f t="array" ref="G2263">FindCountryName(F2263)</f>
        <v>Canada</v>
      </c>
      <c r="H2263" s="3">
        <v>45166.323923611111</v>
      </c>
      <c r="I2263" s="3">
        <v>45166.323923611111</v>
      </c>
      <c r="J2263" s="3">
        <v>40812.93818287037</v>
      </c>
      <c r="K2263" cm="1">
        <f t="array" ref="K2263">sentimentCalc(C2263)</f>
        <v>18</v>
      </c>
      <c r="L2263" t="str" cm="1">
        <f t="array" ref="L2263">sentimentCategory(K2263)</f>
        <v>Positive</v>
      </c>
    </row>
    <row r="2264" spans="1:12" x14ac:dyDescent="0.25">
      <c r="A2264" t="s">
        <v>3561</v>
      </c>
      <c r="B2264" t="s">
        <v>3562</v>
      </c>
      <c r="C2264" t="str" cm="1">
        <f t="array" ref="C2264">CleanText(B2264)</f>
        <v>naww</v>
      </c>
      <c r="D2264">
        <v>1</v>
      </c>
      <c r="E2264">
        <v>0</v>
      </c>
      <c r="F2264" t="s">
        <v>10</v>
      </c>
      <c r="G2264" t="str" cm="1">
        <f t="array" ref="G2264">FindCountryName(F2264)</f>
        <v>None</v>
      </c>
      <c r="H2264" s="3">
        <v>45147.508125</v>
      </c>
      <c r="I2264" s="3">
        <v>45147.508125</v>
      </c>
      <c r="J2264" s="3">
        <v>44994.065208333333</v>
      </c>
      <c r="K2264" cm="1">
        <f t="array" ref="K2264">sentimentCalc(C2264)</f>
        <v>0</v>
      </c>
      <c r="L2264" t="str" cm="1">
        <f t="array" ref="L2264">sentimentCategory(K2264)</f>
        <v>Neutral</v>
      </c>
    </row>
    <row r="2265" spans="1:12" x14ac:dyDescent="0.25">
      <c r="A2265" t="s">
        <v>387</v>
      </c>
      <c r="B2265" t="s">
        <v>568</v>
      </c>
      <c r="C2265" t="str" cm="1">
        <f t="array" ref="C2265">CleanText(B2265)</f>
        <v>ne zmn balyoruz</v>
      </c>
      <c r="D2265">
        <v>0</v>
      </c>
      <c r="E2265">
        <v>0</v>
      </c>
      <c r="F2265" t="s">
        <v>10</v>
      </c>
      <c r="G2265" t="str" cm="1">
        <f t="array" ref="G2265">FindCountryName(F2265)</f>
        <v>None</v>
      </c>
      <c r="H2265" s="3">
        <v>45317.273101851853</v>
      </c>
      <c r="I2265" s="3">
        <v>45317.273101851853</v>
      </c>
      <c r="J2265" s="3">
        <v>42845.742708333331</v>
      </c>
      <c r="K2265" cm="1">
        <f t="array" ref="K2265">sentimentCalc(C2265)</f>
        <v>0</v>
      </c>
      <c r="L2265" t="str" cm="1">
        <f t="array" ref="L2265">sentimentCategory(K2265)</f>
        <v>Neutral</v>
      </c>
    </row>
    <row r="2266" spans="1:12" x14ac:dyDescent="0.25">
      <c r="A2266" t="s">
        <v>2070</v>
      </c>
      <c r="B2266" t="s">
        <v>3895</v>
      </c>
      <c r="C2266" t="str" cm="1">
        <f t="array" ref="C2266">CleanText(B2266)</f>
        <v>need an action man movie now but that would deliver a positive message about strong male role models and that would be a disaster</v>
      </c>
      <c r="D2266">
        <v>0</v>
      </c>
      <c r="E2266">
        <v>0</v>
      </c>
      <c r="F2266" t="s">
        <v>10</v>
      </c>
      <c r="G2266" t="str" cm="1">
        <f t="array" ref="G2266">FindCountryName(F2266)</f>
        <v>None</v>
      </c>
      <c r="H2266" s="3">
        <v>45144.666921296295</v>
      </c>
      <c r="I2266" s="3">
        <v>45144.666921296295</v>
      </c>
      <c r="J2266" s="3">
        <v>38898.437928240739</v>
      </c>
      <c r="K2266" cm="1">
        <f t="array" ref="K2266">sentimentCalc(C2266)</f>
        <v>2</v>
      </c>
      <c r="L2266" t="str" cm="1">
        <f t="array" ref="L2266">sentimentCategory(K2266)</f>
        <v>Positive</v>
      </c>
    </row>
    <row r="2267" spans="1:12" x14ac:dyDescent="0.25">
      <c r="A2267" t="s">
        <v>300</v>
      </c>
      <c r="B2267" t="s">
        <v>4446</v>
      </c>
      <c r="C2267" t="str" cm="1">
        <f t="array" ref="C2267">CleanText(B2267)</f>
        <v>need investment for my business  anyone interested please comment</v>
      </c>
      <c r="D2267">
        <v>0</v>
      </c>
      <c r="E2267">
        <v>0</v>
      </c>
      <c r="F2267" t="s">
        <v>10</v>
      </c>
      <c r="G2267" t="str" cm="1">
        <f t="array" ref="G2267">FindCountryName(F2267)</f>
        <v>None</v>
      </c>
      <c r="H2267" s="3">
        <v>45140.226284722223</v>
      </c>
      <c r="I2267" s="3">
        <v>45140.265335648146</v>
      </c>
      <c r="J2267" s="3">
        <v>44474.609490740739</v>
      </c>
      <c r="K2267" cm="1">
        <f t="array" ref="K2267">sentimentCalc(C2267)</f>
        <v>3</v>
      </c>
      <c r="L2267" t="str" cm="1">
        <f t="array" ref="L2267">sentimentCategory(K2267)</f>
        <v>Positive</v>
      </c>
    </row>
    <row r="2268" spans="1:12" x14ac:dyDescent="0.25">
      <c r="A2268" t="s">
        <v>523</v>
      </c>
      <c r="B2268" t="s">
        <v>4148</v>
      </c>
      <c r="C2268" t="str" cm="1">
        <f t="array" ref="C2268">CleanText(B2268)</f>
        <v>never again talk about human rights or discrimination</v>
      </c>
      <c r="D2268">
        <v>5</v>
      </c>
      <c r="E2268">
        <v>0</v>
      </c>
      <c r="F2268" t="s">
        <v>10</v>
      </c>
      <c r="G2268" t="str" cm="1">
        <f t="array" ref="G2268">FindCountryName(F2268)</f>
        <v>None</v>
      </c>
      <c r="H2268" s="3">
        <v>45142.558171296296</v>
      </c>
      <c r="I2268" s="3">
        <v>45142.558171296296</v>
      </c>
      <c r="J2268" s="3">
        <v>43545.080289351848</v>
      </c>
      <c r="K2268" cm="1">
        <f t="array" ref="K2268">sentimentCalc(C2268)</f>
        <v>0</v>
      </c>
      <c r="L2268" t="str" cm="1">
        <f t="array" ref="L2268">sentimentCategory(K2268)</f>
        <v>Neutral</v>
      </c>
    </row>
    <row r="2269" spans="1:12" x14ac:dyDescent="0.25">
      <c r="A2269" t="s">
        <v>292</v>
      </c>
      <c r="B2269" t="s">
        <v>2410</v>
      </c>
      <c r="C2269" t="str" cm="1">
        <f t="array" ref="C2269">CleanText(B2269)</f>
        <v>never again</v>
      </c>
      <c r="D2269">
        <v>0</v>
      </c>
      <c r="E2269">
        <v>0</v>
      </c>
      <c r="F2269" t="s">
        <v>845</v>
      </c>
      <c r="G2269" t="str" cm="1">
        <f t="array" ref="G2269">FindCountryName(F2269)</f>
        <v>Australia</v>
      </c>
      <c r="H2269" s="3">
        <v>45168.425416666665</v>
      </c>
      <c r="I2269" s="3">
        <v>45168.425416666665</v>
      </c>
      <c r="J2269" s="3">
        <v>43226.876863425925</v>
      </c>
      <c r="K2269" cm="1">
        <f t="array" ref="K2269">sentimentCalc(C2269)</f>
        <v>0</v>
      </c>
      <c r="L2269" t="str" cm="1">
        <f t="array" ref="L2269">sentimentCategory(K2269)</f>
        <v>Neutral</v>
      </c>
    </row>
    <row r="2270" spans="1:12" x14ac:dyDescent="0.25">
      <c r="A2270" t="s">
        <v>1433</v>
      </c>
      <c r="B2270" t="s">
        <v>4289</v>
      </c>
      <c r="C2270" t="str" cm="1">
        <f t="array" ref="C2270">CleanText(B2270)</f>
        <v>never knew they casted me as ken</v>
      </c>
      <c r="D2270">
        <v>2</v>
      </c>
      <c r="E2270">
        <v>0</v>
      </c>
      <c r="F2270" t="s">
        <v>10</v>
      </c>
      <c r="G2270" t="str" cm="1">
        <f t="array" ref="G2270">FindCountryName(F2270)</f>
        <v>None</v>
      </c>
      <c r="H2270" s="3">
        <v>45141.204861111109</v>
      </c>
      <c r="I2270" s="3">
        <v>45141.204861111109</v>
      </c>
      <c r="J2270" s="3">
        <v>43722.147002314814</v>
      </c>
      <c r="K2270" cm="1">
        <f t="array" ref="K2270">sentimentCalc(C2270)</f>
        <v>0</v>
      </c>
      <c r="L2270" t="str" cm="1">
        <f t="array" ref="L2270">sentimentCategory(K2270)</f>
        <v>Neutral</v>
      </c>
    </row>
    <row r="2271" spans="1:12" x14ac:dyDescent="0.25">
      <c r="A2271" t="s">
        <v>118</v>
      </c>
      <c r="B2271" t="s">
        <v>2870</v>
      </c>
      <c r="C2271" t="str" cm="1">
        <f t="array" ref="C2271">CleanText(B2271)</f>
        <v>never saw a movie that is funny and a cringe fest at the same time</v>
      </c>
      <c r="D2271">
        <v>0</v>
      </c>
      <c r="E2271">
        <v>0</v>
      </c>
      <c r="F2271" t="s">
        <v>10</v>
      </c>
      <c r="G2271" t="str" cm="1">
        <f t="array" ref="G2271">FindCountryName(F2271)</f>
        <v>None</v>
      </c>
      <c r="H2271" s="3">
        <v>45156.623993055553</v>
      </c>
      <c r="I2271" s="3">
        <v>45156.623993055553</v>
      </c>
      <c r="J2271" s="3">
        <v>41219.843900462962</v>
      </c>
      <c r="K2271" cm="1">
        <f t="array" ref="K2271">sentimentCalc(C2271)</f>
        <v>4</v>
      </c>
      <c r="L2271" t="str" cm="1">
        <f t="array" ref="L2271">sentimentCategory(K2271)</f>
        <v>Positive</v>
      </c>
    </row>
    <row r="2272" spans="1:12" x14ac:dyDescent="0.25">
      <c r="A2272" t="s">
        <v>118</v>
      </c>
      <c r="B2272" t="s">
        <v>2333</v>
      </c>
      <c r="C2272" t="str" cm="1">
        <f t="array" ref="C2272">CleanText(B2272)</f>
        <v>never thought i would like it at all loved it</v>
      </c>
      <c r="D2272">
        <v>10</v>
      </c>
      <c r="E2272">
        <v>0</v>
      </c>
      <c r="F2272" t="s">
        <v>10</v>
      </c>
      <c r="G2272" t="str" cm="1">
        <f t="array" ref="G2272">FindCountryName(F2272)</f>
        <v>None</v>
      </c>
      <c r="H2272" s="3">
        <v>45171.780798611115</v>
      </c>
      <c r="I2272" s="3">
        <v>45171.780798611115</v>
      </c>
      <c r="J2272" s="3">
        <v>41336.302870370368</v>
      </c>
      <c r="K2272" cm="1">
        <f t="array" ref="K2272">sentimentCalc(C2272)</f>
        <v>5</v>
      </c>
      <c r="L2272" t="str" cm="1">
        <f t="array" ref="L2272">sentimentCategory(K2272)</f>
        <v>Positive</v>
      </c>
    </row>
    <row r="2273" spans="1:12" x14ac:dyDescent="0.25">
      <c r="A2273" t="s">
        <v>1798</v>
      </c>
      <c r="B2273" t="s">
        <v>3044</v>
      </c>
      <c r="C2273" t="str" cm="1">
        <f t="array" ref="C2273">CleanText(B2273)</f>
        <v>new music like magic by tj avage  good movie actually</v>
      </c>
      <c r="D2273">
        <v>0</v>
      </c>
      <c r="E2273">
        <v>0</v>
      </c>
      <c r="F2273" t="s">
        <v>10</v>
      </c>
      <c r="G2273" t="str" cm="1">
        <f t="array" ref="G2273">FindCountryName(F2273)</f>
        <v>None</v>
      </c>
      <c r="H2273" s="3">
        <v>45154.141770833332</v>
      </c>
      <c r="I2273" s="3">
        <v>45154.141770833332</v>
      </c>
      <c r="J2273" s="3">
        <v>40754.519837962966</v>
      </c>
      <c r="K2273" cm="1">
        <f t="array" ref="K2273">sentimentCalc(C2273)</f>
        <v>5</v>
      </c>
      <c r="L2273" t="str" cm="1">
        <f t="array" ref="L2273">sentimentCategory(K2273)</f>
        <v>Positive</v>
      </c>
    </row>
    <row r="2274" spans="1:12" x14ac:dyDescent="0.25">
      <c r="A2274" t="s">
        <v>618</v>
      </c>
      <c r="B2274" t="s">
        <v>3012</v>
      </c>
      <c r="C2274" t="str" cm="1">
        <f t="array" ref="C2274">CleanText(B2274)</f>
        <v>next movie playmobile</v>
      </c>
      <c r="D2274">
        <v>0</v>
      </c>
      <c r="E2274">
        <v>1</v>
      </c>
      <c r="F2274" t="s">
        <v>1050</v>
      </c>
      <c r="G2274" t="str" cm="1">
        <f t="array" ref="G2274">FindCountryName(F2274)</f>
        <v>Germany</v>
      </c>
      <c r="H2274" s="3">
        <v>45154.501770833333</v>
      </c>
      <c r="I2274" s="3">
        <v>45154.501770833333</v>
      </c>
      <c r="J2274" s="3">
        <v>42246.610925925925</v>
      </c>
      <c r="K2274" cm="1">
        <f t="array" ref="K2274">sentimentCalc(C2274)</f>
        <v>0</v>
      </c>
      <c r="L2274" t="str" cm="1">
        <f t="array" ref="L2274">sentimentCategory(K2274)</f>
        <v>Neutral</v>
      </c>
    </row>
    <row r="2275" spans="1:12" x14ac:dyDescent="0.25">
      <c r="A2275" t="s">
        <v>410</v>
      </c>
      <c r="B2275" t="s">
        <v>2687</v>
      </c>
      <c r="C2275" t="str" cm="1">
        <f t="array" ref="C2275">CleanText(B2275)</f>
        <v>ngl really wasnt on board until i saw ryan gosling put on his sunglasses over his sunglasses</v>
      </c>
      <c r="D2275">
        <v>0</v>
      </c>
      <c r="E2275">
        <v>0</v>
      </c>
      <c r="F2275" t="s">
        <v>10</v>
      </c>
      <c r="G2275" t="str" cm="1">
        <f t="array" ref="G2275">FindCountryName(F2275)</f>
        <v>None</v>
      </c>
      <c r="H2275" s="3">
        <v>45160.13181712963</v>
      </c>
      <c r="I2275" s="3">
        <v>45160.13181712963</v>
      </c>
      <c r="J2275" s="3">
        <v>42245.790960648148</v>
      </c>
      <c r="K2275" cm="1">
        <f t="array" ref="K2275">sentimentCalc(C2275)</f>
        <v>0</v>
      </c>
      <c r="L2275" t="str" cm="1">
        <f t="array" ref="L2275">sentimentCategory(K2275)</f>
        <v>Neutral</v>
      </c>
    </row>
    <row r="2276" spans="1:12" x14ac:dyDescent="0.25">
      <c r="A2276" t="s">
        <v>3261</v>
      </c>
      <c r="B2276" t="s">
        <v>3262</v>
      </c>
      <c r="C2276" t="str" cm="1">
        <f t="array" ref="C2276">CleanText(B2276)</f>
        <v>ngl this looks stpd asf</v>
      </c>
      <c r="D2276">
        <v>2</v>
      </c>
      <c r="E2276">
        <v>0</v>
      </c>
      <c r="F2276" t="s">
        <v>10</v>
      </c>
      <c r="G2276" t="str" cm="1">
        <f t="array" ref="G2276">FindCountryName(F2276)</f>
        <v>None</v>
      </c>
      <c r="H2276" s="3">
        <v>45151.225462962961</v>
      </c>
      <c r="I2276" s="3">
        <v>45151.225462962961</v>
      </c>
      <c r="J2276" s="3">
        <v>41844.244363425925</v>
      </c>
      <c r="K2276" cm="1">
        <f t="array" ref="K2276">sentimentCalc(C2276)</f>
        <v>0</v>
      </c>
      <c r="L2276" t="str" cm="1">
        <f t="array" ref="L2276">sentimentCategory(K2276)</f>
        <v>Neutral</v>
      </c>
    </row>
    <row r="2277" spans="1:12" x14ac:dyDescent="0.25">
      <c r="A2277" t="s">
        <v>1481</v>
      </c>
      <c r="B2277" t="s">
        <v>1482</v>
      </c>
      <c r="C2277" t="str" cm="1">
        <f t="array" ref="C2277">CleanText(B2277)</f>
        <v>ni la vi pero me gustaria verla</v>
      </c>
      <c r="D2277">
        <v>0</v>
      </c>
      <c r="E2277">
        <v>0</v>
      </c>
      <c r="F2277" t="s">
        <v>10</v>
      </c>
      <c r="G2277" t="str" cm="1">
        <f t="array" ref="G2277">FindCountryName(F2277)</f>
        <v>None</v>
      </c>
      <c r="H2277" s="3">
        <v>45223.991041666668</v>
      </c>
      <c r="I2277" s="3">
        <v>45223.991041666668</v>
      </c>
      <c r="J2277" s="3">
        <v>44103.946805555555</v>
      </c>
      <c r="K2277" cm="1">
        <f t="array" ref="K2277">sentimentCalc(C2277)</f>
        <v>0</v>
      </c>
      <c r="L2277" t="str" cm="1">
        <f t="array" ref="L2277">sentimentCategory(K2277)</f>
        <v>Neutral</v>
      </c>
    </row>
    <row r="2278" spans="1:12" x14ac:dyDescent="0.25">
      <c r="A2278" t="s">
        <v>2528</v>
      </c>
      <c r="B2278" t="s">
        <v>2529</v>
      </c>
      <c r="C2278" t="str" cm="1">
        <f t="array" ref="C2278">CleanText(B2278)</f>
        <v>nice</v>
      </c>
      <c r="D2278">
        <v>0</v>
      </c>
      <c r="E2278">
        <v>0</v>
      </c>
      <c r="F2278" t="s">
        <v>10</v>
      </c>
      <c r="G2278" t="str" cm="1">
        <f t="array" ref="G2278">FindCountryName(F2278)</f>
        <v>None</v>
      </c>
      <c r="H2278" s="3">
        <v>45164.247175925928</v>
      </c>
      <c r="I2278" s="3">
        <v>45164.247175925928</v>
      </c>
      <c r="J2278" s="3">
        <v>39421.202037037037</v>
      </c>
      <c r="K2278" cm="1">
        <f t="array" ref="K2278">sentimentCalc(C2278)</f>
        <v>3</v>
      </c>
      <c r="L2278" t="str" cm="1">
        <f t="array" ref="L2278">sentimentCategory(K2278)</f>
        <v>Positive</v>
      </c>
    </row>
    <row r="2279" spans="1:12" x14ac:dyDescent="0.25">
      <c r="A2279" t="s">
        <v>481</v>
      </c>
      <c r="B2279" t="s">
        <v>3333</v>
      </c>
      <c r="C2279" t="str" cm="1">
        <f t="array" ref="C2279">CleanText(B2279)</f>
        <v>nice  finally a film that portrays that men just want to be menand thats why women like iswe are kenough guys</v>
      </c>
      <c r="D2279">
        <v>1</v>
      </c>
      <c r="E2279">
        <v>0</v>
      </c>
      <c r="F2279" t="s">
        <v>10</v>
      </c>
      <c r="G2279" t="str" cm="1">
        <f t="array" ref="G2279">FindCountryName(F2279)</f>
        <v>None</v>
      </c>
      <c r="H2279" s="3">
        <v>45150.227164351854</v>
      </c>
      <c r="I2279" s="3">
        <v>45150.227164351854</v>
      </c>
      <c r="J2279" s="3">
        <v>44112.507638888892</v>
      </c>
      <c r="K2279" cm="1">
        <f t="array" ref="K2279">sentimentCalc(C2279)</f>
        <v>6</v>
      </c>
      <c r="L2279" t="str" cm="1">
        <f t="array" ref="L2279">sentimentCategory(K2279)</f>
        <v>Positive</v>
      </c>
    </row>
    <row r="2280" spans="1:12" x14ac:dyDescent="0.25">
      <c r="A2280" t="s">
        <v>1623</v>
      </c>
      <c r="B2280" t="s">
        <v>1624</v>
      </c>
      <c r="C2280" t="str" cm="1">
        <f t="array" ref="C2280">CleanText(B2280)</f>
        <v>nice barbie movie</v>
      </c>
      <c r="D2280">
        <v>0</v>
      </c>
      <c r="E2280">
        <v>0</v>
      </c>
      <c r="F2280" t="s">
        <v>10</v>
      </c>
      <c r="G2280" t="str" cm="1">
        <f t="array" ref="G2280">FindCountryName(F2280)</f>
        <v>None</v>
      </c>
      <c r="H2280" s="3">
        <v>45207.549629629626</v>
      </c>
      <c r="I2280" s="3">
        <v>45207.549629629626</v>
      </c>
      <c r="J2280" s="3">
        <v>45136.961458333331</v>
      </c>
      <c r="K2280" cm="1">
        <f t="array" ref="K2280">sentimentCalc(C2280)</f>
        <v>3</v>
      </c>
      <c r="L2280" t="str" cm="1">
        <f t="array" ref="L2280">sentimentCategory(K2280)</f>
        <v>Positive</v>
      </c>
    </row>
    <row r="2281" spans="1:12" x14ac:dyDescent="0.25">
      <c r="A2281" t="s">
        <v>889</v>
      </c>
      <c r="B2281" t="s">
        <v>890</v>
      </c>
      <c r="C2281" t="str" cm="1">
        <f t="array" ref="C2281">CleanText(B2281)</f>
        <v>nice film</v>
      </c>
      <c r="D2281">
        <v>0</v>
      </c>
      <c r="E2281">
        <v>0</v>
      </c>
      <c r="F2281" t="s">
        <v>10</v>
      </c>
      <c r="G2281" t="str" cm="1">
        <f t="array" ref="G2281">FindCountryName(F2281)</f>
        <v>None</v>
      </c>
      <c r="H2281" s="3">
        <v>45299.320868055554</v>
      </c>
      <c r="I2281" s="3">
        <v>45299.320868055554</v>
      </c>
      <c r="J2281" s="3">
        <v>41766.637708333335</v>
      </c>
      <c r="K2281" cm="1">
        <f t="array" ref="K2281">sentimentCalc(C2281)</f>
        <v>3</v>
      </c>
      <c r="L2281" t="str" cm="1">
        <f t="array" ref="L2281">sentimentCategory(K2281)</f>
        <v>Positive</v>
      </c>
    </row>
    <row r="2282" spans="1:12" x14ac:dyDescent="0.25">
      <c r="A2282" t="s">
        <v>17</v>
      </c>
      <c r="B2282" t="s">
        <v>4417</v>
      </c>
      <c r="C2282" t="str" cm="1">
        <f t="array" ref="C2282">CleanText(B2282)</f>
        <v>nice nuclear</v>
      </c>
      <c r="D2282">
        <v>0</v>
      </c>
      <c r="E2282">
        <v>1</v>
      </c>
      <c r="F2282" t="s">
        <v>10</v>
      </c>
      <c r="G2282" t="str" cm="1">
        <f t="array" ref="G2282">FindCountryName(F2282)</f>
        <v>None</v>
      </c>
      <c r="H2282" s="3">
        <v>45140.401805555557</v>
      </c>
      <c r="I2282" s="3">
        <v>45140.401805555557</v>
      </c>
      <c r="J2282" s="3">
        <v>42007.39402777778</v>
      </c>
      <c r="K2282" cm="1">
        <f t="array" ref="K2282">sentimentCalc(C2282)</f>
        <v>3</v>
      </c>
      <c r="L2282" t="str" cm="1">
        <f t="array" ref="L2282">sentimentCategory(K2282)</f>
        <v>Positive</v>
      </c>
    </row>
    <row r="2283" spans="1:12" x14ac:dyDescent="0.25">
      <c r="A2283" t="s">
        <v>855</v>
      </c>
      <c r="B2283" t="s">
        <v>856</v>
      </c>
      <c r="C2283" t="str" cm="1">
        <f t="array" ref="C2283">CleanText(B2283)</f>
        <v>nice movie successful</v>
      </c>
      <c r="D2283">
        <v>1</v>
      </c>
      <c r="E2283">
        <v>0</v>
      </c>
      <c r="F2283" t="s">
        <v>139</v>
      </c>
      <c r="G2283" t="str" cm="1">
        <f t="array" ref="G2283">FindCountryName(F2283)</f>
        <v>Turkey</v>
      </c>
      <c r="H2283" s="3">
        <v>45300.165613425925</v>
      </c>
      <c r="I2283" s="3">
        <v>45300.165613425925</v>
      </c>
      <c r="J2283" s="3">
        <v>42083.581469907411</v>
      </c>
      <c r="K2283" cm="1">
        <f t="array" ref="K2283">sentimentCalc(C2283)</f>
        <v>6</v>
      </c>
      <c r="L2283" t="str" cm="1">
        <f t="array" ref="L2283">sentimentCategory(K2283)</f>
        <v>Positive</v>
      </c>
    </row>
    <row r="2284" spans="1:12" x14ac:dyDescent="0.25">
      <c r="A2284" t="s">
        <v>405</v>
      </c>
      <c r="B2284" t="s">
        <v>510</v>
      </c>
      <c r="C2284" t="str" cm="1">
        <f t="array" ref="C2284">CleanText(B2284)</f>
        <v>nice movie you should watch it</v>
      </c>
      <c r="D2284">
        <v>0</v>
      </c>
      <c r="E2284">
        <v>1</v>
      </c>
      <c r="F2284" t="s">
        <v>10</v>
      </c>
      <c r="G2284" t="str" cm="1">
        <f t="array" ref="G2284">FindCountryName(F2284)</f>
        <v>None</v>
      </c>
      <c r="H2284" s="3">
        <v>45317.498298611114</v>
      </c>
      <c r="I2284" s="3">
        <v>45317.498298611114</v>
      </c>
      <c r="J2284" s="3">
        <v>45314.503136574072</v>
      </c>
      <c r="K2284" cm="1">
        <f t="array" ref="K2284">sentimentCalc(C2284)</f>
        <v>3</v>
      </c>
      <c r="L2284" t="str" cm="1">
        <f t="array" ref="L2284">sentimentCategory(K2284)</f>
        <v>Positive</v>
      </c>
    </row>
    <row r="2285" spans="1:12" x14ac:dyDescent="0.25">
      <c r="A2285" t="s">
        <v>322</v>
      </c>
      <c r="B2285" t="s">
        <v>2877</v>
      </c>
      <c r="C2285" t="str" cm="1">
        <f t="array" ref="C2285">CleanText(B2285)</f>
        <v>nice movie barbie</v>
      </c>
      <c r="D2285">
        <v>0</v>
      </c>
      <c r="E2285">
        <v>0</v>
      </c>
      <c r="F2285" t="s">
        <v>2878</v>
      </c>
      <c r="G2285" t="str" cm="1">
        <f t="array" ref="G2285">FindCountryName(F2285)</f>
        <v>Malaysia</v>
      </c>
      <c r="H2285" s="3">
        <v>45156.532546296294</v>
      </c>
      <c r="I2285" s="3">
        <v>45156.532546296294</v>
      </c>
      <c r="J2285" s="3">
        <v>43004.314606481479</v>
      </c>
      <c r="K2285" cm="1">
        <f t="array" ref="K2285">sentimentCalc(C2285)</f>
        <v>3</v>
      </c>
      <c r="L2285" t="str" cm="1">
        <f t="array" ref="L2285">sentimentCategory(K2285)</f>
        <v>Positive</v>
      </c>
    </row>
    <row r="2286" spans="1:12" x14ac:dyDescent="0.25">
      <c r="A2286" t="s">
        <v>532</v>
      </c>
      <c r="B2286" t="s">
        <v>1034</v>
      </c>
      <c r="C2286" t="str" cm="1">
        <f t="array" ref="C2286">CleanText(B2286)</f>
        <v>nihayet izledim efektler muazzamd kesinlikle arivinizde olsun</v>
      </c>
      <c r="D2286">
        <v>0</v>
      </c>
      <c r="E2286">
        <v>0</v>
      </c>
      <c r="F2286" t="s">
        <v>10</v>
      </c>
      <c r="G2286" t="str" cm="1">
        <f t="array" ref="G2286">FindCountryName(F2286)</f>
        <v>None</v>
      </c>
      <c r="H2286" s="3">
        <v>45298.944224537037</v>
      </c>
      <c r="I2286" s="3">
        <v>45298.944224537037</v>
      </c>
      <c r="J2286" s="3">
        <v>41408.758263888885</v>
      </c>
      <c r="K2286" cm="1">
        <f t="array" ref="K2286">sentimentCalc(C2286)</f>
        <v>0</v>
      </c>
      <c r="L2286" t="str" cm="1">
        <f t="array" ref="L2286">sentimentCategory(K2286)</f>
        <v>Neutral</v>
      </c>
    </row>
    <row r="2287" spans="1:12" x14ac:dyDescent="0.25">
      <c r="A2287" t="s">
        <v>1244</v>
      </c>
      <c r="B2287" t="s">
        <v>2604</v>
      </c>
      <c r="C2287" t="str" cm="1">
        <f t="array" ref="C2287">CleanText(B2287)</f>
        <v>no  dash line</v>
      </c>
      <c r="D2287">
        <v>0</v>
      </c>
      <c r="E2287">
        <v>0</v>
      </c>
      <c r="F2287" t="s">
        <v>10</v>
      </c>
      <c r="G2287" t="str" cm="1">
        <f t="array" ref="G2287">FindCountryName(F2287)</f>
        <v>None</v>
      </c>
      <c r="H2287" s="3">
        <v>45162.164537037039</v>
      </c>
      <c r="I2287" s="3">
        <v>45162.164537037039</v>
      </c>
      <c r="J2287" s="3">
        <v>44074.169953703706</v>
      </c>
      <c r="K2287" cm="1">
        <f t="array" ref="K2287">sentimentCalc(C2287)</f>
        <v>-1</v>
      </c>
      <c r="L2287" t="str" cm="1">
        <f t="array" ref="L2287">sentimentCategory(K2287)</f>
        <v>Negative</v>
      </c>
    </row>
    <row r="2288" spans="1:12" x14ac:dyDescent="0.25">
      <c r="A2288" t="s">
        <v>58</v>
      </c>
      <c r="B2288" t="s">
        <v>1834</v>
      </c>
      <c r="C2288" t="str" cm="1">
        <f t="array" ref="C2288">CleanText(B2288)</f>
        <v>no barbie</v>
      </c>
      <c r="D2288">
        <v>0</v>
      </c>
      <c r="E2288">
        <v>0</v>
      </c>
      <c r="F2288" t="s">
        <v>10</v>
      </c>
      <c r="G2288" t="str" cm="1">
        <f t="array" ref="G2288">FindCountryName(F2288)</f>
        <v>None</v>
      </c>
      <c r="H2288" s="3">
        <v>45191.82130787037</v>
      </c>
      <c r="I2288" s="3">
        <v>45191.82130787037</v>
      </c>
      <c r="J2288" s="3">
        <v>45095.907187500001</v>
      </c>
      <c r="K2288" cm="1">
        <f t="array" ref="K2288">sentimentCalc(C2288)</f>
        <v>-1</v>
      </c>
      <c r="L2288" t="str" cm="1">
        <f t="array" ref="L2288">sentimentCategory(K2288)</f>
        <v>Negative</v>
      </c>
    </row>
    <row r="2289" spans="1:12" x14ac:dyDescent="0.25">
      <c r="A2289" t="s">
        <v>549</v>
      </c>
      <c r="B2289" t="s">
        <v>2976</v>
      </c>
      <c r="C2289" t="str" cm="1">
        <f t="array" ref="C2289">CleanText(B2289)</f>
        <v>no kaboom</v>
      </c>
      <c r="D2289">
        <v>0</v>
      </c>
      <c r="E2289">
        <v>0</v>
      </c>
      <c r="F2289" t="s">
        <v>10</v>
      </c>
      <c r="G2289" t="str" cm="1">
        <f t="array" ref="G2289">FindCountryName(F2289)</f>
        <v>None</v>
      </c>
      <c r="H2289" s="3">
        <v>45155.013611111113</v>
      </c>
      <c r="I2289" s="3">
        <v>45155.013611111113</v>
      </c>
      <c r="J2289" s="3">
        <v>44698.160428240742</v>
      </c>
      <c r="K2289" cm="1">
        <f t="array" ref="K2289">sentimentCalc(C2289)</f>
        <v>-1</v>
      </c>
      <c r="L2289" t="str" cm="1">
        <f t="array" ref="L2289">sentimentCategory(K2289)</f>
        <v>Negative</v>
      </c>
    </row>
    <row r="2290" spans="1:12" x14ac:dyDescent="0.25">
      <c r="A2290" t="s">
        <v>62</v>
      </c>
      <c r="B2290" t="s">
        <v>822</v>
      </c>
      <c r="C2290" t="str" cm="1">
        <f t="array" ref="C2290">CleanText(B2290)</f>
        <v>no man is chasing a boss babe no matter how many movies you make confusing women</v>
      </c>
      <c r="D2290">
        <v>1</v>
      </c>
      <c r="E2290">
        <v>0</v>
      </c>
      <c r="F2290" t="s">
        <v>10</v>
      </c>
      <c r="G2290" t="str" cm="1">
        <f t="array" ref="G2290">FindCountryName(F2290)</f>
        <v>None</v>
      </c>
      <c r="H2290" s="3">
        <v>45304.826597222222</v>
      </c>
      <c r="I2290" s="3">
        <v>45304.826597222222</v>
      </c>
      <c r="J2290" s="3">
        <v>39067.741886574076</v>
      </c>
      <c r="K2290" cm="1">
        <f t="array" ref="K2290">sentimentCalc(C2290)</f>
        <v>-3</v>
      </c>
      <c r="L2290" t="str" cm="1">
        <f t="array" ref="L2290">sentimentCategory(K2290)</f>
        <v>Negative</v>
      </c>
    </row>
    <row r="2291" spans="1:12" x14ac:dyDescent="0.25">
      <c r="A2291" t="s">
        <v>1281</v>
      </c>
      <c r="B2291" t="s">
        <v>1303</v>
      </c>
      <c r="C2291" t="str" cm="1">
        <f t="array" ref="C2291">CleanText(B2291)</f>
        <v>no one has to have barbie dolls or be a fan of barbie to enjoy this movie this movie had a nice meaning to it never watched something like it</v>
      </c>
      <c r="D2291">
        <v>54</v>
      </c>
      <c r="E2291">
        <v>5</v>
      </c>
      <c r="F2291" t="s">
        <v>10</v>
      </c>
      <c r="G2291" t="str" cm="1">
        <f t="array" ref="G2291">FindCountryName(F2291)</f>
        <v>None</v>
      </c>
      <c r="H2291" s="3">
        <v>45251.904293981483</v>
      </c>
      <c r="I2291" s="3">
        <v>45251.904293981483</v>
      </c>
      <c r="J2291" s="3">
        <v>42608.652141203704</v>
      </c>
      <c r="K2291" cm="1">
        <f t="array" ref="K2291">sentimentCalc(C2291)</f>
        <v>9</v>
      </c>
      <c r="L2291" t="str" cm="1">
        <f t="array" ref="L2291">sentimentCategory(K2291)</f>
        <v>Positive</v>
      </c>
    </row>
    <row r="2292" spans="1:12" x14ac:dyDescent="0.25">
      <c r="A2292" t="s">
        <v>256</v>
      </c>
      <c r="B2292" t="s">
        <v>2900</v>
      </c>
      <c r="C2292" t="str" cm="1">
        <f t="array" ref="C2292">CleanText(B2292)</f>
        <v>no margot isnt barbie shes way more funny besides whatever the color of the music it isnt pink</v>
      </c>
      <c r="D2292">
        <v>0</v>
      </c>
      <c r="E2292">
        <v>0</v>
      </c>
      <c r="F2292" t="s">
        <v>10</v>
      </c>
      <c r="G2292" t="str" cm="1">
        <f t="array" ref="G2292">FindCountryName(F2292)</f>
        <v>None</v>
      </c>
      <c r="H2292" s="3">
        <v>45156.250173611108</v>
      </c>
      <c r="I2292" s="3">
        <v>45156.250173611108</v>
      </c>
      <c r="J2292" s="3">
        <v>41613.165671296294</v>
      </c>
      <c r="K2292" cm="1">
        <f t="array" ref="K2292">sentimentCalc(C2292)</f>
        <v>3</v>
      </c>
      <c r="L2292" t="str" cm="1">
        <f t="array" ref="L2292">sentimentCategory(K2292)</f>
        <v>Positive</v>
      </c>
    </row>
    <row r="2293" spans="1:12" x14ac:dyDescent="0.25">
      <c r="A2293" t="s">
        <v>955</v>
      </c>
      <c r="B2293" t="s">
        <v>3095</v>
      </c>
      <c r="C2293" t="str" cm="1">
        <f t="array" ref="C2293">CleanText(B2293)</f>
        <v>nobarbie</v>
      </c>
      <c r="D2293">
        <v>1</v>
      </c>
      <c r="E2293">
        <v>0</v>
      </c>
      <c r="F2293" t="s">
        <v>10</v>
      </c>
      <c r="G2293" t="str" cm="1">
        <f t="array" ref="G2293">FindCountryName(F2293)</f>
        <v>None</v>
      </c>
      <c r="H2293" s="3">
        <v>45153.484212962961</v>
      </c>
      <c r="I2293" s="3">
        <v>45153.484212962961</v>
      </c>
      <c r="J2293" s="3">
        <v>43355.416041666664</v>
      </c>
      <c r="K2293" cm="1">
        <f t="array" ref="K2293">sentimentCalc(C2293)</f>
        <v>0</v>
      </c>
      <c r="L2293" t="str" cm="1">
        <f t="array" ref="L2293">sentimentCategory(K2293)</f>
        <v>Neutral</v>
      </c>
    </row>
    <row r="2294" spans="1:12" x14ac:dyDescent="0.25">
      <c r="A2294" t="s">
        <v>171</v>
      </c>
      <c r="B2294" t="s">
        <v>3824</v>
      </c>
      <c r="C2294" t="str" cm="1">
        <f t="array" ref="C2294">CleanText(B2294)</f>
        <v>nobody asked if she needs to get back in her box she aint a doll anymore</v>
      </c>
      <c r="D2294">
        <v>0</v>
      </c>
      <c r="E2294">
        <v>0</v>
      </c>
      <c r="F2294" t="s">
        <v>10</v>
      </c>
      <c r="G2294" t="str" cm="1">
        <f t="array" ref="G2294">FindCountryName(F2294)</f>
        <v>None</v>
      </c>
      <c r="H2294" s="3">
        <v>45145.262511574074</v>
      </c>
      <c r="I2294" s="3">
        <v>45145.262511574074</v>
      </c>
      <c r="J2294" s="3">
        <v>45047.849166666667</v>
      </c>
      <c r="K2294" cm="1">
        <f t="array" ref="K2294">sentimentCalc(C2294)</f>
        <v>0</v>
      </c>
      <c r="L2294" t="str" cm="1">
        <f t="array" ref="L2294">sentimentCategory(K2294)</f>
        <v>Neutral</v>
      </c>
    </row>
    <row r="2295" spans="1:12" x14ac:dyDescent="0.25">
      <c r="A2295" t="s">
        <v>622</v>
      </c>
      <c r="B2295" t="s">
        <v>623</v>
      </c>
      <c r="C2295" t="str" cm="1">
        <f t="array" ref="C2295">CleanText(B2295)</f>
        <v>nominated for  academy awards including best picture</v>
      </c>
      <c r="D2295">
        <v>7</v>
      </c>
      <c r="E2295">
        <v>1</v>
      </c>
      <c r="F2295" t="s">
        <v>227</v>
      </c>
      <c r="G2295" t="str" cm="1">
        <f t="array" ref="G2295">FindCountryName(F2295)</f>
        <v>United States of America (the)</v>
      </c>
      <c r="H2295" s="3">
        <v>45314.913194444445</v>
      </c>
      <c r="I2295" s="3">
        <v>45314.913194444445</v>
      </c>
      <c r="J2295" s="3">
        <v>40712.959629629629</v>
      </c>
      <c r="K2295" cm="1">
        <f t="array" ref="K2295">sentimentCalc(C2295)</f>
        <v>6</v>
      </c>
      <c r="L2295" t="str" cm="1">
        <f t="array" ref="L2295">sentimentCategory(K2295)</f>
        <v>Positive</v>
      </c>
    </row>
    <row r="2296" spans="1:12" x14ac:dyDescent="0.25">
      <c r="A2296" t="s">
        <v>38</v>
      </c>
      <c r="B2296" t="s">
        <v>40</v>
      </c>
      <c r="C2296" t="str" cm="1">
        <f t="array" ref="C2296">CleanText(B2296)</f>
        <v>none of the trashoes who went out to this this feminazi movie went out to see the marvels and madam web</v>
      </c>
      <c r="D2296">
        <v>1</v>
      </c>
      <c r="E2296">
        <v>1</v>
      </c>
      <c r="F2296" t="s">
        <v>10</v>
      </c>
      <c r="G2296" t="str" cm="1">
        <f t="array" ref="G2296">FindCountryName(F2296)</f>
        <v>None</v>
      </c>
      <c r="H2296" s="3">
        <v>45346.580104166664</v>
      </c>
      <c r="I2296" s="3">
        <v>45346.580104166664</v>
      </c>
      <c r="J2296" s="3">
        <v>43515.90896990741</v>
      </c>
      <c r="K2296" cm="1">
        <f t="array" ref="K2296">sentimentCalc(C2296)</f>
        <v>3</v>
      </c>
      <c r="L2296" t="str" cm="1">
        <f t="array" ref="L2296">sentimentCategory(K2296)</f>
        <v>Positive</v>
      </c>
    </row>
    <row r="2297" spans="1:12" x14ac:dyDescent="0.25">
      <c r="A2297" t="s">
        <v>49</v>
      </c>
      <c r="B2297" t="s">
        <v>50</v>
      </c>
      <c r="C2297" t="str" cm="1">
        <f t="array" ref="C2297">CleanText(B2297)</f>
        <v>nooooooooooooo ooooooooooo ooooooooooo ooooooooooo</v>
      </c>
      <c r="D2297">
        <v>0</v>
      </c>
      <c r="E2297">
        <v>0</v>
      </c>
      <c r="F2297" t="s">
        <v>10</v>
      </c>
      <c r="G2297" t="str" cm="1">
        <f t="array" ref="G2297">FindCountryName(F2297)</f>
        <v>None</v>
      </c>
      <c r="H2297" s="3">
        <v>45345.468784722223</v>
      </c>
      <c r="I2297" s="3">
        <v>45345.468784722223</v>
      </c>
      <c r="J2297" s="3">
        <v>44796.034050925926</v>
      </c>
      <c r="K2297" cm="1">
        <f t="array" ref="K2297">sentimentCalc(C2297)</f>
        <v>0</v>
      </c>
      <c r="L2297" t="str" cm="1">
        <f t="array" ref="L2297">sentimentCategory(K2297)</f>
        <v>Neutral</v>
      </c>
    </row>
    <row r="2298" spans="1:12" x14ac:dyDescent="0.25">
      <c r="A2298" t="s">
        <v>840</v>
      </c>
      <c r="B2298" t="s">
        <v>4159</v>
      </c>
      <c r="C2298" t="str" cm="1">
        <f t="array" ref="C2298">CleanText(B2298)</f>
        <v>nope</v>
      </c>
      <c r="D2298">
        <v>1</v>
      </c>
      <c r="E2298">
        <v>0</v>
      </c>
      <c r="F2298" t="s">
        <v>10</v>
      </c>
      <c r="G2298" t="str" cm="1">
        <f t="array" ref="G2298">FindCountryName(F2298)</f>
        <v>None</v>
      </c>
      <c r="H2298" s="3">
        <v>45142.413645833331</v>
      </c>
      <c r="I2298" s="3">
        <v>45142.413645833331</v>
      </c>
      <c r="J2298" s="3">
        <v>39469.128842592596</v>
      </c>
      <c r="K2298" cm="1">
        <f t="array" ref="K2298">sentimentCalc(C2298)</f>
        <v>0</v>
      </c>
      <c r="L2298" t="str" cm="1">
        <f t="array" ref="L2298">sentimentCategory(K2298)</f>
        <v>Neutral</v>
      </c>
    </row>
    <row r="2299" spans="1:12" x14ac:dyDescent="0.25">
      <c r="A2299" t="s">
        <v>1405</v>
      </c>
      <c r="B2299" t="s">
        <v>1406</v>
      </c>
      <c r="C2299" t="str" cm="1">
        <f t="array" ref="C2299">CleanText(B2299)</f>
        <v>nossa filme lindo minha filha adorou o filme quero assistir novamente</v>
      </c>
      <c r="D2299">
        <v>0</v>
      </c>
      <c r="E2299">
        <v>0</v>
      </c>
      <c r="F2299" t="s">
        <v>10</v>
      </c>
      <c r="G2299" t="str" cm="1">
        <f t="array" ref="G2299">FindCountryName(F2299)</f>
        <v>None</v>
      </c>
      <c r="H2299" s="3">
        <v>45233.545439814814</v>
      </c>
      <c r="I2299" s="3">
        <v>45233.545439814814</v>
      </c>
      <c r="J2299" s="3">
        <v>43415.622199074074</v>
      </c>
      <c r="K2299" cm="1">
        <f t="array" ref="K2299">sentimentCalc(C2299)</f>
        <v>0</v>
      </c>
      <c r="L2299" t="str" cm="1">
        <f t="array" ref="L2299">sentimentCategory(K2299)</f>
        <v>Neutral</v>
      </c>
    </row>
    <row r="2300" spans="1:12" x14ac:dyDescent="0.25">
      <c r="A2300" t="s">
        <v>895</v>
      </c>
      <c r="B2300" t="s">
        <v>3985</v>
      </c>
      <c r="C2300" t="str" cm="1">
        <f t="array" ref="C2300">CleanText(B2300)</f>
        <v>not a fan of babie but this look soo good</v>
      </c>
      <c r="D2300">
        <v>0</v>
      </c>
      <c r="E2300">
        <v>0</v>
      </c>
      <c r="F2300" t="s">
        <v>10</v>
      </c>
      <c r="G2300" t="str" cm="1">
        <f t="array" ref="G2300">FindCountryName(F2300)</f>
        <v>None</v>
      </c>
      <c r="H2300" s="3">
        <v>45143.991608796299</v>
      </c>
      <c r="I2300" s="3">
        <v>45143.992118055554</v>
      </c>
      <c r="J2300" s="3">
        <v>44591.950891203705</v>
      </c>
      <c r="K2300" cm="1">
        <f t="array" ref="K2300">sentimentCalc(C2300)</f>
        <v>6</v>
      </c>
      <c r="L2300" t="str" cm="1">
        <f t="array" ref="L2300">sentimentCategory(K2300)</f>
        <v>Positive</v>
      </c>
    </row>
    <row r="2301" spans="1:12" x14ac:dyDescent="0.25">
      <c r="A2301" t="s">
        <v>1283</v>
      </c>
      <c r="B2301" t="s">
        <v>4295</v>
      </c>
      <c r="C2301" t="str" cm="1">
        <f t="array" ref="C2301">CleanText(B2301)</f>
        <v>not a good movie</v>
      </c>
      <c r="D2301">
        <v>0</v>
      </c>
      <c r="E2301">
        <v>0</v>
      </c>
      <c r="F2301" t="s">
        <v>10</v>
      </c>
      <c r="G2301" t="str" cm="1">
        <f t="array" ref="G2301">FindCountryName(F2301)</f>
        <v>None</v>
      </c>
      <c r="H2301" s="3">
        <v>45141.148252314815</v>
      </c>
      <c r="I2301" s="3">
        <v>45141.148252314815</v>
      </c>
      <c r="J2301" s="3">
        <v>45128.362407407411</v>
      </c>
      <c r="K2301" cm="1">
        <f t="array" ref="K2301">sentimentCalc(C2301)</f>
        <v>3</v>
      </c>
      <c r="L2301" t="str" cm="1">
        <f t="array" ref="L2301">sentimentCategory(K2301)</f>
        <v>Positive</v>
      </c>
    </row>
    <row r="2302" spans="1:12" x14ac:dyDescent="0.25">
      <c r="A2302" t="s">
        <v>532</v>
      </c>
      <c r="B2302" t="s">
        <v>1968</v>
      </c>
      <c r="C2302" t="str" cm="1">
        <f t="array" ref="C2302">CleanText(B2302)</f>
        <v>not a movie i wanna see typical a movie from the sfake and empty</v>
      </c>
      <c r="D2302">
        <v>0</v>
      </c>
      <c r="E2302">
        <v>0</v>
      </c>
      <c r="F2302" t="s">
        <v>1133</v>
      </c>
      <c r="G2302" t="str" cm="1">
        <f t="array" ref="G2302">FindCountryName(F2302)</f>
        <v>Netherlands (the)</v>
      </c>
      <c r="H2302" s="3">
        <v>45186.184664351851</v>
      </c>
      <c r="I2302" s="3">
        <v>45186.184664351851</v>
      </c>
      <c r="J2302" s="3">
        <v>41887.676030092596</v>
      </c>
      <c r="K2302" cm="1">
        <f t="array" ref="K2302">sentimentCalc(C2302)</f>
        <v>-1</v>
      </c>
      <c r="L2302" t="str" cm="1">
        <f t="array" ref="L2302">sentimentCategory(K2302)</f>
        <v>Negative</v>
      </c>
    </row>
    <row r="2303" spans="1:12" x14ac:dyDescent="0.25">
      <c r="A2303" t="s">
        <v>716</v>
      </c>
      <c r="B2303" t="s">
        <v>717</v>
      </c>
      <c r="C2303" t="str" cm="1">
        <f t="array" ref="C2303">CleanText(B2303)</f>
        <v>not bad watchable</v>
      </c>
      <c r="D2303">
        <v>1</v>
      </c>
      <c r="E2303">
        <v>0</v>
      </c>
      <c r="F2303" t="s">
        <v>10</v>
      </c>
      <c r="G2303" t="str" cm="1">
        <f t="array" ref="G2303">FindCountryName(F2303)</f>
        <v>None</v>
      </c>
      <c r="H2303" s="3">
        <v>45310.557534722226</v>
      </c>
      <c r="I2303" s="3">
        <v>45310.557534722226</v>
      </c>
      <c r="J2303" s="3">
        <v>45304.453240740739</v>
      </c>
      <c r="K2303" cm="1">
        <f t="array" ref="K2303">sentimentCalc(C2303)</f>
        <v>-3</v>
      </c>
      <c r="L2303" t="str" cm="1">
        <f t="array" ref="L2303">sentimentCategory(K2303)</f>
        <v>Negative</v>
      </c>
    </row>
    <row r="2304" spans="1:12" x14ac:dyDescent="0.25">
      <c r="A2304" t="s">
        <v>724</v>
      </c>
      <c r="B2304" t="s">
        <v>2599</v>
      </c>
      <c r="C2304" t="str" cm="1">
        <f t="array" ref="C2304">CleanText(B2304)</f>
        <v>not exactly inspiring</v>
      </c>
      <c r="D2304">
        <v>1</v>
      </c>
      <c r="E2304">
        <v>0</v>
      </c>
      <c r="F2304" t="s">
        <v>10</v>
      </c>
      <c r="G2304" t="str" cm="1">
        <f t="array" ref="G2304">FindCountryName(F2304)</f>
        <v>None</v>
      </c>
      <c r="H2304" s="3">
        <v>45162.242164351854</v>
      </c>
      <c r="I2304" s="3">
        <v>45162.242152777777</v>
      </c>
      <c r="J2304" s="3">
        <v>44502.916875000003</v>
      </c>
      <c r="K2304" cm="1">
        <f t="array" ref="K2304">sentimentCalc(C2304)</f>
        <v>3</v>
      </c>
      <c r="L2304" t="str" cm="1">
        <f t="array" ref="L2304">sentimentCategory(K2304)</f>
        <v>Positive</v>
      </c>
    </row>
    <row r="2305" spans="1:12" x14ac:dyDescent="0.25">
      <c r="A2305" t="s">
        <v>459</v>
      </c>
      <c r="B2305" t="s">
        <v>2543</v>
      </c>
      <c r="C2305" t="str" cm="1">
        <f t="array" ref="C2305">CleanText(B2305)</f>
        <v>not for kids people</v>
      </c>
      <c r="D2305">
        <v>1</v>
      </c>
      <c r="E2305">
        <v>1</v>
      </c>
      <c r="F2305" t="s">
        <v>10</v>
      </c>
      <c r="G2305" t="str" cm="1">
        <f t="array" ref="G2305">FindCountryName(F2305)</f>
        <v>None</v>
      </c>
      <c r="H2305" s="3">
        <v>45163.744016203702</v>
      </c>
      <c r="I2305" s="3">
        <v>45163.744016203702</v>
      </c>
      <c r="J2305" s="3">
        <v>43043.509467592594</v>
      </c>
      <c r="K2305" cm="1">
        <f t="array" ref="K2305">sentimentCalc(C2305)</f>
        <v>0</v>
      </c>
      <c r="L2305" t="str" cm="1">
        <f t="array" ref="L2305">sentimentCategory(K2305)</f>
        <v>Neutral</v>
      </c>
    </row>
    <row r="2306" spans="1:12" x14ac:dyDescent="0.25">
      <c r="A2306" t="s">
        <v>114</v>
      </c>
      <c r="B2306" t="s">
        <v>3677</v>
      </c>
      <c r="C2306" t="str" cm="1">
        <f t="array" ref="C2306">CleanText(B2306)</f>
        <v>not going not happening</v>
      </c>
      <c r="D2306">
        <v>0</v>
      </c>
      <c r="E2306">
        <v>0</v>
      </c>
      <c r="F2306" t="s">
        <v>10</v>
      </c>
      <c r="G2306" t="str" cm="1">
        <f t="array" ref="G2306">FindCountryName(F2306)</f>
        <v>None</v>
      </c>
      <c r="H2306" s="3">
        <v>45146.530972222223</v>
      </c>
      <c r="I2306" s="3">
        <v>45146.530972222223</v>
      </c>
      <c r="J2306" s="3">
        <v>44720.772037037037</v>
      </c>
      <c r="K2306" cm="1">
        <f t="array" ref="K2306">sentimentCalc(C2306)</f>
        <v>0</v>
      </c>
      <c r="L2306" t="str" cm="1">
        <f t="array" ref="L2306">sentimentCategory(K2306)</f>
        <v>Neutral</v>
      </c>
    </row>
    <row r="2307" spans="1:12" x14ac:dyDescent="0.25">
      <c r="A2307" t="s">
        <v>514</v>
      </c>
      <c r="B2307" t="s">
        <v>1975</v>
      </c>
      <c r="C2307" t="str" cm="1">
        <f t="array" ref="C2307">CleanText(B2307)</f>
        <v>not gonna lie this movie was complete trash and uninteresting and i say this as a woman who loves barbie</v>
      </c>
      <c r="D2307">
        <v>2</v>
      </c>
      <c r="E2307">
        <v>0</v>
      </c>
      <c r="F2307" t="s">
        <v>10</v>
      </c>
      <c r="G2307" t="str" cm="1">
        <f t="array" ref="G2307">FindCountryName(F2307)</f>
        <v>None</v>
      </c>
      <c r="H2307" s="3">
        <v>45185.606631944444</v>
      </c>
      <c r="I2307" s="3">
        <v>45185.606631944444</v>
      </c>
      <c r="J2307" s="3">
        <v>42015.138715277775</v>
      </c>
      <c r="K2307" cm="1">
        <f t="array" ref="K2307">sentimentCalc(C2307)</f>
        <v>0</v>
      </c>
      <c r="L2307" t="str" cm="1">
        <f t="array" ref="L2307">sentimentCategory(K2307)</f>
        <v>Neutral</v>
      </c>
    </row>
    <row r="2308" spans="1:12" x14ac:dyDescent="0.25">
      <c r="A2308" t="s">
        <v>618</v>
      </c>
      <c r="B2308" t="s">
        <v>619</v>
      </c>
      <c r="C2308" t="str" cm="1">
        <f t="array" ref="C2308">CleanText(B2308)</f>
        <v>not in a million years will i watch this this is so insane and people like it i live in bizarro world is it just me</v>
      </c>
      <c r="D2308">
        <v>0</v>
      </c>
      <c r="E2308">
        <v>0</v>
      </c>
      <c r="F2308" t="s">
        <v>10</v>
      </c>
      <c r="G2308" t="str" cm="1">
        <f t="array" ref="G2308">FindCountryName(F2308)</f>
        <v>None</v>
      </c>
      <c r="H2308" s="3">
        <v>45315.104270833333</v>
      </c>
      <c r="I2308" s="3">
        <v>45315.104270833333</v>
      </c>
      <c r="J2308" s="3">
        <v>41391.712314814817</v>
      </c>
      <c r="K2308" cm="1">
        <f t="array" ref="K2308">sentimentCalc(C2308)</f>
        <v>0</v>
      </c>
      <c r="L2308" t="str" cm="1">
        <f t="array" ref="L2308">sentimentCategory(K2308)</f>
        <v>Neutral</v>
      </c>
    </row>
    <row r="2309" spans="1:12" x14ac:dyDescent="0.25">
      <c r="A2309" t="s">
        <v>1283</v>
      </c>
      <c r="B2309" t="s">
        <v>2513</v>
      </c>
      <c r="C2309" t="str" cm="1">
        <f t="array" ref="C2309">CleanText(B2309)</f>
        <v>not me just watching this and loving it xd</v>
      </c>
      <c r="D2309">
        <v>0</v>
      </c>
      <c r="E2309">
        <v>0</v>
      </c>
      <c r="F2309" t="s">
        <v>10</v>
      </c>
      <c r="G2309" t="str" cm="1">
        <f t="array" ref="G2309">FindCountryName(F2309)</f>
        <v>None</v>
      </c>
      <c r="H2309" s="3">
        <v>45164.686666666668</v>
      </c>
      <c r="I2309" s="3">
        <v>45164.686666666668</v>
      </c>
      <c r="J2309" s="3">
        <v>44519.616076388891</v>
      </c>
      <c r="K2309" cm="1">
        <f t="array" ref="K2309">sentimentCalc(C2309)</f>
        <v>2</v>
      </c>
      <c r="L2309" t="str" cm="1">
        <f t="array" ref="L2309">sentimentCategory(K2309)</f>
        <v>Positive</v>
      </c>
    </row>
    <row r="2310" spans="1:12" x14ac:dyDescent="0.25">
      <c r="A2310" t="s">
        <v>3104</v>
      </c>
      <c r="B2310" t="s">
        <v>3105</v>
      </c>
      <c r="C2310" t="str" cm="1">
        <f t="array" ref="C2310">CleanText(B2310)</f>
        <v>not pretty</v>
      </c>
      <c r="D2310">
        <v>1</v>
      </c>
      <c r="E2310">
        <v>0</v>
      </c>
      <c r="F2310" t="s">
        <v>3106</v>
      </c>
      <c r="G2310" t="str" cm="1">
        <f t="array" ref="G2310">FindCountryName(F2310)</f>
        <v>Morocco</v>
      </c>
      <c r="H2310" s="3">
        <v>45153.39603009259</v>
      </c>
      <c r="I2310" s="3">
        <v>45153.39603009259</v>
      </c>
      <c r="J2310" s="3">
        <v>41162.98878472222</v>
      </c>
      <c r="K2310" cm="1">
        <f t="array" ref="K2310">sentimentCalc(C2310)</f>
        <v>1</v>
      </c>
      <c r="L2310" t="str" cm="1">
        <f t="array" ref="L2310">sentimentCategory(K2310)</f>
        <v>Positive</v>
      </c>
    </row>
    <row r="2311" spans="1:12" x14ac:dyDescent="0.25">
      <c r="A2311" t="s">
        <v>555</v>
      </c>
      <c r="B2311" t="s">
        <v>3963</v>
      </c>
      <c r="C2311" t="str" cm="1">
        <f t="array" ref="C2311">CleanText(B2311)</f>
        <v>not them trying so hard to overshadow little mermaid and not everyone falling for it</v>
      </c>
      <c r="D2311">
        <v>1</v>
      </c>
      <c r="E2311">
        <v>0</v>
      </c>
      <c r="F2311" t="s">
        <v>10</v>
      </c>
      <c r="G2311" t="str" cm="1">
        <f t="array" ref="G2311">FindCountryName(F2311)</f>
        <v>None</v>
      </c>
      <c r="H2311" s="3">
        <v>45144.150555555556</v>
      </c>
      <c r="I2311" s="3">
        <v>45144.150555555556</v>
      </c>
      <c r="J2311" s="3">
        <v>41361.431215277778</v>
      </c>
      <c r="K2311" cm="1">
        <f t="array" ref="K2311">sentimentCalc(C2311)</f>
        <v>-2</v>
      </c>
      <c r="L2311" t="str" cm="1">
        <f t="array" ref="L2311">sentimentCategory(K2311)</f>
        <v>Negative</v>
      </c>
    </row>
    <row r="2312" spans="1:12" x14ac:dyDescent="0.25">
      <c r="A2312" t="s">
        <v>1082</v>
      </c>
      <c r="B2312" t="s">
        <v>3832</v>
      </c>
      <c r="C2312" t="str" cm="1">
        <f t="array" ref="C2312">CleanText(B2312)</f>
        <v>not yet long live oppenheimer</v>
      </c>
      <c r="D2312">
        <v>0</v>
      </c>
      <c r="E2312">
        <v>0</v>
      </c>
      <c r="F2312" t="s">
        <v>10</v>
      </c>
      <c r="G2312" t="str" cm="1">
        <f t="array" ref="G2312">FindCountryName(F2312)</f>
        <v>None</v>
      </c>
      <c r="H2312" s="3">
        <v>45145.16982638889</v>
      </c>
      <c r="I2312" s="3">
        <v>45145.16982638889</v>
      </c>
      <c r="J2312" s="3">
        <v>44245.925821759258</v>
      </c>
      <c r="K2312" cm="1">
        <f t="array" ref="K2312">sentimentCalc(C2312)</f>
        <v>0</v>
      </c>
      <c r="L2312" t="str" cm="1">
        <f t="array" ref="L2312">sentimentCategory(K2312)</f>
        <v>Neutral</v>
      </c>
    </row>
    <row r="2313" spans="1:12" x14ac:dyDescent="0.25">
      <c r="A2313" t="s">
        <v>3161</v>
      </c>
      <c r="B2313" t="s">
        <v>3162</v>
      </c>
      <c r="C2313" t="str" cm="1">
        <f t="array" ref="C2313">CleanText(B2313)</f>
        <v>nothing like the original toy hollywood just had to woke it up should have saved my money never again from this film company</v>
      </c>
      <c r="D2313">
        <v>4</v>
      </c>
      <c r="E2313">
        <v>6</v>
      </c>
      <c r="F2313" t="s">
        <v>10</v>
      </c>
      <c r="G2313" t="str" cm="1">
        <f t="array" ref="G2313">FindCountryName(F2313)</f>
        <v>None</v>
      </c>
      <c r="H2313" s="3">
        <v>45152.540486111109</v>
      </c>
      <c r="I2313" s="3">
        <v>45152.540486111109</v>
      </c>
      <c r="J2313" s="3">
        <v>38961.941284722219</v>
      </c>
      <c r="K2313" cm="1">
        <f t="array" ref="K2313">sentimentCalc(C2313)</f>
        <v>4</v>
      </c>
      <c r="L2313" t="str" cm="1">
        <f t="array" ref="L2313">sentimentCategory(K2313)</f>
        <v>Positive</v>
      </c>
    </row>
    <row r="2314" spans="1:12" x14ac:dyDescent="0.25">
      <c r="A2314" t="s">
        <v>169</v>
      </c>
      <c r="B2314" t="s">
        <v>3822</v>
      </c>
      <c r="C2314" t="str" cm="1">
        <f t="array" ref="C2314">CleanText(B2314)</f>
        <v>nothing special about this movie  people specially in west are living in their fantasies but when we see openheimer sold less than this i dont wonder why openheimer is movie based on real thing real person who changed the world and real script and real visual effect</v>
      </c>
      <c r="D2314">
        <v>3</v>
      </c>
      <c r="E2314">
        <v>1</v>
      </c>
      <c r="F2314" t="s">
        <v>10</v>
      </c>
      <c r="G2314" t="str" cm="1">
        <f t="array" ref="G2314">FindCountryName(F2314)</f>
        <v>None</v>
      </c>
      <c r="H2314" s="3">
        <v>45145.270381944443</v>
      </c>
      <c r="I2314" s="3">
        <v>45145.278368055559</v>
      </c>
      <c r="J2314" s="3">
        <v>42428.192141203705</v>
      </c>
      <c r="K2314" cm="1">
        <f t="array" ref="K2314">sentimentCalc(C2314)</f>
        <v>0</v>
      </c>
      <c r="L2314" t="str" cm="1">
        <f t="array" ref="L2314">sentimentCategory(K2314)</f>
        <v>Neutral</v>
      </c>
    </row>
    <row r="2315" spans="1:12" x14ac:dyDescent="0.25">
      <c r="A2315" t="s">
        <v>30</v>
      </c>
      <c r="B2315" t="s">
        <v>2024</v>
      </c>
      <c r="C2315" t="str" cm="1">
        <f t="array" ref="C2315">CleanText(B2315)</f>
        <v>notice the seeming complete lack of negative comments i smell lets call it non coincidental selective bias will find an alternate video to post my thoughts on this suffice to say though i shut barbie off just under an hour ingives an idea</v>
      </c>
      <c r="D2315">
        <v>0</v>
      </c>
      <c r="E2315">
        <v>1</v>
      </c>
      <c r="F2315" t="s">
        <v>10</v>
      </c>
      <c r="G2315" t="str" cm="1">
        <f t="array" ref="G2315">FindCountryName(F2315)</f>
        <v>None</v>
      </c>
      <c r="H2315" s="3">
        <v>45183.893518518518</v>
      </c>
      <c r="I2315" s="3">
        <v>45183.893506944441</v>
      </c>
      <c r="J2315" s="3">
        <v>41201.707962962966</v>
      </c>
      <c r="K2315" cm="1">
        <f t="array" ref="K2315">sentimentCalc(C2315)</f>
        <v>-5</v>
      </c>
      <c r="L2315" t="str" cm="1">
        <f t="array" ref="L2315">sentimentCategory(K2315)</f>
        <v>Negative</v>
      </c>
    </row>
    <row r="2316" spans="1:12" x14ac:dyDescent="0.25">
      <c r="A2316" t="s">
        <v>38</v>
      </c>
      <c r="B2316" t="s">
        <v>3005</v>
      </c>
      <c r="C2316" t="str" cm="1">
        <f t="array" ref="C2316">CleanText(B2316)</f>
        <v>now  why would i want to support or view this iluminati garbage  warner bros  iluminati central  these people deleted prince</v>
      </c>
      <c r="D2316">
        <v>2</v>
      </c>
      <c r="E2316">
        <v>1</v>
      </c>
      <c r="F2316" t="s">
        <v>10</v>
      </c>
      <c r="G2316" t="str" cm="1">
        <f t="array" ref="G2316">FindCountryName(F2316)</f>
        <v>None</v>
      </c>
      <c r="H2316" s="3">
        <v>45154.592129629629</v>
      </c>
      <c r="I2316" s="3">
        <v>45154.592129629629</v>
      </c>
      <c r="J2316" s="3">
        <v>44272.721099537041</v>
      </c>
      <c r="K2316" cm="1">
        <f t="array" ref="K2316">sentimentCalc(C2316)</f>
        <v>3</v>
      </c>
      <c r="L2316" t="str" cm="1">
        <f t="array" ref="L2316">sentimentCategory(K2316)</f>
        <v>Positive</v>
      </c>
    </row>
    <row r="2317" spans="1:12" x14ac:dyDescent="0.25">
      <c r="A2317" t="s">
        <v>802</v>
      </c>
      <c r="B2317" t="s">
        <v>1727</v>
      </c>
      <c r="C2317" t="str" cm="1">
        <f t="array" ref="C2317">CleanText(B2317)</f>
        <v>now i get it</v>
      </c>
      <c r="D2317">
        <v>1</v>
      </c>
      <c r="E2317">
        <v>0</v>
      </c>
      <c r="F2317" t="s">
        <v>10</v>
      </c>
      <c r="G2317" t="str" cm="1">
        <f t="array" ref="G2317">FindCountryName(F2317)</f>
        <v>None</v>
      </c>
      <c r="H2317" s="3">
        <v>45198.834421296298</v>
      </c>
      <c r="I2317" s="3">
        <v>45198.834421296298</v>
      </c>
      <c r="J2317" s="3">
        <v>43292.217673611114</v>
      </c>
      <c r="K2317" cm="1">
        <f t="array" ref="K2317">sentimentCalc(C2317)</f>
        <v>0</v>
      </c>
      <c r="L2317" t="str" cm="1">
        <f t="array" ref="L2317">sentimentCategory(K2317)</f>
        <v>Neutral</v>
      </c>
    </row>
    <row r="2318" spans="1:12" x14ac:dyDescent="0.25">
      <c r="A2318" t="s">
        <v>225</v>
      </c>
      <c r="B2318" t="s">
        <v>3482</v>
      </c>
      <c r="C2318" t="str" cm="1">
        <f t="array" ref="C2318">CleanText(B2318)</f>
        <v>now that barbie has fixed our gender issues can hollywood please focus on cabbage patch kids go to trade school to save the world economy thank you</v>
      </c>
      <c r="D2318">
        <v>0</v>
      </c>
      <c r="E2318">
        <v>0</v>
      </c>
      <c r="F2318" t="s">
        <v>10</v>
      </c>
      <c r="G2318" t="str" cm="1">
        <f t="array" ref="G2318">FindCountryName(F2318)</f>
        <v>None</v>
      </c>
      <c r="H2318" s="3">
        <v>45148.452916666669</v>
      </c>
      <c r="I2318" s="3">
        <v>45148.452916666669</v>
      </c>
      <c r="J2318" s="3">
        <v>43762.336493055554</v>
      </c>
      <c r="K2318" cm="1">
        <f t="array" ref="K2318">sentimentCalc(C2318)</f>
        <v>5</v>
      </c>
      <c r="L2318" t="str" cm="1">
        <f t="array" ref="L2318">sentimentCategory(K2318)</f>
        <v>Positive</v>
      </c>
    </row>
    <row r="2319" spans="1:12" x14ac:dyDescent="0.25">
      <c r="A2319" t="s">
        <v>1805</v>
      </c>
      <c r="B2319" t="s">
        <v>1806</v>
      </c>
      <c r="C2319" t="str" cm="1">
        <f t="array" ref="C2319">CleanText(B2319)</f>
        <v>o contexto traz uma abrangncia positiva sobre  a boa realidade  um verdadeiro mundo moderno de diversos impaces  recomendo</v>
      </c>
      <c r="D2319">
        <v>0</v>
      </c>
      <c r="E2319">
        <v>0</v>
      </c>
      <c r="F2319" t="s">
        <v>10</v>
      </c>
      <c r="G2319" t="str" cm="1">
        <f t="array" ref="G2319">FindCountryName(F2319)</f>
        <v>None</v>
      </c>
      <c r="H2319" s="3">
        <v>45193.697939814818</v>
      </c>
      <c r="I2319" s="3">
        <v>45193.697939814818</v>
      </c>
      <c r="J2319" s="3">
        <v>43859.780659722222</v>
      </c>
      <c r="K2319" cm="1">
        <f t="array" ref="K2319">sentimentCalc(C2319)</f>
        <v>0</v>
      </c>
      <c r="L2319" t="str" cm="1">
        <f t="array" ref="L2319">sentimentCategory(K2319)</f>
        <v>Neutral</v>
      </c>
    </row>
    <row r="2320" spans="1:12" x14ac:dyDescent="0.25">
      <c r="A2320" t="s">
        <v>54</v>
      </c>
      <c r="B2320" t="s">
        <v>3727</v>
      </c>
      <c r="C2320" t="str" cm="1">
        <f t="array" ref="C2320">CleanText(B2320)</f>
        <v>o m g im sister shook yall barbie is life yas queen slay</v>
      </c>
      <c r="D2320">
        <v>0</v>
      </c>
      <c r="E2320">
        <v>0</v>
      </c>
      <c r="F2320" t="s">
        <v>10</v>
      </c>
      <c r="G2320" t="str" cm="1">
        <f t="array" ref="G2320">FindCountryName(F2320)</f>
        <v>None</v>
      </c>
      <c r="H2320" s="3">
        <v>45145.999930555554</v>
      </c>
      <c r="I2320" s="3">
        <v>45145.999930555554</v>
      </c>
      <c r="J2320" s="3">
        <v>44362.935949074075</v>
      </c>
      <c r="K2320" cm="1">
        <f t="array" ref="K2320">sentimentCalc(C2320)</f>
        <v>0</v>
      </c>
      <c r="L2320" t="str" cm="1">
        <f t="array" ref="L2320">sentimentCategory(K2320)</f>
        <v>Neutral</v>
      </c>
    </row>
    <row r="2321" spans="1:12" x14ac:dyDescent="0.25">
      <c r="A2321" t="s">
        <v>2322</v>
      </c>
      <c r="B2321" t="s">
        <v>2323</v>
      </c>
      <c r="C2321" t="str" cm="1">
        <f t="array" ref="C2321">CleanText(B2321)</f>
        <v>o maior de</v>
      </c>
      <c r="D2321">
        <v>0</v>
      </c>
      <c r="E2321">
        <v>0</v>
      </c>
      <c r="F2321" t="s">
        <v>10</v>
      </c>
      <c r="G2321" t="str" cm="1">
        <f t="array" ref="G2321">FindCountryName(F2321)</f>
        <v>None</v>
      </c>
      <c r="H2321" s="3">
        <v>45171.947210648148</v>
      </c>
      <c r="I2321" s="3">
        <v>45171.947210648148</v>
      </c>
      <c r="J2321" s="3">
        <v>43733.932997685188</v>
      </c>
      <c r="K2321" cm="1">
        <f t="array" ref="K2321">sentimentCalc(C2321)</f>
        <v>0</v>
      </c>
      <c r="L2321" t="str" cm="1">
        <f t="array" ref="L2321">sentimentCategory(K2321)</f>
        <v>Neutral</v>
      </c>
    </row>
    <row r="2322" spans="1:12" x14ac:dyDescent="0.25">
      <c r="A2322" t="s">
        <v>333</v>
      </c>
      <c r="B2322" t="s">
        <v>1955</v>
      </c>
      <c r="C2322" t="str" cm="1">
        <f t="array" ref="C2322">CleanText(B2322)</f>
        <v>o my god what movie truth of life</v>
      </c>
      <c r="D2322">
        <v>0</v>
      </c>
      <c r="E2322">
        <v>0</v>
      </c>
      <c r="F2322" t="s">
        <v>1073</v>
      </c>
      <c r="G2322" t="str" cm="1">
        <f t="array" ref="G2322">FindCountryName(F2322)</f>
        <v>India</v>
      </c>
      <c r="H2322" s="3">
        <v>45186.554849537039</v>
      </c>
      <c r="I2322" s="3">
        <v>45186.554849537039</v>
      </c>
      <c r="J2322" s="3">
        <v>43420.538877314815</v>
      </c>
      <c r="K2322" cm="1">
        <f t="array" ref="K2322">sentimentCalc(C2322)</f>
        <v>1</v>
      </c>
      <c r="L2322" t="str" cm="1">
        <f t="array" ref="L2322">sentimentCategory(K2322)</f>
        <v>Positive</v>
      </c>
    </row>
    <row r="2323" spans="1:12" x14ac:dyDescent="0.25">
      <c r="A2323" t="s">
        <v>83</v>
      </c>
      <c r="B2323" t="s">
        <v>2684</v>
      </c>
      <c r="C2323" t="str" cm="1">
        <f t="array" ref="C2323">CleanText(B2323)</f>
        <v>o oo</v>
      </c>
      <c r="D2323">
        <v>0</v>
      </c>
      <c r="E2323">
        <v>0</v>
      </c>
      <c r="F2323" t="s">
        <v>2257</v>
      </c>
      <c r="G2323" t="str" cm="1">
        <f t="array" ref="G2323">FindCountryName(F2323)</f>
        <v>Philippines (the)</v>
      </c>
      <c r="H2323" s="3">
        <v>45160.205347222225</v>
      </c>
      <c r="I2323" s="3">
        <v>45160.205335648148</v>
      </c>
      <c r="J2323" s="3">
        <v>44962.039375</v>
      </c>
      <c r="K2323" cm="1">
        <f t="array" ref="K2323">sentimentCalc(C2323)</f>
        <v>0</v>
      </c>
      <c r="L2323" t="str" cm="1">
        <f t="array" ref="L2323">sentimentCategory(K2323)</f>
        <v>Neutral</v>
      </c>
    </row>
    <row r="2324" spans="1:12" x14ac:dyDescent="0.25">
      <c r="A2324" t="s">
        <v>228</v>
      </c>
      <c r="B2324" t="s">
        <v>3468</v>
      </c>
      <c r="C2324" t="str" cm="1">
        <f t="array" ref="C2324">CleanText(B2324)</f>
        <v>n</v>
      </c>
      <c r="D2324">
        <v>1</v>
      </c>
      <c r="E2324">
        <v>0</v>
      </c>
      <c r="F2324" t="s">
        <v>10</v>
      </c>
      <c r="G2324" t="str" cm="1">
        <f t="array" ref="G2324">FindCountryName(F2324)</f>
        <v>None</v>
      </c>
      <c r="H2324" s="3">
        <v>45148.573912037034</v>
      </c>
      <c r="I2324" s="3">
        <v>45148.573900462965</v>
      </c>
      <c r="J2324" s="3">
        <v>45120.972222222219</v>
      </c>
      <c r="K2324" cm="1">
        <f t="array" ref="K2324">sentimentCalc(C2324)</f>
        <v>0</v>
      </c>
      <c r="L2324" t="str" cm="1">
        <f t="array" ref="L2324">sentimentCategory(K2324)</f>
        <v>Neutral</v>
      </c>
    </row>
    <row r="2325" spans="1:12" x14ac:dyDescent="0.25">
      <c r="A2325" t="s">
        <v>2872</v>
      </c>
      <c r="B2325" t="s">
        <v>2936</v>
      </c>
      <c r="C2325" t="str" cm="1">
        <f t="array" ref="C2325">CleanText(B2325)</f>
        <v>n</v>
      </c>
      <c r="D2325">
        <v>1</v>
      </c>
      <c r="E2325">
        <v>0</v>
      </c>
      <c r="F2325" t="s">
        <v>10</v>
      </c>
      <c r="G2325" t="str" cm="1">
        <f t="array" ref="G2325">FindCountryName(F2325)</f>
        <v>None</v>
      </c>
      <c r="H2325" s="3">
        <v>45155.672106481485</v>
      </c>
      <c r="I2325" s="3">
        <v>45155.672106481485</v>
      </c>
      <c r="J2325" s="3">
        <v>45029.676944444444</v>
      </c>
      <c r="K2325" cm="1">
        <f t="array" ref="K2325">sentimentCalc(C2325)</f>
        <v>0</v>
      </c>
      <c r="L2325" t="str" cm="1">
        <f t="array" ref="L2325">sentimentCategory(K2325)</f>
        <v>Neutral</v>
      </c>
    </row>
    <row r="2326" spans="1:12" x14ac:dyDescent="0.25">
      <c r="A2326" t="s">
        <v>192</v>
      </c>
      <c r="B2326" t="s">
        <v>3785</v>
      </c>
      <c r="C2326" t="str" cm="1">
        <f t="array" ref="C2326">CleanText(B2326)</f>
        <v>n</v>
      </c>
      <c r="D2326">
        <v>2</v>
      </c>
      <c r="E2326">
        <v>0</v>
      </c>
      <c r="F2326" t="s">
        <v>10</v>
      </c>
      <c r="G2326" t="str" cm="1">
        <f t="array" ref="G2326">FindCountryName(F2326)</f>
        <v>None</v>
      </c>
      <c r="H2326" s="3">
        <v>45145.520324074074</v>
      </c>
      <c r="I2326" s="3">
        <v>45145.520324074074</v>
      </c>
      <c r="J2326" s="3">
        <v>44881.607592592591</v>
      </c>
      <c r="K2326" cm="1">
        <f t="array" ref="K2326">sentimentCalc(C2326)</f>
        <v>0</v>
      </c>
      <c r="L2326" t="str" cm="1">
        <f t="array" ref="L2326">sentimentCategory(K2326)</f>
        <v>Neutral</v>
      </c>
    </row>
    <row r="2327" spans="1:12" x14ac:dyDescent="0.25">
      <c r="A2327" t="s">
        <v>126</v>
      </c>
      <c r="B2327" t="s">
        <v>4183</v>
      </c>
      <c r="C2327" t="str" cm="1">
        <f t="array" ref="C2327">CleanText(B2327)</f>
        <v>n</v>
      </c>
      <c r="D2327">
        <v>4</v>
      </c>
      <c r="E2327">
        <v>0</v>
      </c>
      <c r="F2327" t="s">
        <v>10</v>
      </c>
      <c r="G2327" t="str" cm="1">
        <f t="array" ref="G2327">FindCountryName(F2327)</f>
        <v>None</v>
      </c>
      <c r="H2327" s="3">
        <v>45142.207337962966</v>
      </c>
      <c r="I2327" s="3">
        <v>45142.207337962966</v>
      </c>
      <c r="J2327" s="3">
        <v>44414.489236111112</v>
      </c>
      <c r="K2327" cm="1">
        <f t="array" ref="K2327">sentimentCalc(C2327)</f>
        <v>0</v>
      </c>
      <c r="L2327" t="str" cm="1">
        <f t="array" ref="L2327">sentimentCategory(K2327)</f>
        <v>Neutral</v>
      </c>
    </row>
    <row r="2328" spans="1:12" x14ac:dyDescent="0.25">
      <c r="A2328" t="s">
        <v>1006</v>
      </c>
      <c r="B2328" t="s">
        <v>2947</v>
      </c>
      <c r="C2328" t="str" cm="1">
        <f t="array" ref="C2328">CleanText(B2328)</f>
        <v>n</v>
      </c>
      <c r="D2328">
        <v>1</v>
      </c>
      <c r="E2328">
        <v>0</v>
      </c>
      <c r="F2328" t="s">
        <v>10</v>
      </c>
      <c r="G2328" t="str" cm="1">
        <f t="array" ref="G2328">FindCountryName(F2328)</f>
        <v>None</v>
      </c>
      <c r="H2328" s="3">
        <v>45155.553599537037</v>
      </c>
      <c r="I2328" s="3">
        <v>45155.553599537037</v>
      </c>
      <c r="J2328" s="3">
        <v>43958.402754629627</v>
      </c>
      <c r="K2328" cm="1">
        <f t="array" ref="K2328">sentimentCalc(C2328)</f>
        <v>0</v>
      </c>
      <c r="L2328" t="str" cm="1">
        <f t="array" ref="L2328">sentimentCategory(K2328)</f>
        <v>Neutral</v>
      </c>
    </row>
    <row r="2329" spans="1:12" x14ac:dyDescent="0.25">
      <c r="A2329" t="s">
        <v>133</v>
      </c>
      <c r="B2329" t="s">
        <v>2309</v>
      </c>
      <c r="C2329" t="str" cm="1">
        <f t="array" ref="C2329">CleanText(B2329)</f>
        <v>n</v>
      </c>
      <c r="D2329">
        <v>0</v>
      </c>
      <c r="E2329">
        <v>0</v>
      </c>
      <c r="F2329" t="s">
        <v>10</v>
      </c>
      <c r="G2329" t="str" cm="1">
        <f t="array" ref="G2329">FindCountryName(F2329)</f>
        <v>None</v>
      </c>
      <c r="H2329" s="3">
        <v>45172.242442129631</v>
      </c>
      <c r="I2329" s="3">
        <v>45172.242442129631</v>
      </c>
      <c r="J2329" s="3">
        <v>45001.134710648148</v>
      </c>
      <c r="K2329" cm="1">
        <f t="array" ref="K2329">sentimentCalc(C2329)</f>
        <v>0</v>
      </c>
      <c r="L2329" t="str" cm="1">
        <f t="array" ref="L2329">sentimentCategory(K2329)</f>
        <v>Neutral</v>
      </c>
    </row>
    <row r="2330" spans="1:12" x14ac:dyDescent="0.25">
      <c r="A2330" t="s">
        <v>197</v>
      </c>
      <c r="B2330" t="s">
        <v>3293</v>
      </c>
      <c r="C2330" t="str" cm="1">
        <f t="array" ref="C2330">CleanText(B2330)</f>
        <v>n</v>
      </c>
      <c r="D2330">
        <v>0</v>
      </c>
      <c r="E2330">
        <v>0</v>
      </c>
      <c r="F2330" t="s">
        <v>10</v>
      </c>
      <c r="G2330" t="str" cm="1">
        <f t="array" ref="G2330">FindCountryName(F2330)</f>
        <v>None</v>
      </c>
      <c r="H2330" s="3">
        <v>45150.666828703703</v>
      </c>
      <c r="I2330" s="3">
        <v>45150.666828703703</v>
      </c>
      <c r="J2330" s="3">
        <v>44322.960787037038</v>
      </c>
      <c r="K2330" cm="1">
        <f t="array" ref="K2330">sentimentCalc(C2330)</f>
        <v>0</v>
      </c>
      <c r="L2330" t="str" cm="1">
        <f t="array" ref="L2330">sentimentCategory(K2330)</f>
        <v>Neutral</v>
      </c>
    </row>
    <row r="2331" spans="1:12" x14ac:dyDescent="0.25">
      <c r="A2331" t="s">
        <v>228</v>
      </c>
      <c r="B2331" t="s">
        <v>1423</v>
      </c>
      <c r="C2331" t="str" cm="1">
        <f t="array" ref="C2331">CleanText(B2331)</f>
        <v>n</v>
      </c>
      <c r="D2331">
        <v>2</v>
      </c>
      <c r="E2331">
        <v>0</v>
      </c>
      <c r="F2331" t="s">
        <v>10</v>
      </c>
      <c r="G2331" t="str" cm="1">
        <f t="array" ref="G2331">FindCountryName(F2331)</f>
        <v>None</v>
      </c>
      <c r="H2331" s="3">
        <v>45231.337766203702</v>
      </c>
      <c r="I2331" s="3">
        <v>45231.337766203702</v>
      </c>
      <c r="J2331" s="3">
        <v>45160.755428240744</v>
      </c>
      <c r="K2331" cm="1">
        <f t="array" ref="K2331">sentimentCalc(C2331)</f>
        <v>0</v>
      </c>
      <c r="L2331" t="str" cm="1">
        <f t="array" ref="L2331">sentimentCategory(K2331)</f>
        <v>Neutral</v>
      </c>
    </row>
    <row r="2332" spans="1:12" x14ac:dyDescent="0.25">
      <c r="A2332" t="s">
        <v>130</v>
      </c>
      <c r="B2332" t="s">
        <v>2799</v>
      </c>
      <c r="C2332" t="str" cm="1">
        <f t="array" ref="C2332">CleanText(B2332)</f>
        <v>n</v>
      </c>
      <c r="D2332">
        <v>0</v>
      </c>
      <c r="E2332">
        <v>0</v>
      </c>
      <c r="F2332" t="s">
        <v>10</v>
      </c>
      <c r="G2332" t="str" cm="1">
        <f t="array" ref="G2332">FindCountryName(F2332)</f>
        <v>None</v>
      </c>
      <c r="H2332" s="3">
        <v>45157.723807870374</v>
      </c>
      <c r="I2332" s="3">
        <v>45157.723796296297</v>
      </c>
      <c r="J2332" s="3">
        <v>45028.664641203701</v>
      </c>
      <c r="K2332" cm="1">
        <f t="array" ref="K2332">sentimentCalc(C2332)</f>
        <v>0</v>
      </c>
      <c r="L2332" t="str" cm="1">
        <f t="array" ref="L2332">sentimentCategory(K2332)</f>
        <v>Neutral</v>
      </c>
    </row>
    <row r="2333" spans="1:12" x14ac:dyDescent="0.25">
      <c r="A2333" t="s">
        <v>1129</v>
      </c>
      <c r="B2333" t="s">
        <v>2890</v>
      </c>
      <c r="C2333" t="str" cm="1">
        <f t="array" ref="C2333">CleanText(B2333)</f>
        <v>n</v>
      </c>
      <c r="D2333">
        <v>0</v>
      </c>
      <c r="E2333">
        <v>0</v>
      </c>
      <c r="F2333" t="s">
        <v>10</v>
      </c>
      <c r="G2333" t="str" cm="1">
        <f t="array" ref="G2333">FindCountryName(F2333)</f>
        <v>None</v>
      </c>
      <c r="H2333" s="3">
        <v>45156.367685185185</v>
      </c>
      <c r="I2333" s="3">
        <v>45156.367685185185</v>
      </c>
      <c r="J2333" s="3">
        <v>43756.556111111109</v>
      </c>
      <c r="K2333" cm="1">
        <f t="array" ref="K2333">sentimentCalc(C2333)</f>
        <v>0</v>
      </c>
      <c r="L2333" t="str" cm="1">
        <f t="array" ref="L2333">sentimentCategory(K2333)</f>
        <v>Neutral</v>
      </c>
    </row>
    <row r="2334" spans="1:12" x14ac:dyDescent="0.25">
      <c r="A2334" t="s">
        <v>1567</v>
      </c>
      <c r="B2334" t="s">
        <v>1863</v>
      </c>
      <c r="C2334" t="str" cm="1">
        <f t="array" ref="C2334">CleanText(B2334)</f>
        <v>n</v>
      </c>
      <c r="D2334">
        <v>0</v>
      </c>
      <c r="E2334">
        <v>0</v>
      </c>
      <c r="F2334" t="s">
        <v>10</v>
      </c>
      <c r="G2334" t="str" cm="1">
        <f t="array" ref="G2334">FindCountryName(F2334)</f>
        <v>None</v>
      </c>
      <c r="H2334" s="3">
        <v>45190.202187499999</v>
      </c>
      <c r="I2334" s="3">
        <v>45190.202789351853</v>
      </c>
      <c r="J2334" s="3">
        <v>45141.431446759256</v>
      </c>
      <c r="K2334" cm="1">
        <f t="array" ref="K2334">sentimentCalc(C2334)</f>
        <v>0</v>
      </c>
      <c r="L2334" t="str" cm="1">
        <f t="array" ref="L2334">sentimentCategory(K2334)</f>
        <v>Neutral</v>
      </c>
    </row>
    <row r="2335" spans="1:12" x14ac:dyDescent="0.25">
      <c r="A2335" t="s">
        <v>830</v>
      </c>
      <c r="B2335" t="s">
        <v>2392</v>
      </c>
      <c r="C2335" t="str" cm="1">
        <f t="array" ref="C2335">CleanText(B2335)</f>
        <v>n</v>
      </c>
      <c r="D2335">
        <v>0</v>
      </c>
      <c r="E2335">
        <v>0</v>
      </c>
      <c r="F2335" t="s">
        <v>10</v>
      </c>
      <c r="G2335" t="str" cm="1">
        <f t="array" ref="G2335">FindCountryName(F2335)</f>
        <v>None</v>
      </c>
      <c r="H2335" s="3">
        <v>45169.253888888888</v>
      </c>
      <c r="I2335" s="3">
        <v>45169.253888888888</v>
      </c>
      <c r="J2335" s="3">
        <v>43147.258425925924</v>
      </c>
      <c r="K2335" cm="1">
        <f t="array" ref="K2335">sentimentCalc(C2335)</f>
        <v>0</v>
      </c>
      <c r="L2335" t="str" cm="1">
        <f t="array" ref="L2335">sentimentCategory(K2335)</f>
        <v>Neutral</v>
      </c>
    </row>
    <row r="2336" spans="1:12" x14ac:dyDescent="0.25">
      <c r="A2336" t="s">
        <v>1929</v>
      </c>
      <c r="B2336" t="s">
        <v>1930</v>
      </c>
      <c r="C2336" t="str" cm="1">
        <f t="array" ref="C2336">CleanText(B2336)</f>
        <v>n</v>
      </c>
      <c r="D2336">
        <v>1</v>
      </c>
      <c r="E2336">
        <v>0</v>
      </c>
      <c r="F2336" t="s">
        <v>10</v>
      </c>
      <c r="G2336" t="str" cm="1">
        <f t="array" ref="G2336">FindCountryName(F2336)</f>
        <v>None</v>
      </c>
      <c r="H2336" s="3">
        <v>45187.554988425924</v>
      </c>
      <c r="I2336" s="3">
        <v>45187.554976851854</v>
      </c>
      <c r="J2336" s="3">
        <v>42842.708333333336</v>
      </c>
      <c r="K2336" cm="1">
        <f t="array" ref="K2336">sentimentCalc(C2336)</f>
        <v>0</v>
      </c>
      <c r="L2336" t="str" cm="1">
        <f t="array" ref="L2336">sentimentCategory(K2336)</f>
        <v>Neutral</v>
      </c>
    </row>
    <row r="2337" spans="1:12" x14ac:dyDescent="0.25">
      <c r="A2337" t="s">
        <v>205</v>
      </c>
      <c r="B2337" t="s">
        <v>1480</v>
      </c>
      <c r="C2337" t="str" cm="1">
        <f t="array" ref="C2337">CleanText(B2337)</f>
        <v>n</v>
      </c>
      <c r="D2337">
        <v>0</v>
      </c>
      <c r="E2337">
        <v>0</v>
      </c>
      <c r="F2337" t="s">
        <v>10</v>
      </c>
      <c r="G2337" t="str" cm="1">
        <f t="array" ref="G2337">FindCountryName(F2337)</f>
        <v>None</v>
      </c>
      <c r="H2337" s="3">
        <v>45224.419074074074</v>
      </c>
      <c r="I2337" s="3">
        <v>45224.419074074074</v>
      </c>
      <c r="J2337" s="3">
        <v>43765.385868055557</v>
      </c>
      <c r="K2337" cm="1">
        <f t="array" ref="K2337">sentimentCalc(C2337)</f>
        <v>0</v>
      </c>
      <c r="L2337" t="str" cm="1">
        <f t="array" ref="L2337">sentimentCategory(K2337)</f>
        <v>Neutral</v>
      </c>
    </row>
    <row r="2338" spans="1:12" x14ac:dyDescent="0.25">
      <c r="A2338" t="s">
        <v>633</v>
      </c>
      <c r="B2338" t="s">
        <v>4435</v>
      </c>
      <c r="C2338" t="str" cm="1">
        <f t="array" ref="C2338">CleanText(B2338)</f>
        <v>n</v>
      </c>
      <c r="D2338">
        <v>0</v>
      </c>
      <c r="E2338">
        <v>0</v>
      </c>
      <c r="F2338" t="s">
        <v>10</v>
      </c>
      <c r="G2338" t="str" cm="1">
        <f t="array" ref="G2338">FindCountryName(F2338)</f>
        <v>None</v>
      </c>
      <c r="H2338" s="3">
        <v>45140.289664351854</v>
      </c>
      <c r="I2338" s="3">
        <v>45140.289664351854</v>
      </c>
      <c r="J2338" s="3">
        <v>40467.284212962964</v>
      </c>
      <c r="K2338" cm="1">
        <f t="array" ref="K2338">sentimentCalc(C2338)</f>
        <v>0</v>
      </c>
      <c r="L2338" t="str" cm="1">
        <f t="array" ref="L2338">sentimentCategory(K2338)</f>
        <v>Neutral</v>
      </c>
    </row>
    <row r="2339" spans="1:12" x14ac:dyDescent="0.25">
      <c r="A2339" t="s">
        <v>2117</v>
      </c>
      <c r="B2339" t="s">
        <v>2118</v>
      </c>
      <c r="C2339" t="str" cm="1">
        <f t="array" ref="C2339">CleanText(B2339)</f>
        <v>n</v>
      </c>
      <c r="D2339">
        <v>0</v>
      </c>
      <c r="E2339">
        <v>0</v>
      </c>
      <c r="F2339" t="s">
        <v>10</v>
      </c>
      <c r="G2339" t="str" cm="1">
        <f t="array" ref="G2339">FindCountryName(F2339)</f>
        <v>None</v>
      </c>
      <c r="H2339" s="3">
        <v>45179.8675</v>
      </c>
      <c r="I2339" s="3">
        <v>45179.8675</v>
      </c>
      <c r="J2339" s="3">
        <v>45057.523553240739</v>
      </c>
      <c r="K2339" cm="1">
        <f t="array" ref="K2339">sentimentCalc(C2339)</f>
        <v>0</v>
      </c>
      <c r="L2339" t="str" cm="1">
        <f t="array" ref="L2339">sentimentCategory(K2339)</f>
        <v>Neutral</v>
      </c>
    </row>
    <row r="2340" spans="1:12" x14ac:dyDescent="0.25">
      <c r="A2340" t="s">
        <v>459</v>
      </c>
      <c r="B2340" t="s">
        <v>3349</v>
      </c>
      <c r="C2340" t="str" cm="1">
        <f t="array" ref="C2340">CleanText(B2340)</f>
        <v>n</v>
      </c>
      <c r="D2340">
        <v>0</v>
      </c>
      <c r="E2340">
        <v>0</v>
      </c>
      <c r="F2340" t="s">
        <v>3211</v>
      </c>
      <c r="G2340" t="str" cm="1">
        <f t="array" ref="G2340">FindCountryName(F2340)</f>
        <v>Saudi Arabia</v>
      </c>
      <c r="H2340" s="3">
        <v>45149.791990740741</v>
      </c>
      <c r="I2340" s="3">
        <v>45149.791979166665</v>
      </c>
      <c r="J2340" s="3">
        <v>44301.410671296297</v>
      </c>
      <c r="K2340" cm="1">
        <f t="array" ref="K2340">sentimentCalc(C2340)</f>
        <v>0</v>
      </c>
      <c r="L2340" t="str" cm="1">
        <f t="array" ref="L2340">sentimentCategory(K2340)</f>
        <v>Neutral</v>
      </c>
    </row>
    <row r="2341" spans="1:12" x14ac:dyDescent="0.25">
      <c r="A2341" t="s">
        <v>2897</v>
      </c>
      <c r="B2341" t="s">
        <v>2898</v>
      </c>
      <c r="C2341" t="str" cm="1">
        <f t="array" ref="C2341">CleanText(B2341)</f>
        <v>n</v>
      </c>
      <c r="D2341">
        <v>1</v>
      </c>
      <c r="E2341">
        <v>0</v>
      </c>
      <c r="F2341" t="s">
        <v>10</v>
      </c>
      <c r="G2341" t="str" cm="1">
        <f t="array" ref="G2341">FindCountryName(F2341)</f>
        <v>None</v>
      </c>
      <c r="H2341" s="3">
        <v>45156.328553240739</v>
      </c>
      <c r="I2341" s="3">
        <v>45156.328541666669</v>
      </c>
      <c r="J2341" s="3">
        <v>45024.718645833331</v>
      </c>
      <c r="K2341" cm="1">
        <f t="array" ref="K2341">sentimentCalc(C2341)</f>
        <v>0</v>
      </c>
      <c r="L2341" t="str" cm="1">
        <f t="array" ref="L2341">sentimentCategory(K2341)</f>
        <v>Neutral</v>
      </c>
    </row>
    <row r="2342" spans="1:12" x14ac:dyDescent="0.25">
      <c r="A2342" t="s">
        <v>66</v>
      </c>
      <c r="B2342" t="s">
        <v>2963</v>
      </c>
      <c r="C2342" t="str" cm="1">
        <f t="array" ref="C2342">CleanText(B2342)</f>
        <v>n</v>
      </c>
      <c r="D2342">
        <v>1</v>
      </c>
      <c r="E2342">
        <v>0</v>
      </c>
      <c r="F2342" t="s">
        <v>10</v>
      </c>
      <c r="G2342" t="str" cm="1">
        <f t="array" ref="G2342">FindCountryName(F2342)</f>
        <v>None</v>
      </c>
      <c r="H2342" s="3">
        <v>45155.404178240744</v>
      </c>
      <c r="I2342" s="3">
        <v>45155.404178240744</v>
      </c>
      <c r="J2342" s="3">
        <v>40940.262430555558</v>
      </c>
      <c r="K2342" cm="1">
        <f t="array" ref="K2342">sentimentCalc(C2342)</f>
        <v>0</v>
      </c>
      <c r="L2342" t="str" cm="1">
        <f t="array" ref="L2342">sentimentCategory(K2342)</f>
        <v>Neutral</v>
      </c>
    </row>
    <row r="2343" spans="1:12" x14ac:dyDescent="0.25">
      <c r="A2343" t="s">
        <v>707</v>
      </c>
      <c r="B2343" t="s">
        <v>3279</v>
      </c>
      <c r="C2343" t="str" cm="1">
        <f t="array" ref="C2343">CleanText(B2343)</f>
        <v>obnoxious boring movie hard to follow hard to hear the fastpaced clever sly dialog hard to care about any of the characters and the ending seemed to go on for the last  minutes of the movie best part was when i knew it was over</v>
      </c>
      <c r="D2343">
        <v>4</v>
      </c>
      <c r="E2343">
        <v>0</v>
      </c>
      <c r="F2343" t="s">
        <v>10</v>
      </c>
      <c r="G2343" t="str" cm="1">
        <f t="array" ref="G2343">FindCountryName(F2343)</f>
        <v>None</v>
      </c>
      <c r="H2343" s="3">
        <v>45150.852384259262</v>
      </c>
      <c r="I2343" s="3">
        <v>45150.852384259262</v>
      </c>
      <c r="J2343" s="3">
        <v>44823.199525462966</v>
      </c>
      <c r="K2343" cm="1">
        <f t="array" ref="K2343">sentimentCalc(C2343)</f>
        <v>-2</v>
      </c>
      <c r="L2343" t="str" cm="1">
        <f t="array" ref="L2343">sentimentCategory(K2343)</f>
        <v>Negative</v>
      </c>
    </row>
    <row r="2344" spans="1:12" x14ac:dyDescent="0.25">
      <c r="A2344" t="s">
        <v>96</v>
      </c>
      <c r="B2344" t="s">
        <v>3096</v>
      </c>
      <c r="C2344" t="str" cm="1">
        <f t="array" ref="C2344">CleanText(B2344)</f>
        <v>of course they would make a kids toy movie into something more showing propaganda like the real villain of this movie isnt mattel or ken  its the patriarchyits just so obvious and bad at this point its just laughable only in the most powerful nation in the world will you have people complaining about how good life is and think our society is the problem absolutely bonkers then again we have adults i use the term loosely that think they can be a butterfly or a dog if they feel like it</v>
      </c>
      <c r="D2344">
        <v>0</v>
      </c>
      <c r="E2344">
        <v>0</v>
      </c>
      <c r="F2344" t="s">
        <v>10</v>
      </c>
      <c r="G2344" t="str" cm="1">
        <f t="array" ref="G2344">FindCountryName(F2344)</f>
        <v>None</v>
      </c>
      <c r="H2344" s="3">
        <v>45153.478483796294</v>
      </c>
      <c r="I2344" s="3">
        <v>45153.478483796294</v>
      </c>
      <c r="J2344" s="3">
        <v>38918.775300925925</v>
      </c>
      <c r="K2344" cm="1">
        <f t="array" ref="K2344">sentimentCalc(C2344)</f>
        <v>2</v>
      </c>
      <c r="L2344" t="str" cm="1">
        <f t="array" ref="L2344">sentimentCategory(K2344)</f>
        <v>Positive</v>
      </c>
    </row>
    <row r="2345" spans="1:12" x14ac:dyDescent="0.25">
      <c r="A2345" t="s">
        <v>1281</v>
      </c>
      <c r="B2345" t="s">
        <v>2288</v>
      </c>
      <c r="C2345" t="str" cm="1">
        <f t="array" ref="C2345">CleanText(B2345)</f>
        <v>oggi sono andata a vederlo  bellissimo</v>
      </c>
      <c r="D2345">
        <v>0</v>
      </c>
      <c r="E2345">
        <v>0</v>
      </c>
      <c r="F2345" t="s">
        <v>10</v>
      </c>
      <c r="G2345" t="str" cm="1">
        <f t="array" ref="G2345">FindCountryName(F2345)</f>
        <v>None</v>
      </c>
      <c r="H2345" s="3">
        <v>45172.738807870373</v>
      </c>
      <c r="I2345" s="3">
        <v>45172.738796296297</v>
      </c>
      <c r="J2345" s="3">
        <v>44335.114421296297</v>
      </c>
      <c r="K2345" cm="1">
        <f t="array" ref="K2345">sentimentCalc(C2345)</f>
        <v>0</v>
      </c>
      <c r="L2345" t="str" cm="1">
        <f t="array" ref="L2345">sentimentCategory(K2345)</f>
        <v>Neutral</v>
      </c>
    </row>
    <row r="2346" spans="1:12" x14ac:dyDescent="0.25">
      <c r="A2346" t="s">
        <v>495</v>
      </c>
      <c r="B2346" t="s">
        <v>496</v>
      </c>
      <c r="C2346" t="str" cm="1">
        <f t="array" ref="C2346">CleanText(B2346)</f>
        <v>oh come on warners bros you have make good movies and series like harry potter and scooby doo and much good and you come with this movie warners bros you can make better movies than this im not a kid anymore i gonna dislike the whole warners bros company for this</v>
      </c>
      <c r="D2346">
        <v>0</v>
      </c>
      <c r="E2346">
        <v>1</v>
      </c>
      <c r="F2346" t="s">
        <v>497</v>
      </c>
      <c r="G2346" t="str" cm="1">
        <f t="array" ref="G2346">FindCountryName(F2346)</f>
        <v>Sweden</v>
      </c>
      <c r="H2346" s="3">
        <v>45318.55667824074</v>
      </c>
      <c r="I2346" s="3">
        <v>45318.55667824074</v>
      </c>
      <c r="J2346" s="3">
        <v>41141.627303240741</v>
      </c>
      <c r="K2346" cm="1">
        <f t="array" ref="K2346">sentimentCalc(C2346)</f>
        <v>8</v>
      </c>
      <c r="L2346" t="str" cm="1">
        <f t="array" ref="L2346">sentimentCategory(K2346)</f>
        <v>Positive</v>
      </c>
    </row>
    <row r="2347" spans="1:12" x14ac:dyDescent="0.25">
      <c r="A2347" t="s">
        <v>256</v>
      </c>
      <c r="B2347" t="s">
        <v>4449</v>
      </c>
      <c r="C2347" t="str" cm="1">
        <f t="array" ref="C2347">CleanText(B2347)</f>
        <v>oh dear goooodcan we have at least one movie without will ferrell</v>
      </c>
      <c r="D2347">
        <v>0</v>
      </c>
      <c r="E2347">
        <v>0</v>
      </c>
      <c r="F2347" t="s">
        <v>10</v>
      </c>
      <c r="G2347" t="str" cm="1">
        <f t="array" ref="G2347">FindCountryName(F2347)</f>
        <v>None</v>
      </c>
      <c r="H2347" s="3">
        <v>45140.214189814818</v>
      </c>
      <c r="I2347" s="3">
        <v>45140.214189814818</v>
      </c>
      <c r="J2347" s="3">
        <v>41484.137349537035</v>
      </c>
      <c r="K2347" cm="1">
        <f t="array" ref="K2347">sentimentCalc(C2347)</f>
        <v>2</v>
      </c>
      <c r="L2347" t="str" cm="1">
        <f t="array" ref="L2347">sentimentCategory(K2347)</f>
        <v>Positive</v>
      </c>
    </row>
    <row r="2348" spans="1:12" x14ac:dyDescent="0.25">
      <c r="A2348" t="s">
        <v>30</v>
      </c>
      <c r="B2348" t="s">
        <v>2663</v>
      </c>
      <c r="C2348" t="str" cm="1">
        <f t="array" ref="C2348">CleanText(B2348)</f>
        <v>oh did yall like smashing baby dolls creepy brainwashing targeting girls</v>
      </c>
      <c r="D2348">
        <v>1</v>
      </c>
      <c r="E2348">
        <v>1</v>
      </c>
      <c r="F2348" t="s">
        <v>10</v>
      </c>
      <c r="G2348" t="str" cm="1">
        <f t="array" ref="G2348">FindCountryName(F2348)</f>
        <v>None</v>
      </c>
      <c r="H2348" s="3">
        <v>45160.512013888889</v>
      </c>
      <c r="I2348" s="3">
        <v>45160.512002314812</v>
      </c>
      <c r="J2348" s="3">
        <v>43914.043055555558</v>
      </c>
      <c r="K2348" cm="1">
        <f t="array" ref="K2348">sentimentCalc(C2348)</f>
        <v>-1</v>
      </c>
      <c r="L2348" t="str" cm="1">
        <f t="array" ref="L2348">sentimentCategory(K2348)</f>
        <v>Negative</v>
      </c>
    </row>
    <row r="2349" spans="1:12" x14ac:dyDescent="0.25">
      <c r="A2349" t="s">
        <v>365</v>
      </c>
      <c r="B2349" t="s">
        <v>3061</v>
      </c>
      <c r="C2349" t="str" cm="1">
        <f t="array" ref="C2349">CleanText(B2349)</f>
        <v>oh gosh with a movie called sound of freedom these nimrods go see barbie in a pink world wth no way</v>
      </c>
      <c r="D2349">
        <v>1</v>
      </c>
      <c r="E2349">
        <v>3</v>
      </c>
      <c r="F2349" t="s">
        <v>10</v>
      </c>
      <c r="G2349" t="str" cm="1">
        <f t="array" ref="G2349">FindCountryName(F2349)</f>
        <v>None</v>
      </c>
      <c r="H2349" s="3">
        <v>45153.820474537039</v>
      </c>
      <c r="I2349" s="3">
        <v>45153.820474537039</v>
      </c>
      <c r="J2349" s="3">
        <v>43372.00984953704</v>
      </c>
      <c r="K2349" cm="1">
        <f t="array" ref="K2349">sentimentCalc(C2349)</f>
        <v>1</v>
      </c>
      <c r="L2349" t="str" cm="1">
        <f t="array" ref="L2349">sentimentCategory(K2349)</f>
        <v>Positive</v>
      </c>
    </row>
    <row r="2350" spans="1:12" x14ac:dyDescent="0.25">
      <c r="A2350" t="s">
        <v>442</v>
      </c>
      <c r="B2350" t="s">
        <v>2287</v>
      </c>
      <c r="C2350" t="str" cm="1">
        <f t="array" ref="C2350">CleanText(B2350)</f>
        <v>oh great another movie promoting misandry</v>
      </c>
      <c r="D2350">
        <v>2</v>
      </c>
      <c r="E2350">
        <v>1</v>
      </c>
      <c r="F2350" t="s">
        <v>10</v>
      </c>
      <c r="G2350" t="str" cm="1">
        <f t="array" ref="G2350">FindCountryName(F2350)</f>
        <v>None</v>
      </c>
      <c r="H2350" s="3">
        <v>45172.770138888889</v>
      </c>
      <c r="I2350" s="3">
        <v>45172.770127314812</v>
      </c>
      <c r="J2350" s="3">
        <v>42492.736840277779</v>
      </c>
      <c r="K2350" cm="1">
        <f t="array" ref="K2350">sentimentCalc(C2350)</f>
        <v>4</v>
      </c>
      <c r="L2350" t="str" cm="1">
        <f t="array" ref="L2350">sentimentCategory(K2350)</f>
        <v>Positive</v>
      </c>
    </row>
    <row r="2351" spans="1:12" x14ac:dyDescent="0.25">
      <c r="A2351" t="s">
        <v>90</v>
      </c>
      <c r="B2351" t="s">
        <v>796</v>
      </c>
      <c r="C2351" t="str" cm="1">
        <f t="array" ref="C2351">CleanText(B2351)</f>
        <v>oh harika devam</v>
      </c>
      <c r="D2351">
        <v>0</v>
      </c>
      <c r="E2351">
        <v>0</v>
      </c>
      <c r="F2351" t="s">
        <v>10</v>
      </c>
      <c r="G2351" t="str" cm="1">
        <f t="array" ref="G2351">FindCountryName(F2351)</f>
        <v>None</v>
      </c>
      <c r="H2351" s="3">
        <v>45308.251319444447</v>
      </c>
      <c r="I2351" s="3">
        <v>45308.251319444447</v>
      </c>
      <c r="J2351" s="3">
        <v>42153.719328703701</v>
      </c>
      <c r="K2351" cm="1">
        <f t="array" ref="K2351">sentimentCalc(C2351)</f>
        <v>0</v>
      </c>
      <c r="L2351" t="str" cm="1">
        <f t="array" ref="L2351">sentimentCategory(K2351)</f>
        <v>Neutral</v>
      </c>
    </row>
    <row r="2352" spans="1:12" x14ac:dyDescent="0.25">
      <c r="A2352" t="s">
        <v>2388</v>
      </c>
      <c r="B2352" t="s">
        <v>2925</v>
      </c>
      <c r="C2352" t="str" cm="1">
        <f t="array" ref="C2352">CleanText(B2352)</f>
        <v>oh its pink</v>
      </c>
      <c r="D2352">
        <v>0</v>
      </c>
      <c r="E2352">
        <v>0</v>
      </c>
      <c r="F2352" t="s">
        <v>10</v>
      </c>
      <c r="G2352" t="str" cm="1">
        <f t="array" ref="G2352">FindCountryName(F2352)</f>
        <v>None</v>
      </c>
      <c r="H2352" s="3">
        <v>45155.814131944448</v>
      </c>
      <c r="I2352" s="3">
        <v>45155.814131944448</v>
      </c>
      <c r="J2352" s="3">
        <v>44111.775543981479</v>
      </c>
      <c r="K2352" cm="1">
        <f t="array" ref="K2352">sentimentCalc(C2352)</f>
        <v>0</v>
      </c>
      <c r="L2352" t="str" cm="1">
        <f t="array" ref="L2352">sentimentCategory(K2352)</f>
        <v>Neutral</v>
      </c>
    </row>
    <row r="2353" spans="1:12" x14ac:dyDescent="0.25">
      <c r="A2353" t="s">
        <v>474</v>
      </c>
      <c r="B2353" t="s">
        <v>475</v>
      </c>
      <c r="C2353" t="str" cm="1">
        <f t="array" ref="C2353">CleanText(B2353)</f>
        <v>oh my god</v>
      </c>
      <c r="D2353">
        <v>0</v>
      </c>
      <c r="E2353">
        <v>0</v>
      </c>
      <c r="F2353" t="s">
        <v>10</v>
      </c>
      <c r="G2353" t="str" cm="1">
        <f t="array" ref="G2353">FindCountryName(F2353)</f>
        <v>None</v>
      </c>
      <c r="H2353" s="3">
        <v>45320.349756944444</v>
      </c>
      <c r="I2353" s="3">
        <v>45320.349756944444</v>
      </c>
      <c r="J2353" s="3">
        <v>45255.264548611114</v>
      </c>
      <c r="K2353" cm="1">
        <f t="array" ref="K2353">sentimentCalc(C2353)</f>
        <v>1</v>
      </c>
      <c r="L2353" t="str" cm="1">
        <f t="array" ref="L2353">sentimentCategory(K2353)</f>
        <v>Positive</v>
      </c>
    </row>
    <row r="2354" spans="1:12" x14ac:dyDescent="0.25">
      <c r="A2354" t="s">
        <v>51</v>
      </c>
      <c r="B2354" t="s">
        <v>52</v>
      </c>
      <c r="C2354" t="str" cm="1">
        <f t="array" ref="C2354">CleanText(B2354)</f>
        <v>oh my god its harley quinn</v>
      </c>
      <c r="D2354">
        <v>0</v>
      </c>
      <c r="E2354">
        <v>0</v>
      </c>
      <c r="F2354" t="s">
        <v>10</v>
      </c>
      <c r="G2354" t="str" cm="1">
        <f t="array" ref="G2354">FindCountryName(F2354)</f>
        <v>None</v>
      </c>
      <c r="H2354" s="3">
        <v>45345.319085648145</v>
      </c>
      <c r="I2354" s="3">
        <v>45345.319085648145</v>
      </c>
      <c r="J2354" s="3">
        <v>44748.081342592595</v>
      </c>
      <c r="K2354" cm="1">
        <f t="array" ref="K2354">sentimentCalc(C2354)</f>
        <v>1</v>
      </c>
      <c r="L2354" t="str" cm="1">
        <f t="array" ref="L2354">sentimentCategory(K2354)</f>
        <v>Positive</v>
      </c>
    </row>
    <row r="2355" spans="1:12" x14ac:dyDescent="0.25">
      <c r="A2355" t="s">
        <v>30</v>
      </c>
      <c r="B2355" t="s">
        <v>3745</v>
      </c>
      <c r="C2355" t="str" cm="1">
        <f t="array" ref="C2355">CleanText(B2355)</f>
        <v>oh my god thats so boring</v>
      </c>
      <c r="D2355">
        <v>2</v>
      </c>
      <c r="E2355">
        <v>0</v>
      </c>
      <c r="F2355" t="s">
        <v>10</v>
      </c>
      <c r="G2355" t="str" cm="1">
        <f t="array" ref="G2355">FindCountryName(F2355)</f>
        <v>None</v>
      </c>
      <c r="H2355" s="3">
        <v>45145.79115740741</v>
      </c>
      <c r="I2355" s="3">
        <v>45145.79115740741</v>
      </c>
      <c r="J2355" s="3">
        <v>44084.393587962964</v>
      </c>
      <c r="K2355" cm="1">
        <f t="array" ref="K2355">sentimentCalc(C2355)</f>
        <v>-2</v>
      </c>
      <c r="L2355" t="str" cm="1">
        <f t="array" ref="L2355">sentimentCategory(K2355)</f>
        <v>Negative</v>
      </c>
    </row>
    <row r="2356" spans="1:12" x14ac:dyDescent="0.25">
      <c r="A2356" t="s">
        <v>895</v>
      </c>
      <c r="B2356" t="s">
        <v>1986</v>
      </c>
      <c r="C2356" t="str" cm="1">
        <f t="array" ref="C2356">CleanText(B2356)</f>
        <v>oh my goodness who is the actresses playing barbie when she struts along the beach when ken hopes shell greet him i almost creamed by pants</v>
      </c>
      <c r="D2356">
        <v>0</v>
      </c>
      <c r="E2356">
        <v>0</v>
      </c>
      <c r="F2356" t="s">
        <v>10</v>
      </c>
      <c r="G2356" t="str" cm="1">
        <f t="array" ref="G2356">FindCountryName(F2356)</f>
        <v>None</v>
      </c>
      <c r="H2356" s="3">
        <v>45185.392442129632</v>
      </c>
      <c r="I2356" s="3">
        <v>45185.392442129632</v>
      </c>
      <c r="J2356" s="3">
        <v>45061.944826388892</v>
      </c>
      <c r="K2356" cm="1">
        <f t="array" ref="K2356">sentimentCalc(C2356)</f>
        <v>6</v>
      </c>
      <c r="L2356" t="str" cm="1">
        <f t="array" ref="L2356">sentimentCategory(K2356)</f>
        <v>Positive</v>
      </c>
    </row>
    <row r="2357" spans="1:12" x14ac:dyDescent="0.25">
      <c r="A2357" t="s">
        <v>1008</v>
      </c>
      <c r="B2357" t="s">
        <v>4258</v>
      </c>
      <c r="C2357" t="str" cm="1">
        <f t="array" ref="C2357">CleanText(B2357)</f>
        <v>oh she looks so old i dont mean adult but too old</v>
      </c>
      <c r="D2357">
        <v>0</v>
      </c>
      <c r="E2357">
        <v>0</v>
      </c>
      <c r="F2357" t="s">
        <v>10</v>
      </c>
      <c r="G2357" t="str" cm="1">
        <f t="array" ref="G2357">FindCountryName(F2357)</f>
        <v>None</v>
      </c>
      <c r="H2357" s="3">
        <v>45141.439803240741</v>
      </c>
      <c r="I2357" s="3">
        <v>45141.439803240741</v>
      </c>
      <c r="J2357" s="3">
        <v>42263.0780787037</v>
      </c>
      <c r="K2357" cm="1">
        <f t="array" ref="K2357">sentimentCalc(C2357)</f>
        <v>0</v>
      </c>
      <c r="L2357" t="str" cm="1">
        <f t="array" ref="L2357">sentimentCategory(K2357)</f>
        <v>Neutral</v>
      </c>
    </row>
    <row r="2358" spans="1:12" x14ac:dyDescent="0.25">
      <c r="A2358" t="s">
        <v>3578</v>
      </c>
      <c r="B2358" t="s">
        <v>3579</v>
      </c>
      <c r="C2358" t="str" cm="1">
        <f t="array" ref="C2358">CleanText(B2358)</f>
        <v>oh taylor swift is in the movie to no wonder why its so much hype i never jnew</v>
      </c>
      <c r="D2358">
        <v>0</v>
      </c>
      <c r="E2358">
        <v>0</v>
      </c>
      <c r="F2358" t="s">
        <v>10</v>
      </c>
      <c r="G2358" t="str" cm="1">
        <f t="array" ref="G2358">FindCountryName(F2358)</f>
        <v>None</v>
      </c>
      <c r="H2358" s="3">
        <v>45147.442337962966</v>
      </c>
      <c r="I2358" s="3">
        <v>45147.442337962966</v>
      </c>
      <c r="J2358" s="3">
        <v>45045.341956018521</v>
      </c>
      <c r="K2358" cm="1">
        <f t="array" ref="K2358">sentimentCalc(C2358)</f>
        <v>1</v>
      </c>
      <c r="L2358" t="str" cm="1">
        <f t="array" ref="L2358">sentimentCategory(K2358)</f>
        <v>Positive</v>
      </c>
    </row>
    <row r="2359" spans="1:12" x14ac:dyDescent="0.25">
      <c r="A2359" t="s">
        <v>66</v>
      </c>
      <c r="B2359" t="s">
        <v>67</v>
      </c>
      <c r="C2359" t="str" cm="1">
        <f t="array" ref="C2359">CleanText(B2359)</f>
        <v>oh this movies my favorite ive seen that movie into theaters</v>
      </c>
      <c r="D2359">
        <v>0</v>
      </c>
      <c r="E2359">
        <v>0</v>
      </c>
      <c r="F2359" t="s">
        <v>10</v>
      </c>
      <c r="G2359" t="str" cm="1">
        <f t="array" ref="G2359">FindCountryName(F2359)</f>
        <v>None</v>
      </c>
      <c r="H2359" s="3">
        <v>45342.77039351852</v>
      </c>
      <c r="I2359" s="3">
        <v>45342.77039351852</v>
      </c>
      <c r="J2359" s="3">
        <v>42194.618831018517</v>
      </c>
      <c r="K2359" cm="1">
        <f t="array" ref="K2359">sentimentCalc(C2359)</f>
        <v>2</v>
      </c>
      <c r="L2359" t="str" cm="1">
        <f t="array" ref="L2359">sentimentCategory(K2359)</f>
        <v>Positive</v>
      </c>
    </row>
    <row r="2360" spans="1:12" x14ac:dyDescent="0.25">
      <c r="A2360" t="s">
        <v>126</v>
      </c>
      <c r="B2360" t="s">
        <v>4185</v>
      </c>
      <c r="C2360" t="str" cm="1">
        <f t="array" ref="C2360">CleanText(B2360)</f>
        <v>oh wowhard pass</v>
      </c>
      <c r="D2360">
        <v>2</v>
      </c>
      <c r="E2360">
        <v>0</v>
      </c>
      <c r="F2360" t="s">
        <v>10</v>
      </c>
      <c r="G2360" t="str" cm="1">
        <f t="array" ref="G2360">FindCountryName(F2360)</f>
        <v>None</v>
      </c>
      <c r="H2360" s="3">
        <v>45142.175509259258</v>
      </c>
      <c r="I2360" s="3">
        <v>45142.175509259258</v>
      </c>
      <c r="J2360" s="3">
        <v>42001.029594907406</v>
      </c>
      <c r="K2360" cm="1">
        <f t="array" ref="K2360">sentimentCalc(C2360)</f>
        <v>0</v>
      </c>
      <c r="L2360" t="str" cm="1">
        <f t="array" ref="L2360">sentimentCategory(K2360)</f>
        <v>Neutral</v>
      </c>
    </row>
    <row r="2361" spans="1:12" x14ac:dyDescent="0.25">
      <c r="A2361" t="s">
        <v>156</v>
      </c>
      <c r="B2361" t="s">
        <v>2354</v>
      </c>
      <c r="C2361" t="str" cm="1">
        <f t="array" ref="C2361">CleanText(B2361)</f>
        <v>oh poor ken barbie doesnt love him and he so loves her</v>
      </c>
      <c r="D2361">
        <v>0</v>
      </c>
      <c r="E2361">
        <v>0</v>
      </c>
      <c r="F2361" t="s">
        <v>10</v>
      </c>
      <c r="G2361" t="str" cm="1">
        <f t="array" ref="G2361">FindCountryName(F2361)</f>
        <v>None</v>
      </c>
      <c r="H2361" s="3">
        <v>45171.190567129626</v>
      </c>
      <c r="I2361" s="3">
        <v>45171.190555555557</v>
      </c>
      <c r="J2361" s="3">
        <v>43647.049942129626</v>
      </c>
      <c r="K2361" cm="1">
        <f t="array" ref="K2361">sentimentCalc(C2361)</f>
        <v>1</v>
      </c>
      <c r="L2361" t="str" cm="1">
        <f t="array" ref="L2361">sentimentCategory(K2361)</f>
        <v>Positive</v>
      </c>
    </row>
    <row r="2362" spans="1:12" x14ac:dyDescent="0.25">
      <c r="A2362" t="s">
        <v>1123</v>
      </c>
      <c r="B2362" t="s">
        <v>1124</v>
      </c>
      <c r="C2362" t="str" cm="1">
        <f t="array" ref="C2362">CleanText(B2362)</f>
        <v>ohl</v>
      </c>
      <c r="D2362">
        <v>0</v>
      </c>
      <c r="E2362">
        <v>0</v>
      </c>
      <c r="F2362" t="s">
        <v>1073</v>
      </c>
      <c r="G2362" t="str" cm="1">
        <f t="array" ref="G2362">FindCountryName(F2362)</f>
        <v>India</v>
      </c>
      <c r="H2362" s="3">
        <v>45286.498854166668</v>
      </c>
      <c r="I2362" s="3">
        <v>45286.498854166668</v>
      </c>
      <c r="J2362" s="3">
        <v>43222.209363425929</v>
      </c>
      <c r="K2362" cm="1">
        <f t="array" ref="K2362">sentimentCalc(C2362)</f>
        <v>0</v>
      </c>
      <c r="L2362" t="str" cm="1">
        <f t="array" ref="L2362">sentimentCategory(K2362)</f>
        <v>Neutral</v>
      </c>
    </row>
    <row r="2363" spans="1:12" x14ac:dyDescent="0.25">
      <c r="A2363" t="s">
        <v>2164</v>
      </c>
      <c r="B2363" t="s">
        <v>2645</v>
      </c>
      <c r="C2363" t="str" cm="1">
        <f t="array" ref="C2363">CleanText(B2363)</f>
        <v>ok</v>
      </c>
      <c r="D2363">
        <v>0</v>
      </c>
      <c r="E2363">
        <v>0</v>
      </c>
      <c r="F2363" t="s">
        <v>1151</v>
      </c>
      <c r="G2363" t="str" cm="1">
        <f t="array" ref="G2363">FindCountryName(F2363)</f>
        <v>United Kingdom of Great Britain and Northern Ireland (the)</v>
      </c>
      <c r="H2363" s="3">
        <v>45160.808715277781</v>
      </c>
      <c r="I2363" s="3">
        <v>45160.808715277781</v>
      </c>
      <c r="J2363" s="3">
        <v>44135.610173611109</v>
      </c>
      <c r="K2363" cm="1">
        <f t="array" ref="K2363">sentimentCalc(C2363)</f>
        <v>0</v>
      </c>
      <c r="L2363" t="str" cm="1">
        <f t="array" ref="L2363">sentimentCategory(K2363)</f>
        <v>Neutral</v>
      </c>
    </row>
    <row r="2364" spans="1:12" x14ac:dyDescent="0.25">
      <c r="A2364" t="s">
        <v>3338</v>
      </c>
      <c r="B2364" t="s">
        <v>3339</v>
      </c>
      <c r="C2364" t="str" cm="1">
        <f t="array" ref="C2364">CleanText(B2364)</f>
        <v>ok guys ive watched this movie it awful in my opinion dont waste ur money on this and heres why because one time shes at her house then shes at the beach on then barbie and ken are together then there not its just that little kids wont understand personally its not made for kids because its really confusing and the age thingy is  unless u have an adult with u so honestly thats not a good sign some people might think oh yeah it was awesome or some people will agree with me but its ur guys and girl opinions</v>
      </c>
      <c r="D2364">
        <v>3</v>
      </c>
      <c r="E2364">
        <v>0</v>
      </c>
      <c r="F2364" t="s">
        <v>10</v>
      </c>
      <c r="G2364" t="str" cm="1">
        <f t="array" ref="G2364">FindCountryName(F2364)</f>
        <v>None</v>
      </c>
      <c r="H2364" s="3">
        <v>45150.119814814818</v>
      </c>
      <c r="I2364" s="3">
        <v>45150.119814814818</v>
      </c>
      <c r="J2364" s="3">
        <v>45003.751307870371</v>
      </c>
      <c r="K2364" cm="1">
        <f t="array" ref="K2364">sentimentCalc(C2364)</f>
        <v>3</v>
      </c>
      <c r="L2364" t="str" cm="1">
        <f t="array" ref="L2364">sentimentCategory(K2364)</f>
        <v>Positive</v>
      </c>
    </row>
    <row r="2365" spans="1:12" x14ac:dyDescent="0.25">
      <c r="A2365" t="s">
        <v>1195</v>
      </c>
      <c r="B2365" t="s">
        <v>2985</v>
      </c>
      <c r="C2365" t="str" cm="1">
        <f t="array" ref="C2365">CleanText(B2365)</f>
        <v>ok it actually looks like a fun movie</v>
      </c>
      <c r="D2365">
        <v>0</v>
      </c>
      <c r="E2365">
        <v>0</v>
      </c>
      <c r="F2365" t="s">
        <v>10</v>
      </c>
      <c r="G2365" t="str" cm="1">
        <f t="array" ref="G2365">FindCountryName(F2365)</f>
        <v>None</v>
      </c>
      <c r="H2365" s="3">
        <v>45154.763923611114</v>
      </c>
      <c r="I2365" s="3">
        <v>45154.763923611114</v>
      </c>
      <c r="J2365" s="3">
        <v>42363.145590277774</v>
      </c>
      <c r="K2365" cm="1">
        <f t="array" ref="K2365">sentimentCalc(C2365)</f>
        <v>6</v>
      </c>
      <c r="L2365" t="str" cm="1">
        <f t="array" ref="L2365">sentimentCategory(K2365)</f>
        <v>Positive</v>
      </c>
    </row>
    <row r="2366" spans="1:12" x14ac:dyDescent="0.25">
      <c r="A2366" t="s">
        <v>534</v>
      </c>
      <c r="B2366" t="s">
        <v>3911</v>
      </c>
      <c r="C2366" t="str" cm="1">
        <f t="array" ref="C2366">CleanText(B2366)</f>
        <v>ok so barbie movie is out and non of the designers made barbie clothes for the woman this movie is shown in the cinema to wear barbie dresses should be soled very wear in europe for woman to actually wear it come on designers wake up and start working on your collections hhhf so frustrating caint find a nice dress anywear to wear</v>
      </c>
      <c r="D2366">
        <v>0</v>
      </c>
      <c r="E2366">
        <v>0</v>
      </c>
      <c r="F2366" t="s">
        <v>10</v>
      </c>
      <c r="G2366" t="str" cm="1">
        <f t="array" ref="G2366">FindCountryName(F2366)</f>
        <v>None</v>
      </c>
      <c r="H2366" s="3">
        <v>45144.581944444442</v>
      </c>
      <c r="I2366" s="3">
        <v>45144.581944444442</v>
      </c>
      <c r="J2366" s="3">
        <v>42987.443784722222</v>
      </c>
      <c r="K2366" cm="1">
        <f t="array" ref="K2366">sentimentCalc(C2366)</f>
        <v>1</v>
      </c>
      <c r="L2366" t="str" cm="1">
        <f t="array" ref="L2366">sentimentCategory(K2366)</f>
        <v>Positive</v>
      </c>
    </row>
    <row r="2367" spans="1:12" x14ac:dyDescent="0.25">
      <c r="A2367" t="s">
        <v>1981</v>
      </c>
      <c r="B2367" t="s">
        <v>1982</v>
      </c>
      <c r="C2367" t="str" cm="1">
        <f t="array" ref="C2367">CleanText(B2367)</f>
        <v>ok so when the mom is doing barbies make up she explained what the kens did to barbie land he took your house brainwashed your friends and wants to take over government  wellthats just what feminist did to men in real life lmao</v>
      </c>
      <c r="D2367">
        <v>0</v>
      </c>
      <c r="E2367">
        <v>2</v>
      </c>
      <c r="F2367" t="s">
        <v>10</v>
      </c>
      <c r="G2367" t="str" cm="1">
        <f t="array" ref="G2367">FindCountryName(F2367)</f>
        <v>None</v>
      </c>
      <c r="H2367" s="3">
        <v>45185.479548611111</v>
      </c>
      <c r="I2367" s="3">
        <v>45185.479548611111</v>
      </c>
      <c r="J2367" s="3">
        <v>40526.869155092594</v>
      </c>
      <c r="K2367" cm="1">
        <f t="array" ref="K2367">sentimentCalc(C2367)</f>
        <v>0</v>
      </c>
      <c r="L2367" t="str" cm="1">
        <f t="array" ref="L2367">sentimentCategory(K2367)</f>
        <v>Neutral</v>
      </c>
    </row>
    <row r="2368" spans="1:12" x14ac:dyDescent="0.25">
      <c r="A2368" t="s">
        <v>3014</v>
      </c>
      <c r="B2368" t="s">
        <v>3015</v>
      </c>
      <c r="C2368" t="str" cm="1">
        <f t="array" ref="C2368">CleanText(B2368)</f>
        <v>ok to watch this movie with our  yrs old girl  expect honest answer from ppl who already watched</v>
      </c>
      <c r="D2368">
        <v>0</v>
      </c>
      <c r="E2368">
        <v>5</v>
      </c>
      <c r="F2368" t="s">
        <v>10</v>
      </c>
      <c r="G2368" t="str" cm="1">
        <f t="array" ref="G2368">FindCountryName(F2368)</f>
        <v>None</v>
      </c>
      <c r="H2368" s="3">
        <v>45154.486944444441</v>
      </c>
      <c r="I2368" s="3">
        <v>45154.486944444441</v>
      </c>
      <c r="J2368" s="3">
        <v>40594.810798611114</v>
      </c>
      <c r="K2368" cm="1">
        <f t="array" ref="K2368">sentimentCalc(C2368)</f>
        <v>2</v>
      </c>
      <c r="L2368" t="str" cm="1">
        <f t="array" ref="L2368">sentimentCategory(K2368)</f>
        <v>Positive</v>
      </c>
    </row>
    <row r="2369" spans="1:12" x14ac:dyDescent="0.25">
      <c r="A2369" t="s">
        <v>195</v>
      </c>
      <c r="B2369" t="s">
        <v>3737</v>
      </c>
      <c r="C2369" t="str" cm="1">
        <f t="array" ref="C2369">CleanText(B2369)</f>
        <v>ok watched it now give me ken the movie i need to see a self discovery movie with dance offs and male positivityyou dont need towill be fine without onewe strong</v>
      </c>
      <c r="D2369">
        <v>0</v>
      </c>
      <c r="E2369">
        <v>0</v>
      </c>
      <c r="F2369" t="s">
        <v>10</v>
      </c>
      <c r="G2369" t="str" cm="1">
        <f t="array" ref="G2369">FindCountryName(F2369)</f>
        <v>None</v>
      </c>
      <c r="H2369" s="3">
        <v>45145.883043981485</v>
      </c>
      <c r="I2369" s="3">
        <v>45145.886863425927</v>
      </c>
      <c r="J2369" s="3">
        <v>42327.895925925928</v>
      </c>
      <c r="K2369" cm="1">
        <f t="array" ref="K2369">sentimentCalc(C2369)</f>
        <v>4</v>
      </c>
      <c r="L2369" t="str" cm="1">
        <f t="array" ref="L2369">sentimentCategory(K2369)</f>
        <v>Positive</v>
      </c>
    </row>
    <row r="2370" spans="1:12" x14ac:dyDescent="0.25">
      <c r="A2370" t="s">
        <v>1137</v>
      </c>
      <c r="B2370" t="s">
        <v>1138</v>
      </c>
      <c r="C2370" t="str" cm="1">
        <f t="array" ref="C2370">CleanText(B2370)</f>
        <v>ok did regular hbo get a different version cause i went to watch it ondemand and all im hearing is greta gerwig talking over the movie</v>
      </c>
      <c r="D2370">
        <v>0</v>
      </c>
      <c r="E2370">
        <v>0</v>
      </c>
      <c r="F2370" t="s">
        <v>10</v>
      </c>
      <c r="G2370" t="str" cm="1">
        <f t="array" ref="G2370">FindCountryName(F2370)</f>
        <v>None</v>
      </c>
      <c r="H2370" s="3">
        <v>45284.078680555554</v>
      </c>
      <c r="I2370" s="3">
        <v>45284.078680555554</v>
      </c>
      <c r="J2370" s="3">
        <v>39333.099120370367</v>
      </c>
      <c r="K2370" cm="1">
        <f t="array" ref="K2370">sentimentCalc(C2370)</f>
        <v>0</v>
      </c>
      <c r="L2370" t="str" cm="1">
        <f t="array" ref="L2370">sentimentCategory(K2370)</f>
        <v>Neutral</v>
      </c>
    </row>
    <row r="2371" spans="1:12" x14ac:dyDescent="0.25">
      <c r="A2371" t="s">
        <v>261</v>
      </c>
      <c r="B2371" t="s">
        <v>262</v>
      </c>
      <c r="C2371" t="str" cm="1">
        <f t="array" ref="C2371">CleanText(B2371)</f>
        <v>okropnybez sensu pseudofilmjak mona takie gupstwo sfinansowa</v>
      </c>
      <c r="D2371">
        <v>0</v>
      </c>
      <c r="E2371">
        <v>0</v>
      </c>
      <c r="F2371" t="s">
        <v>10</v>
      </c>
      <c r="G2371" t="str" cm="1">
        <f t="array" ref="G2371">FindCountryName(F2371)</f>
        <v>None</v>
      </c>
      <c r="H2371" s="3">
        <v>45324.48238425926</v>
      </c>
      <c r="I2371" s="3">
        <v>45324.48238425926</v>
      </c>
      <c r="J2371" s="3">
        <v>45145.551030092596</v>
      </c>
      <c r="K2371" cm="1">
        <f t="array" ref="K2371">sentimentCalc(C2371)</f>
        <v>0</v>
      </c>
      <c r="L2371" t="str" cm="1">
        <f t="array" ref="L2371">sentimentCategory(K2371)</f>
        <v>Neutral</v>
      </c>
    </row>
    <row r="2372" spans="1:12" x14ac:dyDescent="0.25">
      <c r="A2372" t="s">
        <v>369</v>
      </c>
      <c r="B2372" t="s">
        <v>3522</v>
      </c>
      <c r="C2372" t="str" cm="1">
        <f t="array" ref="C2372">CleanText(B2372)</f>
        <v>old barbielmao</v>
      </c>
      <c r="D2372">
        <v>0</v>
      </c>
      <c r="E2372">
        <v>0</v>
      </c>
      <c r="F2372" t="s">
        <v>845</v>
      </c>
      <c r="G2372" t="str" cm="1">
        <f t="array" ref="G2372">FindCountryName(F2372)</f>
        <v>Australia</v>
      </c>
      <c r="H2372" s="3">
        <v>45147.917881944442</v>
      </c>
      <c r="I2372" s="3">
        <v>45147.917881944442</v>
      </c>
      <c r="J2372" s="3">
        <v>43725.490034722221</v>
      </c>
      <c r="K2372" cm="1">
        <f t="array" ref="K2372">sentimentCalc(C2372)</f>
        <v>0</v>
      </c>
      <c r="L2372" t="str" cm="1">
        <f t="array" ref="L2372">sentimentCategory(K2372)</f>
        <v>Neutral</v>
      </c>
    </row>
    <row r="2373" spans="1:12" x14ac:dyDescent="0.25">
      <c r="A2373" t="s">
        <v>2388</v>
      </c>
      <c r="B2373" t="s">
        <v>3443</v>
      </c>
      <c r="C2373" t="str" cm="1">
        <f t="array" ref="C2373">CleanText(B2373)</f>
        <v>old lady pretending to be a young girl</v>
      </c>
      <c r="D2373">
        <v>1</v>
      </c>
      <c r="E2373">
        <v>0</v>
      </c>
      <c r="F2373" t="s">
        <v>10</v>
      </c>
      <c r="G2373" t="str" cm="1">
        <f t="array" ref="G2373">FindCountryName(F2373)</f>
        <v>None</v>
      </c>
      <c r="H2373" s="3">
        <v>45148.83898148148</v>
      </c>
      <c r="I2373" s="3">
        <v>45148.83898148148</v>
      </c>
      <c r="J2373" s="3">
        <v>42823.062905092593</v>
      </c>
      <c r="K2373" cm="1">
        <f t="array" ref="K2373">sentimentCalc(C2373)</f>
        <v>-1</v>
      </c>
      <c r="L2373" t="str" cm="1">
        <f t="array" ref="L2373">sentimentCategory(K2373)</f>
        <v>Negative</v>
      </c>
    </row>
    <row r="2374" spans="1:12" x14ac:dyDescent="0.25">
      <c r="A2374" t="s">
        <v>307</v>
      </c>
      <c r="B2374" t="s">
        <v>308</v>
      </c>
      <c r="C2374" t="str" cm="1">
        <f t="array" ref="C2374">CleanText(B2374)</f>
        <v>olduka renkli heyecanl hareketli bir film</v>
      </c>
      <c r="D2374">
        <v>0</v>
      </c>
      <c r="E2374">
        <v>0</v>
      </c>
      <c r="F2374" t="s">
        <v>10</v>
      </c>
      <c r="G2374" t="str" cm="1">
        <f t="array" ref="G2374">FindCountryName(F2374)</f>
        <v>None</v>
      </c>
      <c r="H2374" s="3">
        <v>45322.35528935185</v>
      </c>
      <c r="I2374" s="3">
        <v>45322.35528935185</v>
      </c>
      <c r="J2374" s="3">
        <v>44677.349409722221</v>
      </c>
      <c r="K2374" cm="1">
        <f t="array" ref="K2374">sentimentCalc(C2374)</f>
        <v>0</v>
      </c>
      <c r="L2374" t="str" cm="1">
        <f t="array" ref="L2374">sentimentCategory(K2374)</f>
        <v>Neutral</v>
      </c>
    </row>
    <row r="2375" spans="1:12" x14ac:dyDescent="0.25">
      <c r="A2375" t="s">
        <v>130</v>
      </c>
      <c r="B2375" t="s">
        <v>3175</v>
      </c>
      <c r="C2375" t="str" cm="1">
        <f t="array" ref="C2375">CleanText(B2375)</f>
        <v>olivia youre toes look so good to me  rightnow anthony</v>
      </c>
      <c r="D2375">
        <v>1</v>
      </c>
      <c r="E2375">
        <v>1</v>
      </c>
      <c r="F2375" t="s">
        <v>10</v>
      </c>
      <c r="G2375" t="str" cm="1">
        <f t="array" ref="G2375">FindCountryName(F2375)</f>
        <v>None</v>
      </c>
      <c r="H2375" s="3">
        <v>45152.38449074074</v>
      </c>
      <c r="I2375" s="3">
        <v>45152.38449074074</v>
      </c>
      <c r="J2375" s="3">
        <v>45150.986875000002</v>
      </c>
      <c r="K2375" cm="1">
        <f t="array" ref="K2375">sentimentCalc(C2375)</f>
        <v>3</v>
      </c>
      <c r="L2375" t="str" cm="1">
        <f t="array" ref="L2375">sentimentCategory(K2375)</f>
        <v>Positive</v>
      </c>
    </row>
    <row r="2376" spans="1:12" x14ac:dyDescent="0.25">
      <c r="A2376" t="s">
        <v>290</v>
      </c>
      <c r="B2376" t="s">
        <v>2488</v>
      </c>
      <c r="C2376" t="str" cm="1">
        <f t="array" ref="C2376">CleanText(B2376)</f>
        <v>omg m subscribe i love it</v>
      </c>
      <c r="D2376">
        <v>0</v>
      </c>
      <c r="E2376">
        <v>0</v>
      </c>
      <c r="F2376" t="s">
        <v>10</v>
      </c>
      <c r="G2376" t="str" cm="1">
        <f t="array" ref="G2376">FindCountryName(F2376)</f>
        <v>None</v>
      </c>
      <c r="H2376" s="3">
        <v>45165.339467592596</v>
      </c>
      <c r="I2376" s="3">
        <v>45165.339467592596</v>
      </c>
      <c r="J2376" s="3">
        <v>44300.307905092595</v>
      </c>
      <c r="K2376" cm="1">
        <f t="array" ref="K2376">sentimentCalc(C2376)</f>
        <v>3</v>
      </c>
      <c r="L2376" t="str" cm="1">
        <f t="array" ref="L2376">sentimentCategory(K2376)</f>
        <v>Positive</v>
      </c>
    </row>
    <row r="2377" spans="1:12" x14ac:dyDescent="0.25">
      <c r="A2377" t="s">
        <v>1744</v>
      </c>
      <c r="B2377" t="s">
        <v>1745</v>
      </c>
      <c r="C2377" t="str" cm="1">
        <f t="array" ref="C2377">CleanText(B2377)</f>
        <v>omg barbie movie</v>
      </c>
      <c r="D2377">
        <v>0</v>
      </c>
      <c r="E2377">
        <v>0</v>
      </c>
      <c r="F2377" t="s">
        <v>10</v>
      </c>
      <c r="G2377" t="str" cm="1">
        <f t="array" ref="G2377">FindCountryName(F2377)</f>
        <v>None</v>
      </c>
      <c r="H2377" s="3">
        <v>45197.456342592595</v>
      </c>
      <c r="I2377" s="3">
        <v>45197.456342592595</v>
      </c>
      <c r="J2377" s="3">
        <v>41842.520532407405</v>
      </c>
      <c r="K2377" cm="1">
        <f t="array" ref="K2377">sentimentCalc(C2377)</f>
        <v>0</v>
      </c>
      <c r="L2377" t="str" cm="1">
        <f t="array" ref="L2377">sentimentCategory(K2377)</f>
        <v>Neutral</v>
      </c>
    </row>
    <row r="2378" spans="1:12" x14ac:dyDescent="0.25">
      <c r="A2378" t="s">
        <v>2335</v>
      </c>
      <c r="B2378" t="s">
        <v>3384</v>
      </c>
      <c r="C2378" t="str" cm="1">
        <f t="array" ref="C2378">CleanText(B2378)</f>
        <v>omg i love it</v>
      </c>
      <c r="D2378">
        <v>1</v>
      </c>
      <c r="E2378">
        <v>0</v>
      </c>
      <c r="F2378" t="s">
        <v>10</v>
      </c>
      <c r="G2378" t="str" cm="1">
        <f t="array" ref="G2378">FindCountryName(F2378)</f>
        <v>None</v>
      </c>
      <c r="H2378" s="3">
        <v>45149.395532407405</v>
      </c>
      <c r="I2378" s="3">
        <v>45149.395532407405</v>
      </c>
      <c r="J2378" s="3">
        <v>45016.272210648145</v>
      </c>
      <c r="K2378" cm="1">
        <f t="array" ref="K2378">sentimentCalc(C2378)</f>
        <v>3</v>
      </c>
      <c r="L2378" t="str" cm="1">
        <f t="array" ref="L2378">sentimentCategory(K2378)</f>
        <v>Positive</v>
      </c>
    </row>
    <row r="2379" spans="1:12" x14ac:dyDescent="0.25">
      <c r="A2379" t="s">
        <v>133</v>
      </c>
      <c r="B2379" t="s">
        <v>3743</v>
      </c>
      <c r="C2379" t="str" cm="1">
        <f t="array" ref="C2379">CleanText(B2379)</f>
        <v>omg is that amy of of superstore</v>
      </c>
      <c r="D2379">
        <v>0</v>
      </c>
      <c r="E2379">
        <v>0</v>
      </c>
      <c r="F2379" t="s">
        <v>10</v>
      </c>
      <c r="G2379" t="str" cm="1">
        <f t="array" ref="G2379">FindCountryName(F2379)</f>
        <v>None</v>
      </c>
      <c r="H2379" s="3">
        <v>45145.802025462966</v>
      </c>
      <c r="I2379" s="3">
        <v>45145.802025462966</v>
      </c>
      <c r="J2379" s="3">
        <v>45145.802002314813</v>
      </c>
      <c r="K2379" cm="1">
        <f t="array" ref="K2379">sentimentCalc(C2379)</f>
        <v>0</v>
      </c>
      <c r="L2379" t="str" cm="1">
        <f t="array" ref="L2379">sentimentCategory(K2379)</f>
        <v>Neutral</v>
      </c>
    </row>
    <row r="2380" spans="1:12" x14ac:dyDescent="0.25">
      <c r="A2380" t="s">
        <v>135</v>
      </c>
      <c r="B2380" t="s">
        <v>3164</v>
      </c>
      <c r="C2380" t="str" cm="1">
        <f t="array" ref="C2380">CleanText(B2380)</f>
        <v>omg just watched it was soo goooood slayy</v>
      </c>
      <c r="D2380">
        <v>1</v>
      </c>
      <c r="E2380">
        <v>0</v>
      </c>
      <c r="F2380" t="s">
        <v>10</v>
      </c>
      <c r="G2380" t="str" cm="1">
        <f t="array" ref="G2380">FindCountryName(F2380)</f>
        <v>None</v>
      </c>
      <c r="H2380" s="3">
        <v>45152.536666666667</v>
      </c>
      <c r="I2380" s="3">
        <v>45152.536666666667</v>
      </c>
      <c r="J2380" s="3">
        <v>41975.355393518519</v>
      </c>
      <c r="K2380" cm="1">
        <f t="array" ref="K2380">sentimentCalc(C2380)</f>
        <v>0</v>
      </c>
      <c r="L2380" t="str" cm="1">
        <f t="array" ref="L2380">sentimentCategory(K2380)</f>
        <v>Neutral</v>
      </c>
    </row>
    <row r="2381" spans="1:12" x14ac:dyDescent="0.25">
      <c r="A2381" t="s">
        <v>830</v>
      </c>
      <c r="B2381" t="s">
        <v>3556</v>
      </c>
      <c r="C2381" t="str" cm="1">
        <f t="array" ref="C2381">CleanText(B2381)</f>
        <v>omg my childhood and my barbiesthe song really suits it girl</v>
      </c>
      <c r="D2381">
        <v>0</v>
      </c>
      <c r="E2381">
        <v>0</v>
      </c>
      <c r="F2381" t="s">
        <v>10</v>
      </c>
      <c r="G2381" t="str" cm="1">
        <f t="array" ref="G2381">FindCountryName(F2381)</f>
        <v>None</v>
      </c>
      <c r="H2381" s="3">
        <v>45147.567777777775</v>
      </c>
      <c r="I2381" s="3">
        <v>45147.567766203705</v>
      </c>
      <c r="J2381" s="3">
        <v>44821.264374999999</v>
      </c>
      <c r="K2381" cm="1">
        <f t="array" ref="K2381">sentimentCalc(C2381)</f>
        <v>0</v>
      </c>
      <c r="L2381" t="str" cm="1">
        <f t="array" ref="L2381">sentimentCategory(K2381)</f>
        <v>Neutral</v>
      </c>
    </row>
    <row r="2382" spans="1:12" x14ac:dyDescent="0.25">
      <c r="A2382" t="s">
        <v>2971</v>
      </c>
      <c r="B2382" t="s">
        <v>2972</v>
      </c>
      <c r="C2382" t="str" cm="1">
        <f t="array" ref="C2382">CleanText(B2382)</f>
        <v>omg oppenheimer</v>
      </c>
      <c r="D2382">
        <v>0</v>
      </c>
      <c r="E2382">
        <v>0</v>
      </c>
      <c r="F2382" t="s">
        <v>10</v>
      </c>
      <c r="G2382" t="str" cm="1">
        <f t="array" ref="G2382">FindCountryName(F2382)</f>
        <v>None</v>
      </c>
      <c r="H2382" s="3">
        <v>45155.085115740738</v>
      </c>
      <c r="I2382" s="3">
        <v>45155.085115740738</v>
      </c>
      <c r="J2382" s="3">
        <v>45113.913171296299</v>
      </c>
      <c r="K2382" cm="1">
        <f t="array" ref="K2382">sentimentCalc(C2382)</f>
        <v>0</v>
      </c>
      <c r="L2382" t="str" cm="1">
        <f t="array" ref="L2382">sentimentCategory(K2382)</f>
        <v>Neutral</v>
      </c>
    </row>
    <row r="2383" spans="1:12" x14ac:dyDescent="0.25">
      <c r="A2383" t="s">
        <v>178</v>
      </c>
      <c r="B2383" t="s">
        <v>220</v>
      </c>
      <c r="C2383" t="str" cm="1">
        <f t="array" ref="C2383">CleanText(B2383)</f>
        <v>omg such a waste of time</v>
      </c>
      <c r="D2383">
        <v>2</v>
      </c>
      <c r="E2383">
        <v>1</v>
      </c>
      <c r="F2383" t="s">
        <v>10</v>
      </c>
      <c r="G2383" t="str" cm="1">
        <f t="array" ref="G2383">FindCountryName(F2383)</f>
        <v>None</v>
      </c>
      <c r="H2383" s="3">
        <v>45331.167164351849</v>
      </c>
      <c r="I2383" s="3">
        <v>45331.167164351849</v>
      </c>
      <c r="J2383" s="3">
        <v>41181.338217592594</v>
      </c>
      <c r="K2383" cm="1">
        <f t="array" ref="K2383">sentimentCalc(C2383)</f>
        <v>-1</v>
      </c>
      <c r="L2383" t="str" cm="1">
        <f t="array" ref="L2383">sentimentCategory(K2383)</f>
        <v>Negative</v>
      </c>
    </row>
    <row r="2384" spans="1:12" x14ac:dyDescent="0.25">
      <c r="A2384" t="s">
        <v>4465</v>
      </c>
      <c r="B2384" t="s">
        <v>4466</v>
      </c>
      <c r="C2384" t="str" cm="1">
        <f t="array" ref="C2384">CleanText(B2384)</f>
        <v>omg the subtitles</v>
      </c>
      <c r="D2384">
        <v>0</v>
      </c>
      <c r="E2384">
        <v>0</v>
      </c>
      <c r="F2384" t="s">
        <v>10</v>
      </c>
      <c r="G2384" t="str" cm="1">
        <f t="array" ref="G2384">FindCountryName(F2384)</f>
        <v>None</v>
      </c>
      <c r="H2384" s="3">
        <v>45140.119895833333</v>
      </c>
      <c r="I2384" s="3">
        <v>45140.119895833333</v>
      </c>
      <c r="J2384" s="3">
        <v>45084.866701388892</v>
      </c>
      <c r="K2384" cm="1">
        <f t="array" ref="K2384">sentimentCalc(C2384)</f>
        <v>0</v>
      </c>
      <c r="L2384" t="str" cm="1">
        <f t="array" ref="L2384">sentimentCategory(K2384)</f>
        <v>Neutral</v>
      </c>
    </row>
    <row r="2385" spans="1:12" x14ac:dyDescent="0.25">
      <c r="A2385" t="s">
        <v>1652</v>
      </c>
      <c r="B2385" t="s">
        <v>1653</v>
      </c>
      <c r="C2385" t="str" cm="1">
        <f t="array" ref="C2385">CleanText(B2385)</f>
        <v>omg this is sad when you watched the whole movie and cant watch it any we else and im just ken full son</v>
      </c>
      <c r="D2385">
        <v>0</v>
      </c>
      <c r="E2385">
        <v>0</v>
      </c>
      <c r="F2385" t="s">
        <v>10</v>
      </c>
      <c r="G2385" t="str" cm="1">
        <f t="array" ref="G2385">FindCountryName(F2385)</f>
        <v>None</v>
      </c>
      <c r="H2385" s="3">
        <v>45205.342986111114</v>
      </c>
      <c r="I2385" s="3">
        <v>45205.342986111114</v>
      </c>
      <c r="J2385" s="3">
        <v>45179.416377314818</v>
      </c>
      <c r="K2385" cm="1">
        <f t="array" ref="K2385">sentimentCalc(C2385)</f>
        <v>-2</v>
      </c>
      <c r="L2385" t="str" cm="1">
        <f t="array" ref="L2385">sentimentCategory(K2385)</f>
        <v>Negative</v>
      </c>
    </row>
    <row r="2386" spans="1:12" x14ac:dyDescent="0.25">
      <c r="A2386" t="s">
        <v>483</v>
      </c>
      <c r="B2386" t="s">
        <v>484</v>
      </c>
      <c r="C2386" t="str" cm="1">
        <f t="array" ref="C2386">CleanText(B2386)</f>
        <v>omg slaayyy barbie queen</v>
      </c>
      <c r="D2386">
        <v>1</v>
      </c>
      <c r="E2386">
        <v>0</v>
      </c>
      <c r="F2386" t="s">
        <v>10</v>
      </c>
      <c r="G2386" t="str" cm="1">
        <f t="array" ref="G2386">FindCountryName(F2386)</f>
        <v>None</v>
      </c>
      <c r="H2386" s="3">
        <v>45319.91920138889</v>
      </c>
      <c r="I2386" s="3">
        <v>45319.91920138889</v>
      </c>
      <c r="J2386" s="3">
        <v>45214.783750000002</v>
      </c>
      <c r="K2386" cm="1">
        <f t="array" ref="K2386">sentimentCalc(C2386)</f>
        <v>0</v>
      </c>
      <c r="L2386" t="str" cm="1">
        <f t="array" ref="L2386">sentimentCategory(K2386)</f>
        <v>Neutral</v>
      </c>
    </row>
    <row r="2387" spans="1:12" x14ac:dyDescent="0.25">
      <c r="A2387" t="s">
        <v>1173</v>
      </c>
      <c r="B2387" t="s">
        <v>4059</v>
      </c>
      <c r="C2387" t="str" cm="1">
        <f t="array" ref="C2387">CleanText(B2387)</f>
        <v>omg i got goosebumps i believe this will be a top grosser film this year</v>
      </c>
      <c r="D2387">
        <v>0</v>
      </c>
      <c r="E2387">
        <v>0</v>
      </c>
      <c r="F2387" t="s">
        <v>10</v>
      </c>
      <c r="G2387" t="str" cm="1">
        <f t="array" ref="G2387">FindCountryName(F2387)</f>
        <v>None</v>
      </c>
      <c r="H2387" s="3">
        <v>45143.305405092593</v>
      </c>
      <c r="I2387" s="3">
        <v>45143.308576388888</v>
      </c>
      <c r="J2387" s="3">
        <v>40475.851099537038</v>
      </c>
      <c r="K2387" cm="1">
        <f t="array" ref="K2387">sentimentCalc(C2387)</f>
        <v>2</v>
      </c>
      <c r="L2387" t="str" cm="1">
        <f t="array" ref="L2387">sentimentCategory(K2387)</f>
        <v>Positive</v>
      </c>
    </row>
    <row r="2388" spans="1:12" x14ac:dyDescent="0.25">
      <c r="A2388" t="s">
        <v>1155</v>
      </c>
      <c r="B2388" t="s">
        <v>4193</v>
      </c>
      <c r="C2388" t="str" cm="1">
        <f t="array" ref="C2388">CleanText(B2388)</f>
        <v>omgstupid movieboring</v>
      </c>
      <c r="D2388">
        <v>4</v>
      </c>
      <c r="E2388">
        <v>0</v>
      </c>
      <c r="F2388" t="s">
        <v>10</v>
      </c>
      <c r="G2388" t="str" cm="1">
        <f t="array" ref="G2388">FindCountryName(F2388)</f>
        <v>None</v>
      </c>
      <c r="H2388" s="3">
        <v>45142.137650462966</v>
      </c>
      <c r="I2388" s="3">
        <v>45142.137650462966</v>
      </c>
      <c r="J2388" s="3">
        <v>39343.444641203707</v>
      </c>
      <c r="K2388" cm="1">
        <f t="array" ref="K2388">sentimentCalc(C2388)</f>
        <v>0</v>
      </c>
      <c r="L2388" t="str" cm="1">
        <f t="array" ref="L2388">sentimentCategory(K2388)</f>
        <v>Neutral</v>
      </c>
    </row>
    <row r="2389" spans="1:12" x14ac:dyDescent="0.25">
      <c r="A2389" t="s">
        <v>946</v>
      </c>
      <c r="B2389" t="s">
        <v>4157</v>
      </c>
      <c r="C2389" t="str" cm="1">
        <f t="array" ref="C2389">CleanText(B2389)</f>
        <v>omw to vue to watch barbie right now</v>
      </c>
      <c r="D2389">
        <v>0</v>
      </c>
      <c r="E2389">
        <v>0</v>
      </c>
      <c r="F2389" t="s">
        <v>10</v>
      </c>
      <c r="G2389" t="str" cm="1">
        <f t="array" ref="G2389">FindCountryName(F2389)</f>
        <v>None</v>
      </c>
      <c r="H2389" s="3">
        <v>45142.463425925926</v>
      </c>
      <c r="I2389" s="3">
        <v>45142.463425925926</v>
      </c>
      <c r="J2389" s="3">
        <v>45078.492997685185</v>
      </c>
      <c r="K2389" cm="1">
        <f t="array" ref="K2389">sentimentCalc(C2389)</f>
        <v>0</v>
      </c>
      <c r="L2389" t="str" cm="1">
        <f t="array" ref="L2389">sentimentCategory(K2389)</f>
        <v>Neutral</v>
      </c>
    </row>
    <row r="2390" spans="1:12" x14ac:dyDescent="0.25">
      <c r="A2390" t="s">
        <v>1518</v>
      </c>
      <c r="B2390" t="s">
        <v>1519</v>
      </c>
      <c r="C2390" t="str" cm="1">
        <f t="array" ref="C2390">CleanText(B2390)</f>
        <v>once in life the experience of barbie in real world and we ourselves in the barbieland imagine what happens then</v>
      </c>
      <c r="D2390">
        <v>2</v>
      </c>
      <c r="E2390">
        <v>0</v>
      </c>
      <c r="F2390" t="s">
        <v>1520</v>
      </c>
      <c r="G2390" t="str" cm="1">
        <f t="array" ref="G2390">FindCountryName(F2390)</f>
        <v>Nepal</v>
      </c>
      <c r="H2390" s="3">
        <v>45217.51734953704</v>
      </c>
      <c r="I2390" s="3">
        <v>45217.51734953704</v>
      </c>
      <c r="J2390" s="3">
        <v>43750.439837962964</v>
      </c>
      <c r="K2390" cm="1">
        <f t="array" ref="K2390">sentimentCalc(C2390)</f>
        <v>0</v>
      </c>
      <c r="L2390" t="str" cm="1">
        <f t="array" ref="L2390">sentimentCategory(K2390)</f>
        <v>Neutral</v>
      </c>
    </row>
    <row r="2391" spans="1:12" x14ac:dyDescent="0.25">
      <c r="A2391" t="s">
        <v>830</v>
      </c>
      <c r="B2391" t="s">
        <v>831</v>
      </c>
      <c r="C2391" t="str" cm="1">
        <f t="array" ref="C2391">CleanText(B2391)</f>
        <v>one drunk man more intelligence than three womens have phd</v>
      </c>
      <c r="D2391">
        <v>0</v>
      </c>
      <c r="E2391">
        <v>1</v>
      </c>
      <c r="F2391" t="s">
        <v>10</v>
      </c>
      <c r="G2391" t="str" cm="1">
        <f t="array" ref="G2391">FindCountryName(F2391)</f>
        <v>None</v>
      </c>
      <c r="H2391" s="3">
        <v>45303.3203587963</v>
      </c>
      <c r="I2391" s="3">
        <v>45303.3203587963</v>
      </c>
      <c r="J2391" s="3">
        <v>44096.239004629628</v>
      </c>
      <c r="K2391" cm="1">
        <f t="array" ref="K2391">sentimentCalc(C2391)</f>
        <v>-2</v>
      </c>
      <c r="L2391" t="str" cm="1">
        <f t="array" ref="L2391">sentimentCategory(K2391)</f>
        <v>Negative</v>
      </c>
    </row>
    <row r="2392" spans="1:12" x14ac:dyDescent="0.25">
      <c r="A2392" t="s">
        <v>225</v>
      </c>
      <c r="B2392" t="s">
        <v>3735</v>
      </c>
      <c r="C2392" t="str" cm="1">
        <f t="array" ref="C2392">CleanText(B2392)</f>
        <v>one of my earliest memories is when a dog came by and stole my barbie off the front porch in anchorage on the porch my grandparents built on the corner of th and l street no longer there its hostetler park now my mom said you shouldnt leave your things laying around but barbie was put away in a open top toyboxlater i read that there was a chemical used in those first barbies that was very appealing to dogs so many kids lost their barbies to dogs that they changed the formulation for the plastic</v>
      </c>
      <c r="D2392">
        <v>0</v>
      </c>
      <c r="E2392">
        <v>0</v>
      </c>
      <c r="F2392" t="s">
        <v>10</v>
      </c>
      <c r="G2392" t="str" cm="1">
        <f t="array" ref="G2392">FindCountryName(F2392)</f>
        <v>None</v>
      </c>
      <c r="H2392" s="3">
        <v>45145.942557870374</v>
      </c>
      <c r="I2392" s="3">
        <v>45145.942557870374</v>
      </c>
      <c r="J2392" s="3">
        <v>41460.127835648149</v>
      </c>
      <c r="K2392" cm="1">
        <f t="array" ref="K2392">sentimentCalc(C2392)</f>
        <v>-3</v>
      </c>
      <c r="L2392" t="str" cm="1">
        <f t="array" ref="L2392">sentimentCategory(K2392)</f>
        <v>Negative</v>
      </c>
    </row>
    <row r="2393" spans="1:12" x14ac:dyDescent="0.25">
      <c r="A2393" t="s">
        <v>56</v>
      </c>
      <c r="B2393" t="s">
        <v>273</v>
      </c>
      <c r="C2393" t="str" cm="1">
        <f t="array" ref="C2393">CleanText(B2393)</f>
        <v>one of stupiest movie ive ever seen booooooring</v>
      </c>
      <c r="D2393">
        <v>0</v>
      </c>
      <c r="E2393">
        <v>0</v>
      </c>
      <c r="F2393" t="s">
        <v>10</v>
      </c>
      <c r="G2393" t="str" cm="1">
        <f t="array" ref="G2393">FindCountryName(F2393)</f>
        <v>None</v>
      </c>
      <c r="H2393" s="3">
        <v>45322.633252314816</v>
      </c>
      <c r="I2393" s="3">
        <v>45322.633252314816</v>
      </c>
      <c r="J2393" s="3">
        <v>44113.635671296295</v>
      </c>
      <c r="K2393" cm="1">
        <f t="array" ref="K2393">sentimentCalc(C2393)</f>
        <v>0</v>
      </c>
      <c r="L2393" t="str" cm="1">
        <f t="array" ref="L2393">sentimentCategory(K2393)</f>
        <v>Neutral</v>
      </c>
    </row>
    <row r="2394" spans="1:12" x14ac:dyDescent="0.25">
      <c r="A2394" t="s">
        <v>133</v>
      </c>
      <c r="B2394" t="s">
        <v>3902</v>
      </c>
      <c r="C2394" t="str" cm="1">
        <f t="array" ref="C2394">CleanText(B2394)</f>
        <v>one of the best barbie movies</v>
      </c>
      <c r="D2394">
        <v>4</v>
      </c>
      <c r="E2394">
        <v>0</v>
      </c>
      <c r="F2394" t="s">
        <v>10</v>
      </c>
      <c r="G2394" t="str" cm="1">
        <f t="array" ref="G2394">FindCountryName(F2394)</f>
        <v>None</v>
      </c>
      <c r="H2394" s="3">
        <v>45144.605439814812</v>
      </c>
      <c r="I2394" s="3">
        <v>45144.605439814812</v>
      </c>
      <c r="J2394" s="3">
        <v>45123.536944444444</v>
      </c>
      <c r="K2394" cm="1">
        <f t="array" ref="K2394">sentimentCalc(C2394)</f>
        <v>3</v>
      </c>
      <c r="L2394" t="str" cm="1">
        <f t="array" ref="L2394">sentimentCategory(K2394)</f>
        <v>Positive</v>
      </c>
    </row>
    <row r="2395" spans="1:12" x14ac:dyDescent="0.25">
      <c r="A2395" t="s">
        <v>4091</v>
      </c>
      <c r="B2395" t="s">
        <v>4191</v>
      </c>
      <c r="C2395" t="str" cm="1">
        <f t="array" ref="C2395">CleanText(B2395)</f>
        <v>one of the best films ive seen in a long time only watched it last night but i wanna watch it again right now  such a funny yet heartwarming film</v>
      </c>
      <c r="D2395">
        <v>22</v>
      </c>
      <c r="E2395">
        <v>3</v>
      </c>
      <c r="F2395" t="s">
        <v>10</v>
      </c>
      <c r="G2395" t="str" cm="1">
        <f t="array" ref="G2395">FindCountryName(F2395)</f>
        <v>None</v>
      </c>
      <c r="H2395" s="3">
        <v>45142.150034722225</v>
      </c>
      <c r="I2395" s="3">
        <v>45142.150034722225</v>
      </c>
      <c r="J2395" s="3">
        <v>41466.723229166666</v>
      </c>
      <c r="K2395" cm="1">
        <f t="array" ref="K2395">sentimentCalc(C2395)</f>
        <v>7</v>
      </c>
      <c r="L2395" t="str" cm="1">
        <f t="array" ref="L2395">sentimentCategory(K2395)</f>
        <v>Positive</v>
      </c>
    </row>
    <row r="2396" spans="1:12" x14ac:dyDescent="0.25">
      <c r="A2396" t="s">
        <v>569</v>
      </c>
      <c r="B2396" t="s">
        <v>570</v>
      </c>
      <c r="C2396" t="str" cm="1">
        <f t="array" ref="C2396">CleanText(B2396)</f>
        <v>one of the best movie ever i love it</v>
      </c>
      <c r="D2396">
        <v>0</v>
      </c>
      <c r="E2396">
        <v>0</v>
      </c>
      <c r="F2396" t="s">
        <v>10</v>
      </c>
      <c r="G2396" t="str" cm="1">
        <f t="array" ref="G2396">FindCountryName(F2396)</f>
        <v>None</v>
      </c>
      <c r="H2396" s="3">
        <v>45317.273090277777</v>
      </c>
      <c r="I2396" s="3">
        <v>45317.273090277777</v>
      </c>
      <c r="J2396" s="3">
        <v>44623.137858796297</v>
      </c>
      <c r="K2396" cm="1">
        <f t="array" ref="K2396">sentimentCalc(C2396)</f>
        <v>6</v>
      </c>
      <c r="L2396" t="str" cm="1">
        <f t="array" ref="L2396">sentimentCategory(K2396)</f>
        <v>Positive</v>
      </c>
    </row>
    <row r="2397" spans="1:12" x14ac:dyDescent="0.25">
      <c r="A2397" t="s">
        <v>3122</v>
      </c>
      <c r="B2397" t="s">
        <v>3577</v>
      </c>
      <c r="C2397" t="str" cm="1">
        <f t="array" ref="C2397">CleanText(B2397)</f>
        <v>one of the best movies ever</v>
      </c>
      <c r="D2397">
        <v>1</v>
      </c>
      <c r="E2397">
        <v>0</v>
      </c>
      <c r="F2397" t="s">
        <v>10</v>
      </c>
      <c r="G2397" t="str" cm="1">
        <f t="array" ref="G2397">FindCountryName(F2397)</f>
        <v>None</v>
      </c>
      <c r="H2397" s="3">
        <v>45147.447013888886</v>
      </c>
      <c r="I2397" s="3">
        <v>45147.447013888886</v>
      </c>
      <c r="J2397" s="3">
        <v>39451.736319444448</v>
      </c>
      <c r="K2397" cm="1">
        <f t="array" ref="K2397">sentimentCalc(C2397)</f>
        <v>3</v>
      </c>
      <c r="L2397" t="str" cm="1">
        <f t="array" ref="L2397">sentimentCategory(K2397)</f>
        <v>Positive</v>
      </c>
    </row>
    <row r="2398" spans="1:12" x14ac:dyDescent="0.25">
      <c r="A2398" t="s">
        <v>1528</v>
      </c>
      <c r="B2398" t="s">
        <v>1529</v>
      </c>
      <c r="C2398" t="str" cm="1">
        <f t="array" ref="C2398">CleanText(B2398)</f>
        <v>one of the cutest movies ever</v>
      </c>
      <c r="D2398">
        <v>1</v>
      </c>
      <c r="E2398">
        <v>0</v>
      </c>
      <c r="F2398" t="s">
        <v>10</v>
      </c>
      <c r="G2398" t="str" cm="1">
        <f t="array" ref="G2398">FindCountryName(F2398)</f>
        <v>None</v>
      </c>
      <c r="H2398" s="3">
        <v>45215.806851851848</v>
      </c>
      <c r="I2398" s="3">
        <v>45215.806851851848</v>
      </c>
      <c r="J2398" s="3">
        <v>44582.467870370368</v>
      </c>
      <c r="K2398" cm="1">
        <f t="array" ref="K2398">sentimentCalc(C2398)</f>
        <v>0</v>
      </c>
      <c r="L2398" t="str" cm="1">
        <f t="array" ref="L2398">sentimentCategory(K2398)</f>
        <v>Neutral</v>
      </c>
    </row>
    <row r="2399" spans="1:12" x14ac:dyDescent="0.25">
      <c r="A2399" t="s">
        <v>372</v>
      </c>
      <c r="B2399" t="s">
        <v>3520</v>
      </c>
      <c r="C2399" t="str" cm="1">
        <f t="array" ref="C2399">CleanText(B2399)</f>
        <v>one of the most fun and unique movies ive ever seen</v>
      </c>
      <c r="D2399">
        <v>9</v>
      </c>
      <c r="E2399">
        <v>1</v>
      </c>
      <c r="F2399" t="s">
        <v>10</v>
      </c>
      <c r="G2399" t="str" cm="1">
        <f t="array" ref="G2399">FindCountryName(F2399)</f>
        <v>None</v>
      </c>
      <c r="H2399" s="3">
        <v>45147.950219907405</v>
      </c>
      <c r="I2399" s="3">
        <v>45147.950219907405</v>
      </c>
      <c r="J2399" s="3">
        <v>43123.575578703705</v>
      </c>
      <c r="K2399" cm="1">
        <f t="array" ref="K2399">sentimentCalc(C2399)</f>
        <v>4</v>
      </c>
      <c r="L2399" t="str" cm="1">
        <f t="array" ref="L2399">sentimentCategory(K2399)</f>
        <v>Positive</v>
      </c>
    </row>
    <row r="2400" spans="1:12" x14ac:dyDescent="0.25">
      <c r="A2400" t="s">
        <v>83</v>
      </c>
      <c r="B2400" t="s">
        <v>1431</v>
      </c>
      <c r="C2400" t="str" cm="1">
        <f t="array" ref="C2400">CleanText(B2400)</f>
        <v>one of the most philosophical movies you ever seemakes you think while having so much fun   take your daughter and husband dad and brother</v>
      </c>
      <c r="D2400">
        <v>0</v>
      </c>
      <c r="E2400">
        <v>0</v>
      </c>
      <c r="F2400" t="s">
        <v>227</v>
      </c>
      <c r="G2400" t="str" cm="1">
        <f t="array" ref="G2400">FindCountryName(F2400)</f>
        <v>United States of America (the)</v>
      </c>
      <c r="H2400" s="3">
        <v>45227.889965277776</v>
      </c>
      <c r="I2400" s="3">
        <v>45227.890393518515</v>
      </c>
      <c r="J2400" s="3">
        <v>42752.92328703704</v>
      </c>
      <c r="K2400" cm="1">
        <f t="array" ref="K2400">sentimentCalc(C2400)</f>
        <v>4</v>
      </c>
      <c r="L2400" t="str" cm="1">
        <f t="array" ref="L2400">sentimentCategory(K2400)</f>
        <v>Positive</v>
      </c>
    </row>
    <row r="2401" spans="1:12" x14ac:dyDescent="0.25">
      <c r="A2401" t="s">
        <v>1163</v>
      </c>
      <c r="B2401" t="s">
        <v>1164</v>
      </c>
      <c r="C2401" t="str" cm="1">
        <f t="array" ref="C2401">CleanText(B2401)</f>
        <v>one of the worst movies i ever have seenit was annoyingryan gosling was miscast as kenhe did not exude anything ken doll</v>
      </c>
      <c r="D2401">
        <v>1</v>
      </c>
      <c r="E2401">
        <v>0</v>
      </c>
      <c r="F2401" t="s">
        <v>10</v>
      </c>
      <c r="G2401" t="str" cm="1">
        <f t="array" ref="G2401">FindCountryName(F2401)</f>
        <v>None</v>
      </c>
      <c r="H2401" s="3">
        <v>45281.549930555557</v>
      </c>
      <c r="I2401" s="3">
        <v>45281.549930555557</v>
      </c>
      <c r="J2401" s="3">
        <v>39408.892800925925</v>
      </c>
      <c r="K2401" cm="1">
        <f t="array" ref="K2401">sentimentCalc(C2401)</f>
        <v>-3</v>
      </c>
      <c r="L2401" t="str" cm="1">
        <f t="array" ref="L2401">sentimentCategory(K2401)</f>
        <v>Negative</v>
      </c>
    </row>
    <row r="2402" spans="1:12" x14ac:dyDescent="0.25">
      <c r="A2402" t="s">
        <v>986</v>
      </c>
      <c r="B2402" t="s">
        <v>2530</v>
      </c>
      <c r="C2402" t="str" cm="1">
        <f t="array" ref="C2402">CleanText(B2402)</f>
        <v>one of the worst movies ive seen unfortunately</v>
      </c>
      <c r="D2402">
        <v>0</v>
      </c>
      <c r="E2402">
        <v>0</v>
      </c>
      <c r="F2402" t="s">
        <v>10</v>
      </c>
      <c r="G2402" t="str" cm="1">
        <f t="array" ref="G2402">FindCountryName(F2402)</f>
        <v>None</v>
      </c>
      <c r="H2402" s="3">
        <v>45164.24113425926</v>
      </c>
      <c r="I2402" s="3">
        <v>45164.24113425926</v>
      </c>
      <c r="J2402" s="3">
        <v>43585.824166666665</v>
      </c>
      <c r="K2402" cm="1">
        <f t="array" ref="K2402">sentimentCalc(C2402)</f>
        <v>-3</v>
      </c>
      <c r="L2402" t="str" cm="1">
        <f t="array" ref="L2402">sentimentCategory(K2402)</f>
        <v>Negative</v>
      </c>
    </row>
    <row r="2403" spans="1:12" x14ac:dyDescent="0.25">
      <c r="A2403" t="s">
        <v>322</v>
      </c>
      <c r="B2403" t="s">
        <v>1571</v>
      </c>
      <c r="C2403" t="str" cm="1">
        <f t="array" ref="C2403">CleanText(B2403)</f>
        <v>one of the worst movies my wife has ever seen in her life  great job hollywood</v>
      </c>
      <c r="D2403">
        <v>1</v>
      </c>
      <c r="E2403">
        <v>4</v>
      </c>
      <c r="F2403" t="s">
        <v>10</v>
      </c>
      <c r="G2403" t="str" cm="1">
        <f t="array" ref="G2403">FindCountryName(F2403)</f>
        <v>None</v>
      </c>
      <c r="H2403" s="3">
        <v>45213.956956018519</v>
      </c>
      <c r="I2403" s="3">
        <v>45213.956956018519</v>
      </c>
      <c r="J2403" s="3">
        <v>43757.43787037037</v>
      </c>
      <c r="K2403" cm="1">
        <f t="array" ref="K2403">sentimentCalc(C2403)</f>
        <v>0</v>
      </c>
      <c r="L2403" t="str" cm="1">
        <f t="array" ref="L2403">sentimentCategory(K2403)</f>
        <v>Neutral</v>
      </c>
    </row>
    <row r="2404" spans="1:12" x14ac:dyDescent="0.25">
      <c r="A2404" t="s">
        <v>2685</v>
      </c>
      <c r="B2404" t="s">
        <v>2686</v>
      </c>
      <c r="C2404" t="str" cm="1">
        <f t="array" ref="C2404">CleanText(B2404)</f>
        <v>one question is this movie for kids or adults</v>
      </c>
      <c r="D2404">
        <v>0</v>
      </c>
      <c r="E2404">
        <v>1</v>
      </c>
      <c r="F2404" t="s">
        <v>227</v>
      </c>
      <c r="G2404" t="str" cm="1">
        <f t="array" ref="G2404">FindCountryName(F2404)</f>
        <v>United States of America (the)</v>
      </c>
      <c r="H2404" s="3">
        <v>45160.135694444441</v>
      </c>
      <c r="I2404" s="3">
        <v>45160.135694444441</v>
      </c>
      <c r="J2404" s="3">
        <v>43828.654351851852</v>
      </c>
      <c r="K2404" cm="1">
        <f t="array" ref="K2404">sentimentCalc(C2404)</f>
        <v>0</v>
      </c>
      <c r="L2404" t="str" cm="1">
        <f t="array" ref="L2404">sentimentCategory(K2404)</f>
        <v>Neutral</v>
      </c>
    </row>
    <row r="2405" spans="1:12" x14ac:dyDescent="0.25">
      <c r="A2405" t="s">
        <v>505</v>
      </c>
      <c r="B2405" t="s">
        <v>3020</v>
      </c>
      <c r="C2405" t="str" cm="1">
        <f t="array" ref="C2405">CleanText(B2405)</f>
        <v>ong elle est trop chaude ma gee</v>
      </c>
      <c r="D2405">
        <v>1</v>
      </c>
      <c r="E2405">
        <v>0</v>
      </c>
      <c r="F2405" t="s">
        <v>10</v>
      </c>
      <c r="G2405" t="str" cm="1">
        <f t="array" ref="G2405">FindCountryName(F2405)</f>
        <v>None</v>
      </c>
      <c r="H2405" s="3">
        <v>45154.399930555555</v>
      </c>
      <c r="I2405" s="3">
        <v>45154.399918981479</v>
      </c>
      <c r="J2405" s="3">
        <v>43834.638101851851</v>
      </c>
      <c r="K2405" cm="1">
        <f t="array" ref="K2405">sentimentCalc(C2405)</f>
        <v>0</v>
      </c>
      <c r="L2405" t="str" cm="1">
        <f t="array" ref="L2405">sentimentCategory(K2405)</f>
        <v>Neutral</v>
      </c>
    </row>
    <row r="2406" spans="1:12" x14ac:dyDescent="0.25">
      <c r="A2406" t="s">
        <v>188</v>
      </c>
      <c r="B2406" t="s">
        <v>189</v>
      </c>
      <c r="C2406" t="str" cm="1">
        <f t="array" ref="C2406">CleanText(B2406)</f>
        <v>only good thing in this movie are ryan gosling and the set masterpiece rest is mehh and does not fulfill what it pretends</v>
      </c>
      <c r="D2406">
        <v>1</v>
      </c>
      <c r="E2406">
        <v>0</v>
      </c>
      <c r="F2406" t="s">
        <v>10</v>
      </c>
      <c r="G2406" t="str" cm="1">
        <f t="array" ref="G2406">FindCountryName(F2406)</f>
        <v>None</v>
      </c>
      <c r="H2406" s="3">
        <v>45335.109837962962</v>
      </c>
      <c r="I2406" s="3">
        <v>45335.109837962962</v>
      </c>
      <c r="J2406" s="3">
        <v>41586.692430555559</v>
      </c>
      <c r="K2406" cm="1">
        <f t="array" ref="K2406">sentimentCalc(C2406)</f>
        <v>8</v>
      </c>
      <c r="L2406" t="str" cm="1">
        <f t="array" ref="L2406">sentimentCategory(K2406)</f>
        <v>Positive</v>
      </c>
    </row>
    <row r="2407" spans="1:12" x14ac:dyDescent="0.25">
      <c r="A2407" t="s">
        <v>176</v>
      </c>
      <c r="B2407" t="s">
        <v>177</v>
      </c>
      <c r="C2407" t="str" cm="1">
        <f t="array" ref="C2407">CleanText(B2407)</f>
        <v>only in this nonsense generation would a film this ridiculous be nominated for an oscar</v>
      </c>
      <c r="D2407">
        <v>1</v>
      </c>
      <c r="E2407">
        <v>3</v>
      </c>
      <c r="F2407" t="s">
        <v>10</v>
      </c>
      <c r="G2407" t="str" cm="1">
        <f t="array" ref="G2407">FindCountryName(F2407)</f>
        <v>None</v>
      </c>
      <c r="H2407" s="3">
        <v>45336.33734953704</v>
      </c>
      <c r="I2407" s="3">
        <v>45336.33734953704</v>
      </c>
      <c r="J2407" s="3">
        <v>38943.469918981478</v>
      </c>
      <c r="K2407" cm="1">
        <f t="array" ref="K2407">sentimentCalc(C2407)</f>
        <v>-5</v>
      </c>
      <c r="L2407" t="str" cm="1">
        <f t="array" ref="L2407">sentimentCategory(K2407)</f>
        <v>Negative</v>
      </c>
    </row>
    <row r="2408" spans="1:12" x14ac:dyDescent="0.25">
      <c r="A2408" t="s">
        <v>362</v>
      </c>
      <c r="B2408" t="s">
        <v>3254</v>
      </c>
      <c r="C2408" t="str" cm="1">
        <f t="array" ref="C2408">CleanText(B2408)</f>
        <v>only just watched it well worth a sequel</v>
      </c>
      <c r="D2408">
        <v>0</v>
      </c>
      <c r="E2408">
        <v>0</v>
      </c>
      <c r="F2408" t="s">
        <v>10</v>
      </c>
      <c r="G2408" t="str" cm="1">
        <f t="array" ref="G2408">FindCountryName(F2408)</f>
        <v>None</v>
      </c>
      <c r="H2408" s="3">
        <v>45151.351585648146</v>
      </c>
      <c r="I2408" s="3">
        <v>45151.351585648146</v>
      </c>
      <c r="J2408" s="3">
        <v>45147.504699074074</v>
      </c>
      <c r="K2408" cm="1">
        <f t="array" ref="K2408">sentimentCalc(C2408)</f>
        <v>2</v>
      </c>
      <c r="L2408" t="str" cm="1">
        <f t="array" ref="L2408">sentimentCategory(K2408)</f>
        <v>Positive</v>
      </c>
    </row>
    <row r="2409" spans="1:12" x14ac:dyDescent="0.25">
      <c r="A2409" t="s">
        <v>898</v>
      </c>
      <c r="B2409" t="s">
        <v>2728</v>
      </c>
      <c r="C2409" t="str" cm="1">
        <f t="array" ref="C2409">CleanText(B2409)</f>
        <v>only oppenheimer</v>
      </c>
      <c r="D2409">
        <v>0</v>
      </c>
      <c r="E2409">
        <v>0</v>
      </c>
      <c r="F2409" t="s">
        <v>10</v>
      </c>
      <c r="G2409" t="str" cm="1">
        <f t="array" ref="G2409">FindCountryName(F2409)</f>
        <v>None</v>
      </c>
      <c r="H2409" s="3">
        <v>45159.182511574072</v>
      </c>
      <c r="I2409" s="3">
        <v>45159.182511574072</v>
      </c>
      <c r="J2409" s="3">
        <v>45124.436655092592</v>
      </c>
      <c r="K2409" cm="1">
        <f t="array" ref="K2409">sentimentCalc(C2409)</f>
        <v>0</v>
      </c>
      <c r="L2409" t="str" cm="1">
        <f t="array" ref="L2409">sentimentCategory(K2409)</f>
        <v>Neutral</v>
      </c>
    </row>
    <row r="2410" spans="1:12" x14ac:dyDescent="0.25">
      <c r="A2410" t="s">
        <v>3028</v>
      </c>
      <c r="B2410" t="s">
        <v>3029</v>
      </c>
      <c r="C2410" t="str" cm="1">
        <f t="array" ref="C2410">CleanText(B2410)</f>
        <v>only the stupid and those without awareness will watch such nonsense that you do not know is the destruction of their future who weigh  and sit on a chair and eat for thousands of years and express their opinion on anything that supports homosexuality and sexual suggestion</v>
      </c>
      <c r="D2410">
        <v>3</v>
      </c>
      <c r="E2410">
        <v>1</v>
      </c>
      <c r="F2410" t="s">
        <v>10</v>
      </c>
      <c r="G2410" t="str" cm="1">
        <f t="array" ref="G2410">FindCountryName(F2410)</f>
        <v>None</v>
      </c>
      <c r="H2410" s="3">
        <v>45154.32099537037</v>
      </c>
      <c r="I2410" s="3">
        <v>45154.32099537037</v>
      </c>
      <c r="J2410" s="3">
        <v>44653.652118055557</v>
      </c>
      <c r="K2410" cm="1">
        <f t="array" ref="K2410">sentimentCalc(C2410)</f>
        <v>-5</v>
      </c>
      <c r="L2410" t="str" cm="1">
        <f t="array" ref="L2410">sentimentCategory(K2410)</f>
        <v>Negative</v>
      </c>
    </row>
    <row r="2411" spans="1:12" x14ac:dyDescent="0.25">
      <c r="A2411" t="s">
        <v>3023</v>
      </c>
      <c r="B2411" t="s">
        <v>3024</v>
      </c>
      <c r="C2411" t="str" cm="1">
        <f t="array" ref="C2411">CleanText(B2411)</f>
        <v>n</v>
      </c>
      <c r="D2411">
        <v>1</v>
      </c>
      <c r="E2411">
        <v>1</v>
      </c>
      <c r="F2411" t="s">
        <v>10</v>
      </c>
      <c r="G2411" t="str" cm="1">
        <f t="array" ref="G2411">FindCountryName(F2411)</f>
        <v>None</v>
      </c>
      <c r="H2411" s="3">
        <v>45154.36037037037</v>
      </c>
      <c r="I2411" s="3">
        <v>45154.36037037037</v>
      </c>
      <c r="J2411" s="3">
        <v>43591.461238425924</v>
      </c>
      <c r="K2411" cm="1">
        <f t="array" ref="K2411">sentimentCalc(C2411)</f>
        <v>0</v>
      </c>
      <c r="L2411" t="str" cm="1">
        <f t="array" ref="L2411">sentimentCategory(K2411)</f>
        <v>Neutral</v>
      </c>
    </row>
    <row r="2412" spans="1:12" x14ac:dyDescent="0.25">
      <c r="A2412" t="s">
        <v>1157</v>
      </c>
      <c r="B2412" t="s">
        <v>2859</v>
      </c>
      <c r="C2412" t="str" cm="1">
        <f t="array" ref="C2412">CleanText(B2412)</f>
        <v>opemhimer is still better</v>
      </c>
      <c r="D2412">
        <v>0</v>
      </c>
      <c r="E2412">
        <v>0</v>
      </c>
      <c r="F2412" t="s">
        <v>10</v>
      </c>
      <c r="G2412" t="str" cm="1">
        <f t="array" ref="G2412">FindCountryName(F2412)</f>
        <v>None</v>
      </c>
      <c r="H2412" s="3">
        <v>45156.783078703702</v>
      </c>
      <c r="I2412" s="3">
        <v>45156.783078703702</v>
      </c>
      <c r="J2412" s="3">
        <v>44074.719594907408</v>
      </c>
      <c r="K2412" cm="1">
        <f t="array" ref="K2412">sentimentCalc(C2412)</f>
        <v>2</v>
      </c>
      <c r="L2412" t="str" cm="1">
        <f t="array" ref="L2412">sentimentCategory(K2412)</f>
        <v>Positive</v>
      </c>
    </row>
    <row r="2413" spans="1:12" x14ac:dyDescent="0.25">
      <c r="A2413" t="s">
        <v>566</v>
      </c>
      <c r="B2413" t="s">
        <v>2234</v>
      </c>
      <c r="C2413" t="str" cm="1">
        <f t="array" ref="C2413">CleanText(B2413)</f>
        <v>openheimar</v>
      </c>
      <c r="D2413">
        <v>0</v>
      </c>
      <c r="E2413">
        <v>0</v>
      </c>
      <c r="F2413" t="s">
        <v>10</v>
      </c>
      <c r="G2413" t="str" cm="1">
        <f t="array" ref="G2413">FindCountryName(F2413)</f>
        <v>None</v>
      </c>
      <c r="H2413" s="3">
        <v>45175.221099537041</v>
      </c>
      <c r="I2413" s="3">
        <v>45175.221099537041</v>
      </c>
      <c r="J2413" s="3">
        <v>42759.134664351855</v>
      </c>
      <c r="K2413" cm="1">
        <f t="array" ref="K2413">sentimentCalc(C2413)</f>
        <v>0</v>
      </c>
      <c r="L2413" t="str" cm="1">
        <f t="array" ref="L2413">sentimentCategory(K2413)</f>
        <v>Neutral</v>
      </c>
    </row>
    <row r="2414" spans="1:12" x14ac:dyDescent="0.25">
      <c r="A2414" t="s">
        <v>17</v>
      </c>
      <c r="B2414" t="s">
        <v>3099</v>
      </c>
      <c r="C2414" t="str" cm="1">
        <f t="array" ref="C2414">CleanText(B2414)</f>
        <v>openheimer is better and thats why it got banned in kuwait</v>
      </c>
      <c r="D2414">
        <v>0</v>
      </c>
      <c r="E2414">
        <v>0</v>
      </c>
      <c r="F2414" t="s">
        <v>10</v>
      </c>
      <c r="G2414" t="str" cm="1">
        <f t="array" ref="G2414">FindCountryName(F2414)</f>
        <v>None</v>
      </c>
      <c r="H2414" s="3">
        <v>45153.458865740744</v>
      </c>
      <c r="I2414" s="3">
        <v>45153.458865740744</v>
      </c>
      <c r="J2414" s="3">
        <v>44367.106064814812</v>
      </c>
      <c r="K2414" cm="1">
        <f t="array" ref="K2414">sentimentCalc(C2414)</f>
        <v>0</v>
      </c>
      <c r="L2414" t="str" cm="1">
        <f t="array" ref="L2414">sentimentCategory(K2414)</f>
        <v>Neutral</v>
      </c>
    </row>
    <row r="2415" spans="1:12" x14ac:dyDescent="0.25">
      <c r="A2415" t="s">
        <v>3187</v>
      </c>
      <c r="B2415" t="s">
        <v>4177</v>
      </c>
      <c r="C2415" t="str" cm="1">
        <f t="array" ref="C2415">CleanText(B2415)</f>
        <v>openhiemer</v>
      </c>
      <c r="D2415">
        <v>3</v>
      </c>
      <c r="E2415">
        <v>0</v>
      </c>
      <c r="F2415" t="s">
        <v>10</v>
      </c>
      <c r="G2415" t="str" cm="1">
        <f t="array" ref="G2415">FindCountryName(F2415)</f>
        <v>None</v>
      </c>
      <c r="H2415" s="3">
        <v>45142.289837962962</v>
      </c>
      <c r="I2415" s="3">
        <v>45142.289837962962</v>
      </c>
      <c r="J2415" s="3">
        <v>42911.319178240738</v>
      </c>
      <c r="K2415" cm="1">
        <f t="array" ref="K2415">sentimentCalc(C2415)</f>
        <v>0</v>
      </c>
      <c r="L2415" t="str" cm="1">
        <f t="array" ref="L2415">sentimentCategory(K2415)</f>
        <v>Neutral</v>
      </c>
    </row>
    <row r="2416" spans="1:12" x14ac:dyDescent="0.25">
      <c r="A2416" t="s">
        <v>201</v>
      </c>
      <c r="B2416" t="s">
        <v>4252</v>
      </c>
      <c r="C2416" t="str" cm="1">
        <f t="array" ref="C2416">CleanText(B2416)</f>
        <v>openhiemer betteeeer</v>
      </c>
      <c r="D2416">
        <v>4</v>
      </c>
      <c r="E2416">
        <v>1</v>
      </c>
      <c r="F2416" t="s">
        <v>10</v>
      </c>
      <c r="G2416" t="str" cm="1">
        <f t="array" ref="G2416">FindCountryName(F2416)</f>
        <v>None</v>
      </c>
      <c r="H2416" s="3">
        <v>45141.453726851854</v>
      </c>
      <c r="I2416" s="3">
        <v>45141.453726851854</v>
      </c>
      <c r="J2416" s="3">
        <v>45108.058020833334</v>
      </c>
      <c r="K2416" cm="1">
        <f t="array" ref="K2416">sentimentCalc(C2416)</f>
        <v>0</v>
      </c>
      <c r="L2416" t="str" cm="1">
        <f t="array" ref="L2416">sentimentCategory(K2416)</f>
        <v>Neutral</v>
      </c>
    </row>
    <row r="2417" spans="1:12" x14ac:dyDescent="0.25">
      <c r="A2417" t="s">
        <v>158</v>
      </c>
      <c r="B2417" t="s">
        <v>4126</v>
      </c>
      <c r="C2417" t="str" cm="1">
        <f t="array" ref="C2417">CleanText(B2417)</f>
        <v>oppenheimer</v>
      </c>
      <c r="D2417">
        <v>2</v>
      </c>
      <c r="E2417">
        <v>0</v>
      </c>
      <c r="F2417" t="s">
        <v>10</v>
      </c>
      <c r="G2417" t="str" cm="1">
        <f t="array" ref="G2417">FindCountryName(F2417)</f>
        <v>None</v>
      </c>
      <c r="H2417" s="3">
        <v>45142.655219907407</v>
      </c>
      <c r="I2417" s="3">
        <v>45142.655219907407</v>
      </c>
      <c r="J2417" s="3">
        <v>41226.136412037034</v>
      </c>
      <c r="K2417" cm="1">
        <f t="array" ref="K2417">sentimentCalc(C2417)</f>
        <v>0</v>
      </c>
      <c r="L2417" t="str" cm="1">
        <f t="array" ref="L2417">sentimentCategory(K2417)</f>
        <v>Neutral</v>
      </c>
    </row>
    <row r="2418" spans="1:12" x14ac:dyDescent="0.25">
      <c r="A2418" t="s">
        <v>372</v>
      </c>
      <c r="B2418" t="s">
        <v>3604</v>
      </c>
      <c r="C2418" t="str" cm="1">
        <f t="array" ref="C2418">CleanText(B2418)</f>
        <v>oppenheimer</v>
      </c>
      <c r="D2418">
        <v>0</v>
      </c>
      <c r="E2418">
        <v>0</v>
      </c>
      <c r="F2418" t="s">
        <v>10</v>
      </c>
      <c r="G2418" t="str" cm="1">
        <f t="array" ref="G2418">FindCountryName(F2418)</f>
        <v>None</v>
      </c>
      <c r="H2418" s="3">
        <v>45147.228182870371</v>
      </c>
      <c r="I2418" s="3">
        <v>45147.228182870371</v>
      </c>
      <c r="J2418" s="3">
        <v>44892.202349537038</v>
      </c>
      <c r="K2418" cm="1">
        <f t="array" ref="K2418">sentimentCalc(C2418)</f>
        <v>0</v>
      </c>
      <c r="L2418" t="str" cm="1">
        <f t="array" ref="L2418">sentimentCategory(K2418)</f>
        <v>Neutral</v>
      </c>
    </row>
    <row r="2419" spans="1:12" x14ac:dyDescent="0.25">
      <c r="A2419" t="s">
        <v>135</v>
      </c>
      <c r="B2419" t="s">
        <v>2030</v>
      </c>
      <c r="C2419" t="str" cm="1">
        <f t="array" ref="C2419">CleanText(B2419)</f>
        <v>oppenheimer cry now</v>
      </c>
      <c r="D2419">
        <v>0</v>
      </c>
      <c r="E2419">
        <v>0</v>
      </c>
      <c r="F2419" t="s">
        <v>10</v>
      </c>
      <c r="G2419" t="str" cm="1">
        <f t="array" ref="G2419">FindCountryName(F2419)</f>
        <v>None</v>
      </c>
      <c r="H2419" s="3">
        <v>45183.584907407407</v>
      </c>
      <c r="I2419" s="3">
        <v>45183.584907407407</v>
      </c>
      <c r="J2419" s="3">
        <v>44941.544745370367</v>
      </c>
      <c r="K2419" cm="1">
        <f t="array" ref="K2419">sentimentCalc(C2419)</f>
        <v>-1</v>
      </c>
      <c r="L2419" t="str" cm="1">
        <f t="array" ref="L2419">sentimentCategory(K2419)</f>
        <v>Negative</v>
      </c>
    </row>
    <row r="2420" spans="1:12" x14ac:dyDescent="0.25">
      <c r="A2420" t="s">
        <v>25</v>
      </c>
      <c r="B2420" t="s">
        <v>4420</v>
      </c>
      <c r="C2420" t="str" cm="1">
        <f t="array" ref="C2420">CleanText(B2420)</f>
        <v>oppenheimer death stare</v>
      </c>
      <c r="D2420">
        <v>2</v>
      </c>
      <c r="E2420">
        <v>1</v>
      </c>
      <c r="F2420" t="s">
        <v>10</v>
      </c>
      <c r="G2420" t="str" cm="1">
        <f t="array" ref="G2420">FindCountryName(F2420)</f>
        <v>None</v>
      </c>
      <c r="H2420" s="3">
        <v>45140.372129629628</v>
      </c>
      <c r="I2420" s="3">
        <v>45140.372129629628</v>
      </c>
      <c r="J2420" s="3">
        <v>44267.998657407406</v>
      </c>
      <c r="K2420" cm="1">
        <f t="array" ref="K2420">sentimentCalc(C2420)</f>
        <v>-2</v>
      </c>
      <c r="L2420" t="str" cm="1">
        <f t="array" ref="L2420">sentimentCategory(K2420)</f>
        <v>Negative</v>
      </c>
    </row>
    <row r="2421" spans="1:12" x14ac:dyDescent="0.25">
      <c r="A2421" t="s">
        <v>553</v>
      </c>
      <c r="B2421" t="s">
        <v>3821</v>
      </c>
      <c r="C2421" t="str" cm="1">
        <f t="array" ref="C2421">CleanText(B2421)</f>
        <v>oppenheimer</v>
      </c>
      <c r="D2421">
        <v>3</v>
      </c>
      <c r="E2421">
        <v>0</v>
      </c>
      <c r="F2421" t="s">
        <v>10</v>
      </c>
      <c r="G2421" t="str" cm="1">
        <f t="array" ref="G2421">FindCountryName(F2421)</f>
        <v>None</v>
      </c>
      <c r="H2421" s="3">
        <v>45145.270567129628</v>
      </c>
      <c r="I2421" s="3">
        <v>45145.270567129628</v>
      </c>
      <c r="J2421" s="3">
        <v>44849.053981481484</v>
      </c>
      <c r="K2421" cm="1">
        <f t="array" ref="K2421">sentimentCalc(C2421)</f>
        <v>0</v>
      </c>
      <c r="L2421" t="str" cm="1">
        <f t="array" ref="L2421">sentimentCategory(K2421)</f>
        <v>Neutral</v>
      </c>
    </row>
    <row r="2422" spans="1:12" x14ac:dyDescent="0.25">
      <c r="A2422" t="s">
        <v>209</v>
      </c>
      <c r="B2422" t="s">
        <v>800</v>
      </c>
      <c r="C2422" t="str" cm="1">
        <f t="array" ref="C2422">CleanText(B2422)</f>
        <v>oppenheimer</v>
      </c>
      <c r="D2422">
        <v>0</v>
      </c>
      <c r="E2422">
        <v>0</v>
      </c>
      <c r="F2422" t="s">
        <v>10</v>
      </c>
      <c r="G2422" t="str" cm="1">
        <f t="array" ref="G2422">FindCountryName(F2422)</f>
        <v>None</v>
      </c>
      <c r="H2422" s="3">
        <v>45307.205081018517</v>
      </c>
      <c r="I2422" s="3">
        <v>45307.205081018517</v>
      </c>
      <c r="J2422" s="3">
        <v>43057.446342592593</v>
      </c>
      <c r="K2422" cm="1">
        <f t="array" ref="K2422">sentimentCalc(C2422)</f>
        <v>0</v>
      </c>
      <c r="L2422" t="str" cm="1">
        <f t="array" ref="L2422">sentimentCategory(K2422)</f>
        <v>Neutral</v>
      </c>
    </row>
    <row r="2423" spans="1:12" x14ac:dyDescent="0.25">
      <c r="A2423" t="s">
        <v>832</v>
      </c>
      <c r="B2423" t="s">
        <v>4371</v>
      </c>
      <c r="C2423" t="str" cm="1">
        <f t="array" ref="C2423">CleanText(B2423)</f>
        <v>oppenheimer entered the chat</v>
      </c>
      <c r="D2423">
        <v>1</v>
      </c>
      <c r="E2423">
        <v>1</v>
      </c>
      <c r="F2423" t="s">
        <v>10</v>
      </c>
      <c r="G2423" t="str" cm="1">
        <f t="array" ref="G2423">FindCountryName(F2423)</f>
        <v>None</v>
      </c>
      <c r="H2423" s="3">
        <v>45140.581990740742</v>
      </c>
      <c r="I2423" s="3">
        <v>45140.581990740742</v>
      </c>
      <c r="J2423" s="3">
        <v>44109.13585648148</v>
      </c>
      <c r="K2423" cm="1">
        <f t="array" ref="K2423">sentimentCalc(C2423)</f>
        <v>0</v>
      </c>
      <c r="L2423" t="str" cm="1">
        <f t="array" ref="L2423">sentimentCategory(K2423)</f>
        <v>Neutral</v>
      </c>
    </row>
    <row r="2424" spans="1:12" x14ac:dyDescent="0.25">
      <c r="A2424" t="s">
        <v>292</v>
      </c>
      <c r="B2424" t="s">
        <v>2968</v>
      </c>
      <c r="C2424" t="str" cm="1">
        <f t="array" ref="C2424">CleanText(B2424)</f>
        <v>oppenheimer fans like here</v>
      </c>
      <c r="D2424">
        <v>1</v>
      </c>
      <c r="E2424">
        <v>0</v>
      </c>
      <c r="F2424" t="s">
        <v>10</v>
      </c>
      <c r="G2424" t="str" cm="1">
        <f t="array" ref="G2424">FindCountryName(F2424)</f>
        <v>None</v>
      </c>
      <c r="H2424" s="3">
        <v>45155.233402777776</v>
      </c>
      <c r="I2424" s="3">
        <v>45155.233402777776</v>
      </c>
      <c r="J2424" s="3">
        <v>44183.551354166666</v>
      </c>
      <c r="K2424" cm="1">
        <f t="array" ref="K2424">sentimentCalc(C2424)</f>
        <v>2</v>
      </c>
      <c r="L2424" t="str" cm="1">
        <f t="array" ref="L2424">sentimentCategory(K2424)</f>
        <v>Positive</v>
      </c>
    </row>
    <row r="2425" spans="1:12" x14ac:dyDescent="0.25">
      <c r="A2425" t="s">
        <v>197</v>
      </c>
      <c r="B2425" t="s">
        <v>3439</v>
      </c>
      <c r="C2425" t="str" cm="1">
        <f t="array" ref="C2425">CleanText(B2425)</f>
        <v>oppenheimer is better</v>
      </c>
      <c r="D2425">
        <v>2</v>
      </c>
      <c r="E2425">
        <v>1</v>
      </c>
      <c r="F2425" t="s">
        <v>10</v>
      </c>
      <c r="G2425" t="str" cm="1">
        <f t="array" ref="G2425">FindCountryName(F2425)</f>
        <v>None</v>
      </c>
      <c r="H2425" s="3">
        <v>45148.902615740742</v>
      </c>
      <c r="I2425" s="3">
        <v>45148.902615740742</v>
      </c>
      <c r="J2425" s="3">
        <v>43075.143483796295</v>
      </c>
      <c r="K2425" cm="1">
        <f t="array" ref="K2425">sentimentCalc(C2425)</f>
        <v>2</v>
      </c>
      <c r="L2425" t="str" cm="1">
        <f t="array" ref="L2425">sentimentCategory(K2425)</f>
        <v>Positive</v>
      </c>
    </row>
    <row r="2426" spans="1:12" x14ac:dyDescent="0.25">
      <c r="A2426" t="s">
        <v>861</v>
      </c>
      <c r="B2426" t="s">
        <v>2304</v>
      </c>
      <c r="C2426" t="str" cm="1">
        <f t="array" ref="C2426">CleanText(B2426)</f>
        <v>oppenheimer is even better</v>
      </c>
      <c r="D2426">
        <v>1</v>
      </c>
      <c r="E2426">
        <v>0</v>
      </c>
      <c r="F2426" t="s">
        <v>10</v>
      </c>
      <c r="G2426" t="str" cm="1">
        <f t="array" ref="G2426">FindCountryName(F2426)</f>
        <v>None</v>
      </c>
      <c r="H2426" s="3">
        <v>45172.317893518521</v>
      </c>
      <c r="I2426" s="3">
        <v>45172.317881944444</v>
      </c>
      <c r="J2426" s="3">
        <v>44943.492731481485</v>
      </c>
      <c r="K2426" cm="1">
        <f t="array" ref="K2426">sentimentCalc(C2426)</f>
        <v>2</v>
      </c>
      <c r="L2426" t="str" cm="1">
        <f t="array" ref="L2426">sentimentCategory(K2426)</f>
        <v>Positive</v>
      </c>
    </row>
    <row r="2427" spans="1:12" x14ac:dyDescent="0.25">
      <c r="A2427" t="s">
        <v>73</v>
      </c>
      <c r="B2427" t="s">
        <v>2798</v>
      </c>
      <c r="C2427" t="str" cm="1">
        <f t="array" ref="C2427">CleanText(B2427)</f>
        <v>oppenheimer is still x better</v>
      </c>
      <c r="D2427">
        <v>1</v>
      </c>
      <c r="E2427">
        <v>0</v>
      </c>
      <c r="F2427" t="s">
        <v>10</v>
      </c>
      <c r="G2427" t="str" cm="1">
        <f t="array" ref="G2427">FindCountryName(F2427)</f>
        <v>None</v>
      </c>
      <c r="H2427" s="3">
        <v>45157.735590277778</v>
      </c>
      <c r="I2427" s="3">
        <v>45157.735590277778</v>
      </c>
      <c r="J2427" s="3">
        <v>44386.642395833333</v>
      </c>
      <c r="K2427" cm="1">
        <f t="array" ref="K2427">sentimentCalc(C2427)</f>
        <v>2</v>
      </c>
      <c r="L2427" t="str" cm="1">
        <f t="array" ref="L2427">sentimentCategory(K2427)</f>
        <v>Positive</v>
      </c>
    </row>
    <row r="2428" spans="1:12" x14ac:dyDescent="0.25">
      <c r="A2428" t="s">
        <v>1582</v>
      </c>
      <c r="B2428" t="s">
        <v>3548</v>
      </c>
      <c r="C2428" t="str" cm="1">
        <f t="array" ref="C2428">CleanText(B2428)</f>
        <v>oppenheimer owns this fcking bad feminist movie</v>
      </c>
      <c r="D2428">
        <v>0</v>
      </c>
      <c r="E2428">
        <v>0</v>
      </c>
      <c r="F2428" t="s">
        <v>1050</v>
      </c>
      <c r="G2428" t="str" cm="1">
        <f t="array" ref="G2428">FindCountryName(F2428)</f>
        <v>Germany</v>
      </c>
      <c r="H2428" s="3">
        <v>45147.60429398148</v>
      </c>
      <c r="I2428" s="3">
        <v>45147.60429398148</v>
      </c>
      <c r="J2428" s="3">
        <v>43678.223668981482</v>
      </c>
      <c r="K2428" cm="1">
        <f t="array" ref="K2428">sentimentCalc(C2428)</f>
        <v>-3</v>
      </c>
      <c r="L2428" t="str" cm="1">
        <f t="array" ref="L2428">sentimentCategory(K2428)</f>
        <v>Negative</v>
      </c>
    </row>
    <row r="2429" spans="1:12" x14ac:dyDescent="0.25">
      <c r="A2429" t="s">
        <v>2322</v>
      </c>
      <c r="B2429" t="s">
        <v>3769</v>
      </c>
      <c r="C2429" t="str" cm="1">
        <f t="array" ref="C2429">CleanText(B2429)</f>
        <v>oppenheimer</v>
      </c>
      <c r="D2429">
        <v>1</v>
      </c>
      <c r="E2429">
        <v>0</v>
      </c>
      <c r="F2429" t="s">
        <v>10</v>
      </c>
      <c r="G2429" t="str" cm="1">
        <f t="array" ref="G2429">FindCountryName(F2429)</f>
        <v>None</v>
      </c>
      <c r="H2429" s="3">
        <v>45145.615937499999</v>
      </c>
      <c r="I2429" s="3">
        <v>45145.615937499999</v>
      </c>
      <c r="J2429" s="3">
        <v>44329.113263888888</v>
      </c>
      <c r="K2429" cm="1">
        <f t="array" ref="K2429">sentimentCalc(C2429)</f>
        <v>0</v>
      </c>
      <c r="L2429" t="str" cm="1">
        <f t="array" ref="L2429">sentimentCategory(K2429)</f>
        <v>Neutral</v>
      </c>
    </row>
    <row r="2430" spans="1:12" x14ac:dyDescent="0.25">
      <c r="A2430" t="s">
        <v>481</v>
      </c>
      <c r="B2430" t="s">
        <v>4233</v>
      </c>
      <c r="C2430" t="str" cm="1">
        <f t="array" ref="C2430">CleanText(B2430)</f>
        <v>oppenheimerbarbieslava russiaz</v>
      </c>
      <c r="D2430">
        <v>0</v>
      </c>
      <c r="E2430">
        <v>0</v>
      </c>
      <c r="F2430" t="s">
        <v>10</v>
      </c>
      <c r="G2430" t="str" cm="1">
        <f t="array" ref="G2430">FindCountryName(F2430)</f>
        <v>None</v>
      </c>
      <c r="H2430" s="3">
        <v>45141.660833333335</v>
      </c>
      <c r="I2430" s="3">
        <v>45141.660833333335</v>
      </c>
      <c r="J2430" s="3">
        <v>42683.24827546296</v>
      </c>
      <c r="K2430" cm="1">
        <f t="array" ref="K2430">sentimentCalc(C2430)</f>
        <v>0</v>
      </c>
      <c r="L2430" t="str" cm="1">
        <f t="array" ref="L2430">sentimentCategory(K2430)</f>
        <v>Neutral</v>
      </c>
    </row>
    <row r="2431" spans="1:12" x14ac:dyDescent="0.25">
      <c r="A2431" t="s">
        <v>3840</v>
      </c>
      <c r="B2431" t="s">
        <v>3841</v>
      </c>
      <c r="C2431" t="str" cm="1">
        <f t="array" ref="C2431">CleanText(B2431)</f>
        <v>oppenheimer</v>
      </c>
      <c r="D2431">
        <v>2</v>
      </c>
      <c r="E2431">
        <v>1</v>
      </c>
      <c r="F2431" t="s">
        <v>10</v>
      </c>
      <c r="G2431" t="str" cm="1">
        <f t="array" ref="G2431">FindCountryName(F2431)</f>
        <v>None</v>
      </c>
      <c r="H2431" s="3">
        <v>45145.062418981484</v>
      </c>
      <c r="I2431" s="3">
        <v>45145.062418981484</v>
      </c>
      <c r="J2431" s="3">
        <v>44562.053043981483</v>
      </c>
      <c r="K2431" cm="1">
        <f t="array" ref="K2431">sentimentCalc(C2431)</f>
        <v>0</v>
      </c>
      <c r="L2431" t="str" cm="1">
        <f t="array" ref="L2431">sentimentCategory(K2431)</f>
        <v>Neutral</v>
      </c>
    </row>
    <row r="2432" spans="1:12" x14ac:dyDescent="0.25">
      <c r="A2432" t="s">
        <v>955</v>
      </c>
      <c r="B2432" t="s">
        <v>3680</v>
      </c>
      <c r="C2432" t="str" cm="1">
        <f t="array" ref="C2432">CleanText(B2432)</f>
        <v>oscar nomination confirm for  make up and hairstyle production design costume design</v>
      </c>
      <c r="D2432">
        <v>2</v>
      </c>
      <c r="E2432">
        <v>1</v>
      </c>
      <c r="F2432" t="s">
        <v>1073</v>
      </c>
      <c r="G2432" t="str" cm="1">
        <f t="array" ref="G2432">FindCountryName(F2432)</f>
        <v>India</v>
      </c>
      <c r="H2432" s="3">
        <v>45146.497789351852</v>
      </c>
      <c r="I2432" s="3">
        <v>45146.497789351852</v>
      </c>
      <c r="J2432" s="3">
        <v>42137.1328125</v>
      </c>
      <c r="K2432" cm="1">
        <f t="array" ref="K2432">sentimentCalc(C2432)</f>
        <v>0</v>
      </c>
      <c r="L2432" t="str" cm="1">
        <f t="array" ref="L2432">sentimentCategory(K2432)</f>
        <v>Neutral</v>
      </c>
    </row>
    <row r="2433" spans="1:12" x14ac:dyDescent="0.25">
      <c r="A2433" t="s">
        <v>895</v>
      </c>
      <c r="B2433" t="s">
        <v>1778</v>
      </c>
      <c r="C2433" t="str" cm="1">
        <f t="array" ref="C2433">CleanText(B2433)</f>
        <v>otimo video</v>
      </c>
      <c r="D2433">
        <v>0</v>
      </c>
      <c r="E2433">
        <v>0</v>
      </c>
      <c r="F2433" t="s">
        <v>10</v>
      </c>
      <c r="G2433" t="str" cm="1">
        <f t="array" ref="G2433">FindCountryName(F2433)</f>
        <v>None</v>
      </c>
      <c r="H2433" s="3">
        <v>45195.618935185186</v>
      </c>
      <c r="I2433" s="3">
        <v>45195.618935185186</v>
      </c>
      <c r="J2433" s="3">
        <v>41957.312361111108</v>
      </c>
      <c r="K2433" cm="1">
        <f t="array" ref="K2433">sentimentCalc(C2433)</f>
        <v>0</v>
      </c>
      <c r="L2433" t="str" cm="1">
        <f t="array" ref="L2433">sentimentCategory(K2433)</f>
        <v>Neutral</v>
      </c>
    </row>
    <row r="2434" spans="1:12" x14ac:dyDescent="0.25">
      <c r="A2434" t="s">
        <v>315</v>
      </c>
      <c r="B2434" t="s">
        <v>2688</v>
      </c>
      <c r="C2434" t="str" cm="1">
        <f t="array" ref="C2434">CleanText(B2434)</f>
        <v>ou are kenough</v>
      </c>
      <c r="D2434">
        <v>0</v>
      </c>
      <c r="E2434">
        <v>0</v>
      </c>
      <c r="F2434" t="s">
        <v>10</v>
      </c>
      <c r="G2434" t="str" cm="1">
        <f t="array" ref="G2434">FindCountryName(F2434)</f>
        <v>None</v>
      </c>
      <c r="H2434" s="3">
        <v>45160.121076388888</v>
      </c>
      <c r="I2434" s="3">
        <v>45160.121076388888</v>
      </c>
      <c r="J2434" s="3">
        <v>42601.542569444442</v>
      </c>
      <c r="K2434" cm="1">
        <f t="array" ref="K2434">sentimentCalc(C2434)</f>
        <v>0</v>
      </c>
      <c r="L2434" t="str" cm="1">
        <f t="array" ref="L2434">sentimentCategory(K2434)</f>
        <v>Neutral</v>
      </c>
    </row>
    <row r="2435" spans="1:12" x14ac:dyDescent="0.25">
      <c r="A2435" t="s">
        <v>453</v>
      </c>
      <c r="B2435" t="s">
        <v>870</v>
      </c>
      <c r="C2435" t="str" cm="1">
        <f t="array" ref="C2435">CleanText(B2435)</f>
        <v>n</v>
      </c>
      <c r="D2435">
        <v>0</v>
      </c>
      <c r="E2435">
        <v>0</v>
      </c>
      <c r="F2435" t="s">
        <v>10</v>
      </c>
      <c r="G2435" t="str" cm="1">
        <f t="array" ref="G2435">FindCountryName(F2435)</f>
        <v>None</v>
      </c>
      <c r="H2435" s="3">
        <v>45299.421307870369</v>
      </c>
      <c r="I2435" s="3">
        <v>45299.421307870369</v>
      </c>
      <c r="J2435" s="3">
        <v>44238.235671296294</v>
      </c>
      <c r="K2435" cm="1">
        <f t="array" ref="K2435">sentimentCalc(C2435)</f>
        <v>0</v>
      </c>
      <c r="L2435" t="str" cm="1">
        <f t="array" ref="L2435">sentimentCategory(K2435)</f>
        <v>Neutral</v>
      </c>
    </row>
    <row r="2436" spans="1:12" x14ac:dyDescent="0.25">
      <c r="A2436" t="s">
        <v>1790</v>
      </c>
      <c r="B2436" t="s">
        <v>1791</v>
      </c>
      <c r="C2436" t="str" cm="1">
        <f t="array" ref="C2436">CleanText(B2436)</f>
        <v>n</v>
      </c>
      <c r="D2436">
        <v>0</v>
      </c>
      <c r="E2436">
        <v>1</v>
      </c>
      <c r="F2436" t="s">
        <v>10</v>
      </c>
      <c r="G2436" t="str" cm="1">
        <f t="array" ref="G2436">FindCountryName(F2436)</f>
        <v>None</v>
      </c>
      <c r="H2436" s="3">
        <v>45194.555243055554</v>
      </c>
      <c r="I2436" s="3">
        <v>45194.555243055554</v>
      </c>
      <c r="J2436" s="3">
        <v>45041.78324074074</v>
      </c>
      <c r="K2436" cm="1">
        <f t="array" ref="K2436">sentimentCalc(C2436)</f>
        <v>0</v>
      </c>
      <c r="L2436" t="str" cm="1">
        <f t="array" ref="L2436">sentimentCategory(K2436)</f>
        <v>Neutral</v>
      </c>
    </row>
    <row r="2437" spans="1:12" x14ac:dyDescent="0.25">
      <c r="A2437" t="s">
        <v>4346</v>
      </c>
      <c r="B2437" t="s">
        <v>4347</v>
      </c>
      <c r="C2437" t="str" cm="1">
        <f t="array" ref="C2437">CleanText(B2437)</f>
        <v>our work is never over</v>
      </c>
      <c r="D2437">
        <v>0</v>
      </c>
      <c r="E2437">
        <v>0</v>
      </c>
      <c r="F2437" t="s">
        <v>10</v>
      </c>
      <c r="G2437" t="str" cm="1">
        <f t="array" ref="G2437">FindCountryName(F2437)</f>
        <v>None</v>
      </c>
      <c r="H2437" s="3">
        <v>45140.749166666668</v>
      </c>
      <c r="I2437" s="3">
        <v>45140.749166666668</v>
      </c>
      <c r="J2437" s="3">
        <v>45011.678425925929</v>
      </c>
      <c r="K2437" cm="1">
        <f t="array" ref="K2437">sentimentCalc(C2437)</f>
        <v>0</v>
      </c>
      <c r="L2437" t="str" cm="1">
        <f t="array" ref="L2437">sentimentCategory(K2437)</f>
        <v>Neutral</v>
      </c>
    </row>
    <row r="2438" spans="1:12" x14ac:dyDescent="0.25">
      <c r="A2438" t="s">
        <v>3266</v>
      </c>
      <c r="B2438" t="s">
        <v>3267</v>
      </c>
      <c r="C2438" t="str" cm="1">
        <f t="array" ref="C2438">CleanText(B2438)</f>
        <v>overrated</v>
      </c>
      <c r="D2438">
        <v>6</v>
      </c>
      <c r="E2438">
        <v>3</v>
      </c>
      <c r="F2438" t="s">
        <v>10</v>
      </c>
      <c r="G2438" t="str" cm="1">
        <f t="array" ref="G2438">FindCountryName(F2438)</f>
        <v>None</v>
      </c>
      <c r="H2438" s="3">
        <v>45151.051678240743</v>
      </c>
      <c r="I2438" s="3">
        <v>45151.051666666666</v>
      </c>
      <c r="J2438" s="3">
        <v>41981.342314814814</v>
      </c>
      <c r="K2438" cm="1">
        <f t="array" ref="K2438">sentimentCalc(C2438)</f>
        <v>0</v>
      </c>
      <c r="L2438" t="str" cm="1">
        <f t="array" ref="L2438">sentimentCategory(K2438)</f>
        <v>Neutral</v>
      </c>
    </row>
    <row r="2439" spans="1:12" x14ac:dyDescent="0.25">
      <c r="A2439" t="s">
        <v>3714</v>
      </c>
      <c r="B2439" t="s">
        <v>3715</v>
      </c>
      <c r="C2439" t="str" cm="1">
        <f t="array" ref="C2439">CleanText(B2439)</f>
        <v>ow mo barbie</v>
      </c>
      <c r="D2439">
        <v>0</v>
      </c>
      <c r="E2439">
        <v>0</v>
      </c>
      <c r="F2439" t="s">
        <v>10</v>
      </c>
      <c r="G2439" t="str" cm="1">
        <f t="array" ref="G2439">FindCountryName(F2439)</f>
        <v>None</v>
      </c>
      <c r="H2439" s="3">
        <v>45146.114606481482</v>
      </c>
      <c r="I2439" s="3">
        <v>45146.114606481482</v>
      </c>
      <c r="J2439" s="3">
        <v>44967.137094907404</v>
      </c>
      <c r="K2439" cm="1">
        <f t="array" ref="K2439">sentimentCalc(C2439)</f>
        <v>0</v>
      </c>
      <c r="L2439" t="str" cm="1">
        <f t="array" ref="L2439">sentimentCategory(K2439)</f>
        <v>Neutral</v>
      </c>
    </row>
    <row r="2440" spans="1:12" x14ac:dyDescent="0.25">
      <c r="A2440" t="s">
        <v>410</v>
      </c>
      <c r="B2440" t="s">
        <v>411</v>
      </c>
      <c r="C2440" t="str" cm="1">
        <f t="array" ref="C2440">CleanText(B2440)</f>
        <v>oyunculuklar gzeldi</v>
      </c>
      <c r="D2440">
        <v>0</v>
      </c>
      <c r="E2440">
        <v>0</v>
      </c>
      <c r="F2440" t="s">
        <v>10</v>
      </c>
      <c r="G2440" t="str" cm="1">
        <f t="array" ref="G2440">FindCountryName(F2440)</f>
        <v>None</v>
      </c>
      <c r="H2440" s="3">
        <v>45322.27238425926</v>
      </c>
      <c r="I2440" s="3">
        <v>45322.27238425926</v>
      </c>
      <c r="J2440" s="3">
        <v>43839.640856481485</v>
      </c>
      <c r="K2440" cm="1">
        <f t="array" ref="K2440">sentimentCalc(C2440)</f>
        <v>0</v>
      </c>
      <c r="L2440" t="str" cm="1">
        <f t="array" ref="L2440">sentimentCategory(K2440)</f>
        <v>Neutral</v>
      </c>
    </row>
    <row r="2441" spans="1:12" x14ac:dyDescent="0.25">
      <c r="A2441" t="s">
        <v>2194</v>
      </c>
      <c r="B2441" t="s">
        <v>2195</v>
      </c>
      <c r="C2441" t="str" cm="1">
        <f t="array" ref="C2441">CleanText(B2441)</f>
        <v>p</v>
      </c>
      <c r="D2441">
        <v>0</v>
      </c>
      <c r="E2441">
        <v>0</v>
      </c>
      <c r="F2441" t="s">
        <v>10</v>
      </c>
      <c r="G2441" t="str" cm="1">
        <f t="array" ref="G2441">FindCountryName(F2441)</f>
        <v>None</v>
      </c>
      <c r="H2441" s="3">
        <v>45176.185833333337</v>
      </c>
      <c r="I2441" s="3">
        <v>45176.185833333337</v>
      </c>
      <c r="J2441" s="3">
        <v>45009.464560185188</v>
      </c>
      <c r="K2441" cm="1">
        <f t="array" ref="K2441">sentimentCalc(C2441)</f>
        <v>0</v>
      </c>
      <c r="L2441" t="str" cm="1">
        <f t="array" ref="L2441">sentimentCategory(K2441)</f>
        <v>Neutral</v>
      </c>
    </row>
    <row r="2442" spans="1:12" x14ac:dyDescent="0.25">
      <c r="A2442" t="s">
        <v>840</v>
      </c>
      <c r="B2442" t="s">
        <v>4124</v>
      </c>
      <c r="C2442" t="str" cm="1">
        <f t="array" ref="C2442">CleanText(B2442)</f>
        <v>paint the town</v>
      </c>
      <c r="D2442">
        <v>0</v>
      </c>
      <c r="E2442">
        <v>0</v>
      </c>
      <c r="F2442" t="s">
        <v>227</v>
      </c>
      <c r="G2442" t="str" cm="1">
        <f t="array" ref="G2442">FindCountryName(F2442)</f>
        <v>United States of America (the)</v>
      </c>
      <c r="H2442" s="3">
        <v>45142.665625000001</v>
      </c>
      <c r="I2442" s="3">
        <v>45142.665625000001</v>
      </c>
      <c r="J2442" s="3">
        <v>44935.021087962959</v>
      </c>
      <c r="K2442" cm="1">
        <f t="array" ref="K2442">sentimentCalc(C2442)</f>
        <v>0</v>
      </c>
      <c r="L2442" t="str" cm="1">
        <f t="array" ref="L2442">sentimentCategory(K2442)</f>
        <v>Neutral</v>
      </c>
    </row>
    <row r="2443" spans="1:12" x14ac:dyDescent="0.25">
      <c r="A2443" t="s">
        <v>1345</v>
      </c>
      <c r="B2443" t="s">
        <v>1346</v>
      </c>
      <c r="C2443" t="str" cm="1">
        <f t="array" ref="C2443">CleanText(B2443)</f>
        <v>paixonada</v>
      </c>
      <c r="D2443">
        <v>1</v>
      </c>
      <c r="E2443">
        <v>0</v>
      </c>
      <c r="F2443" t="s">
        <v>10</v>
      </c>
      <c r="G2443" t="str" cm="1">
        <f t="array" ref="G2443">FindCountryName(F2443)</f>
        <v>None</v>
      </c>
      <c r="H2443" s="3">
        <v>45242.580335648148</v>
      </c>
      <c r="I2443" s="3">
        <v>45242.580335648148</v>
      </c>
      <c r="J2443" s="3">
        <v>45242.43482638889</v>
      </c>
      <c r="K2443" cm="1">
        <f t="array" ref="K2443">sentimentCalc(C2443)</f>
        <v>0</v>
      </c>
      <c r="L2443" t="str" cm="1">
        <f t="array" ref="L2443">sentimentCategory(K2443)</f>
        <v>Neutral</v>
      </c>
    </row>
    <row r="2444" spans="1:12" x14ac:dyDescent="0.25">
      <c r="A2444" t="s">
        <v>1602</v>
      </c>
      <c r="B2444" t="s">
        <v>2256</v>
      </c>
      <c r="C2444" t="str" cm="1">
        <f t="array" ref="C2444">CleanText(B2444)</f>
        <v>pangit ni ken haha maganda at pogi pa  barbie ng animation</v>
      </c>
      <c r="D2444">
        <v>0</v>
      </c>
      <c r="E2444">
        <v>0</v>
      </c>
      <c r="F2444" t="s">
        <v>2257</v>
      </c>
      <c r="G2444" t="str" cm="1">
        <f t="array" ref="G2444">FindCountryName(F2444)</f>
        <v>Philippines (the)</v>
      </c>
      <c r="H2444" s="3">
        <v>45173.752881944441</v>
      </c>
      <c r="I2444" s="3">
        <v>45173.752881944441</v>
      </c>
      <c r="J2444" s="3">
        <v>43888.374467592592</v>
      </c>
      <c r="K2444" cm="1">
        <f t="array" ref="K2444">sentimentCalc(C2444)</f>
        <v>0</v>
      </c>
      <c r="L2444" t="str" cm="1">
        <f t="array" ref="L2444">sentimentCategory(K2444)</f>
        <v>Neutral</v>
      </c>
    </row>
    <row r="2445" spans="1:12" x14ac:dyDescent="0.25">
      <c r="A2445" t="s">
        <v>358</v>
      </c>
      <c r="B2445" t="s">
        <v>3986</v>
      </c>
      <c r="C2445" t="str" cm="1">
        <f t="array" ref="C2445">CleanText(B2445)</f>
        <v>pardon me while i barff this is perfect foor the brain dead</v>
      </c>
      <c r="D2445">
        <v>0</v>
      </c>
      <c r="E2445">
        <v>0</v>
      </c>
      <c r="F2445" t="s">
        <v>10</v>
      </c>
      <c r="G2445" t="str" cm="1">
        <f t="array" ref="G2445">FindCountryName(F2445)</f>
        <v>None</v>
      </c>
      <c r="H2445" s="3">
        <v>45143.972199074073</v>
      </c>
      <c r="I2445" s="3">
        <v>45143.972199074073</v>
      </c>
      <c r="J2445" s="3">
        <v>42449.663101851853</v>
      </c>
      <c r="K2445" cm="1">
        <f t="array" ref="K2445">sentimentCalc(C2445)</f>
        <v>2</v>
      </c>
      <c r="L2445" t="str" cm="1">
        <f t="array" ref="L2445">sentimentCategory(K2445)</f>
        <v>Positive</v>
      </c>
    </row>
    <row r="2446" spans="1:12" x14ac:dyDescent="0.25">
      <c r="A2446" t="s">
        <v>655</v>
      </c>
      <c r="B2446" t="s">
        <v>775</v>
      </c>
      <c r="C2446" t="str" cm="1">
        <f t="array" ref="C2446">CleanText(B2446)</f>
        <v>pastel renkler filmi mkemmel ve izlenilesi klm lgi ekici bir filme benziyor</v>
      </c>
      <c r="D2446">
        <v>0</v>
      </c>
      <c r="E2446">
        <v>0</v>
      </c>
      <c r="F2446" t="s">
        <v>10</v>
      </c>
      <c r="G2446" t="str" cm="1">
        <f t="array" ref="G2446">FindCountryName(F2446)</f>
        <v>None</v>
      </c>
      <c r="H2446" s="3">
        <v>45308.347870370373</v>
      </c>
      <c r="I2446" s="3">
        <v>45308.347870370373</v>
      </c>
      <c r="J2446" s="3">
        <v>44461.181354166663</v>
      </c>
      <c r="K2446" cm="1">
        <f t="array" ref="K2446">sentimentCalc(C2446)</f>
        <v>0</v>
      </c>
      <c r="L2446" t="str" cm="1">
        <f t="array" ref="L2446">sentimentCategory(K2446)</f>
        <v>Neutral</v>
      </c>
    </row>
    <row r="2447" spans="1:12" x14ac:dyDescent="0.25">
      <c r="A2447" t="s">
        <v>2810</v>
      </c>
      <c r="B2447" t="s">
        <v>2811</v>
      </c>
      <c r="C2447" t="str" cm="1">
        <f t="array" ref="C2447">CleanText(B2447)</f>
        <v>pathetic world we live in</v>
      </c>
      <c r="D2447">
        <v>0</v>
      </c>
      <c r="E2447">
        <v>4</v>
      </c>
      <c r="F2447" t="s">
        <v>10</v>
      </c>
      <c r="G2447" t="str" cm="1">
        <f t="array" ref="G2447">FindCountryName(F2447)</f>
        <v>None</v>
      </c>
      <c r="H2447" s="3">
        <v>45157.584513888891</v>
      </c>
      <c r="I2447" s="3">
        <v>45157.584513888891</v>
      </c>
      <c r="J2447" s="3">
        <v>44519.321192129632</v>
      </c>
      <c r="K2447" cm="1">
        <f t="array" ref="K2447">sentimentCalc(C2447)</f>
        <v>-2</v>
      </c>
      <c r="L2447" t="str" cm="1">
        <f t="array" ref="L2447">sentimentCategory(K2447)</f>
        <v>Negative</v>
      </c>
    </row>
    <row r="2448" spans="1:12" x14ac:dyDescent="0.25">
      <c r="A2448" t="s">
        <v>1112</v>
      </c>
      <c r="B2448" t="s">
        <v>1945</v>
      </c>
      <c r="C2448" t="str" cm="1">
        <f t="array" ref="C2448">CleanText(B2448)</f>
        <v>pathetic</v>
      </c>
      <c r="D2448">
        <v>0</v>
      </c>
      <c r="E2448">
        <v>0</v>
      </c>
      <c r="F2448" t="s">
        <v>10</v>
      </c>
      <c r="G2448" t="str" cm="1">
        <f t="array" ref="G2448">FindCountryName(F2448)</f>
        <v>None</v>
      </c>
      <c r="H2448" s="3">
        <v>45186.986979166664</v>
      </c>
      <c r="I2448" s="3">
        <v>45186.986979166664</v>
      </c>
      <c r="J2448" s="3">
        <v>43384.387662037036</v>
      </c>
      <c r="K2448" cm="1">
        <f t="array" ref="K2448">sentimentCalc(C2448)</f>
        <v>-2</v>
      </c>
      <c r="L2448" t="str" cm="1">
        <f t="array" ref="L2448">sentimentCategory(K2448)</f>
        <v>Negative</v>
      </c>
    </row>
    <row r="2449" spans="1:12" x14ac:dyDescent="0.25">
      <c r="A2449" t="s">
        <v>571</v>
      </c>
      <c r="B2449" t="s">
        <v>1479</v>
      </c>
      <c r="C2449" t="str" cm="1">
        <f t="array" ref="C2449">CleanText(B2449)</f>
        <v>people actually watched this</v>
      </c>
      <c r="D2449">
        <v>0</v>
      </c>
      <c r="E2449">
        <v>6</v>
      </c>
      <c r="F2449" t="s">
        <v>10</v>
      </c>
      <c r="G2449" t="str" cm="1">
        <f t="array" ref="G2449">FindCountryName(F2449)</f>
        <v>None</v>
      </c>
      <c r="H2449" s="3">
        <v>45224.505393518521</v>
      </c>
      <c r="I2449" s="3">
        <v>45224.505393518521</v>
      </c>
      <c r="J2449" s="3">
        <v>42086.108564814815</v>
      </c>
      <c r="K2449" cm="1">
        <f t="array" ref="K2449">sentimentCalc(C2449)</f>
        <v>0</v>
      </c>
      <c r="L2449" t="str" cm="1">
        <f t="array" ref="L2449">sentimentCategory(K2449)</f>
        <v>Neutral</v>
      </c>
    </row>
    <row r="2450" spans="1:12" x14ac:dyDescent="0.25">
      <c r="A2450" t="s">
        <v>4085</v>
      </c>
      <c r="B2450" t="s">
        <v>4202</v>
      </c>
      <c r="C2450" t="str" cm="1">
        <f t="array" ref="C2450">CleanText(B2450)</f>
        <v>people in the reply sections are fighting for their lives trying to explain why a movie they never watched sucked with opinions based on a critical drinker or ben sharpiro video</v>
      </c>
      <c r="D2450">
        <v>3</v>
      </c>
      <c r="E2450">
        <v>6</v>
      </c>
      <c r="F2450" t="s">
        <v>10</v>
      </c>
      <c r="G2450" t="str" cm="1">
        <f t="array" ref="G2450">FindCountryName(F2450)</f>
        <v>None</v>
      </c>
      <c r="H2450" s="3">
        <v>45141.976030092592</v>
      </c>
      <c r="I2450" s="3">
        <v>45141.976030092592</v>
      </c>
      <c r="J2450" s="3">
        <v>44718.4378125</v>
      </c>
      <c r="K2450" cm="1">
        <f t="array" ref="K2450">sentimentCalc(C2450)</f>
        <v>0</v>
      </c>
      <c r="L2450" t="str" cm="1">
        <f t="array" ref="L2450">sentimentCategory(K2450)</f>
        <v>Neutral</v>
      </c>
    </row>
    <row r="2451" spans="1:12" x14ac:dyDescent="0.25">
      <c r="A2451" t="s">
        <v>60</v>
      </c>
      <c r="B2451" t="s">
        <v>3159</v>
      </c>
      <c r="C2451" t="str" cm="1">
        <f t="array" ref="C2451">CleanText(B2451)</f>
        <v>people like this garbage</v>
      </c>
      <c r="D2451">
        <v>5</v>
      </c>
      <c r="E2451">
        <v>0</v>
      </c>
      <c r="F2451" t="s">
        <v>10</v>
      </c>
      <c r="G2451" t="str" cm="1">
        <f t="array" ref="G2451">FindCountryName(F2451)</f>
        <v>None</v>
      </c>
      <c r="H2451" s="3">
        <v>45152.578402777777</v>
      </c>
      <c r="I2451" s="3">
        <v>45152.578402777777</v>
      </c>
      <c r="J2451" s="3">
        <v>42008.577280092592</v>
      </c>
      <c r="K2451" cm="1">
        <f t="array" ref="K2451">sentimentCalc(C2451)</f>
        <v>2</v>
      </c>
      <c r="L2451" t="str" cm="1">
        <f t="array" ref="L2451">sentimentCategory(K2451)</f>
        <v>Positive</v>
      </c>
    </row>
    <row r="2452" spans="1:12" x14ac:dyDescent="0.25">
      <c r="A2452" t="s">
        <v>118</v>
      </c>
      <c r="B2452" t="s">
        <v>4402</v>
      </c>
      <c r="C2452" t="str" cm="1">
        <f t="array" ref="C2452">CleanText(B2452)</f>
        <v>people paid to see this</v>
      </c>
      <c r="D2452">
        <v>0</v>
      </c>
      <c r="E2452">
        <v>1</v>
      </c>
      <c r="F2452" t="s">
        <v>10</v>
      </c>
      <c r="G2452" t="str" cm="1">
        <f t="array" ref="G2452">FindCountryName(F2452)</f>
        <v>None</v>
      </c>
      <c r="H2452" s="3">
        <v>45140.446377314816</v>
      </c>
      <c r="I2452" s="3">
        <v>45140.446377314816</v>
      </c>
      <c r="J2452" s="3">
        <v>44809.897210648145</v>
      </c>
      <c r="K2452" cm="1">
        <f t="array" ref="K2452">sentimentCalc(C2452)</f>
        <v>0</v>
      </c>
      <c r="L2452" t="str" cm="1">
        <f t="array" ref="L2452">sentimentCategory(K2452)</f>
        <v>Neutral</v>
      </c>
    </row>
    <row r="2453" spans="1:12" x14ac:dyDescent="0.25">
      <c r="A2453" t="s">
        <v>3133</v>
      </c>
      <c r="B2453" t="s">
        <v>3134</v>
      </c>
      <c r="C2453" t="str" cm="1">
        <f t="array" ref="C2453">CleanText(B2453)</f>
        <v>people really watch such rubbishgosh iq gone down badly</v>
      </c>
      <c r="D2453">
        <v>4</v>
      </c>
      <c r="E2453">
        <v>2</v>
      </c>
      <c r="F2453" t="s">
        <v>10</v>
      </c>
      <c r="G2453" t="str" cm="1">
        <f t="array" ref="G2453">FindCountryName(F2453)</f>
        <v>None</v>
      </c>
      <c r="H2453" s="3">
        <v>45152.805844907409</v>
      </c>
      <c r="I2453" s="3">
        <v>45152.805833333332</v>
      </c>
      <c r="J2453" s="3">
        <v>43760.847395833334</v>
      </c>
      <c r="K2453" cm="1">
        <f t="array" ref="K2453">sentimentCalc(C2453)</f>
        <v>-3</v>
      </c>
      <c r="L2453" t="str" cm="1">
        <f t="array" ref="L2453">sentimentCategory(K2453)</f>
        <v>Negative</v>
      </c>
    </row>
    <row r="2454" spans="1:12" x14ac:dyDescent="0.25">
      <c r="A2454" t="s">
        <v>1433</v>
      </c>
      <c r="B2454" t="s">
        <v>3361</v>
      </c>
      <c r="C2454" t="str" cm="1">
        <f t="array" ref="C2454">CleanText(B2454)</f>
        <v>people they are laughing at you the men are women and the women are men</v>
      </c>
      <c r="D2454">
        <v>0</v>
      </c>
      <c r="E2454">
        <v>0</v>
      </c>
      <c r="F2454" t="s">
        <v>10</v>
      </c>
      <c r="G2454" t="str" cm="1">
        <f t="array" ref="G2454">FindCountryName(F2454)</f>
        <v>None</v>
      </c>
      <c r="H2454" s="3">
        <v>45149.663506944446</v>
      </c>
      <c r="I2454" s="3">
        <v>45149.663495370369</v>
      </c>
      <c r="J2454" s="3">
        <v>44426.117581018516</v>
      </c>
      <c r="K2454" cm="1">
        <f t="array" ref="K2454">sentimentCalc(C2454)</f>
        <v>1</v>
      </c>
      <c r="L2454" t="str" cm="1">
        <f t="array" ref="L2454">sentimentCategory(K2454)</f>
        <v>Positive</v>
      </c>
    </row>
    <row r="2455" spans="1:12" x14ac:dyDescent="0.25">
      <c r="A2455" t="s">
        <v>1503</v>
      </c>
      <c r="B2455" t="s">
        <v>3282</v>
      </c>
      <c r="C2455" t="str" cm="1">
        <f t="array" ref="C2455">CleanText(B2455)</f>
        <v>people watching people pretend to be toys that children saw as role models because of marketing the whole premise of it is materialism</v>
      </c>
      <c r="D2455">
        <v>2</v>
      </c>
      <c r="E2455">
        <v>1</v>
      </c>
      <c r="F2455" t="s">
        <v>10</v>
      </c>
      <c r="G2455" t="str" cm="1">
        <f t="array" ref="G2455">FindCountryName(F2455)</f>
        <v>None</v>
      </c>
      <c r="H2455" s="3">
        <v>45150.795138888891</v>
      </c>
      <c r="I2455" s="3">
        <v>45150.795127314814</v>
      </c>
      <c r="J2455" s="3">
        <v>41203.48946759259</v>
      </c>
      <c r="K2455" cm="1">
        <f t="array" ref="K2455">sentimentCalc(C2455)</f>
        <v>-1</v>
      </c>
      <c r="L2455" t="str" cm="1">
        <f t="array" ref="L2455">sentimentCategory(K2455)</f>
        <v>Negative</v>
      </c>
    </row>
    <row r="2456" spans="1:12" x14ac:dyDescent="0.25">
      <c r="A2456" t="s">
        <v>2182</v>
      </c>
      <c r="B2456" t="s">
        <v>2183</v>
      </c>
      <c r="C2456" t="str" cm="1">
        <f t="array" ref="C2456">CleanText(B2456)</f>
        <v>people who love this movie honestly must have an iq in single digits</v>
      </c>
      <c r="D2456">
        <v>2</v>
      </c>
      <c r="E2456">
        <v>3</v>
      </c>
      <c r="F2456" t="s">
        <v>10</v>
      </c>
      <c r="G2456" t="str" cm="1">
        <f t="array" ref="G2456">FindCountryName(F2456)</f>
        <v>None</v>
      </c>
      <c r="H2456" s="3">
        <v>45176.675219907411</v>
      </c>
      <c r="I2456" s="3">
        <v>45176.675219907411</v>
      </c>
      <c r="J2456" s="3">
        <v>41141.639155092591</v>
      </c>
      <c r="K2456" cm="1">
        <f t="array" ref="K2456">sentimentCalc(C2456)</f>
        <v>3</v>
      </c>
      <c r="L2456" t="str" cm="1">
        <f t="array" ref="L2456">sentimentCategory(K2456)</f>
        <v>Positive</v>
      </c>
    </row>
    <row r="2457" spans="1:12" x14ac:dyDescent="0.25">
      <c r="A2457" t="s">
        <v>788</v>
      </c>
      <c r="B2457" t="s">
        <v>3504</v>
      </c>
      <c r="C2457" t="str" cm="1">
        <f t="array" ref="C2457">CleanText(B2457)</f>
        <v>people who watch the movie first then watch the trailer i did tho</v>
      </c>
      <c r="D2457">
        <v>0</v>
      </c>
      <c r="E2457">
        <v>0</v>
      </c>
      <c r="F2457" t="s">
        <v>10</v>
      </c>
      <c r="G2457" t="str" cm="1">
        <f t="array" ref="G2457">FindCountryName(F2457)</f>
        <v>None</v>
      </c>
      <c r="H2457" s="3">
        <v>45148.187847222223</v>
      </c>
      <c r="I2457" s="3">
        <v>45148.187847222223</v>
      </c>
      <c r="J2457" s="3">
        <v>44642.965208333335</v>
      </c>
      <c r="K2457" cm="1">
        <f t="array" ref="K2457">sentimentCalc(C2457)</f>
        <v>0</v>
      </c>
      <c r="L2457" t="str" cm="1">
        <f t="array" ref="L2457">sentimentCategory(K2457)</f>
        <v>Neutral</v>
      </c>
    </row>
    <row r="2458" spans="1:12" x14ac:dyDescent="0.25">
      <c r="A2458" t="s">
        <v>3434</v>
      </c>
      <c r="B2458" t="s">
        <v>4230</v>
      </c>
      <c r="C2458" t="str" cm="1">
        <f t="array" ref="C2458">CleanText(B2458)</f>
        <v>people will going to actually waste time to watch this</v>
      </c>
      <c r="D2458">
        <v>1</v>
      </c>
      <c r="E2458">
        <v>0</v>
      </c>
      <c r="F2458" t="s">
        <v>10</v>
      </c>
      <c r="G2458" t="str" cm="1">
        <f t="array" ref="G2458">FindCountryName(F2458)</f>
        <v>None</v>
      </c>
      <c r="H2458" s="3">
        <v>45141.681273148148</v>
      </c>
      <c r="I2458" s="3">
        <v>45141.681273148148</v>
      </c>
      <c r="J2458" s="3">
        <v>45016.768460648149</v>
      </c>
      <c r="K2458" cm="1">
        <f t="array" ref="K2458">sentimentCalc(C2458)</f>
        <v>-1</v>
      </c>
      <c r="L2458" t="str" cm="1">
        <f t="array" ref="L2458">sentimentCategory(K2458)</f>
        <v>Negative</v>
      </c>
    </row>
    <row r="2459" spans="1:12" x14ac:dyDescent="0.25">
      <c r="A2459" t="s">
        <v>116</v>
      </c>
      <c r="B2459" t="s">
        <v>371</v>
      </c>
      <c r="C2459" t="str" cm="1">
        <f t="array" ref="C2459">CleanText(B2459)</f>
        <v>perfect</v>
      </c>
      <c r="D2459">
        <v>0</v>
      </c>
      <c r="E2459">
        <v>0</v>
      </c>
      <c r="F2459" t="s">
        <v>10</v>
      </c>
      <c r="G2459" t="str" cm="1">
        <f t="array" ref="G2459">FindCountryName(F2459)</f>
        <v>None</v>
      </c>
      <c r="H2459" s="3">
        <v>45322.274305555555</v>
      </c>
      <c r="I2459" s="3">
        <v>45322.274305555555</v>
      </c>
      <c r="J2459" s="3">
        <v>42583.664976851855</v>
      </c>
      <c r="K2459" cm="1">
        <f t="array" ref="K2459">sentimentCalc(C2459)</f>
        <v>3</v>
      </c>
      <c r="L2459" t="str" cm="1">
        <f t="array" ref="L2459">sentimentCategory(K2459)</f>
        <v>Positive</v>
      </c>
    </row>
    <row r="2460" spans="1:12" x14ac:dyDescent="0.25">
      <c r="A2460" t="s">
        <v>459</v>
      </c>
      <c r="B2460" t="s">
        <v>460</v>
      </c>
      <c r="C2460" t="str" cm="1">
        <f t="array" ref="C2460">CleanText(B2460)</f>
        <v>perfect</v>
      </c>
      <c r="D2460">
        <v>0</v>
      </c>
      <c r="E2460">
        <v>0</v>
      </c>
      <c r="F2460" t="s">
        <v>10</v>
      </c>
      <c r="G2460" t="str" cm="1">
        <f t="array" ref="G2460">FindCountryName(F2460)</f>
        <v>None</v>
      </c>
      <c r="H2460" s="3">
        <v>45322.271226851852</v>
      </c>
      <c r="I2460" s="3">
        <v>45322.271226851852</v>
      </c>
      <c r="J2460" s="3">
        <v>41684.502060185187</v>
      </c>
      <c r="K2460" cm="1">
        <f t="array" ref="K2460">sentimentCalc(C2460)</f>
        <v>3</v>
      </c>
      <c r="L2460" t="str" cm="1">
        <f t="array" ref="L2460">sentimentCategory(K2460)</f>
        <v>Positive</v>
      </c>
    </row>
    <row r="2461" spans="1:12" x14ac:dyDescent="0.25">
      <c r="A2461" t="s">
        <v>92</v>
      </c>
      <c r="B2461" t="s">
        <v>140</v>
      </c>
      <c r="C2461" t="str" cm="1">
        <f t="array" ref="C2461">CleanText(B2461)</f>
        <v>perfect good movie</v>
      </c>
      <c r="D2461">
        <v>0</v>
      </c>
      <c r="E2461">
        <v>0</v>
      </c>
      <c r="F2461" t="s">
        <v>10</v>
      </c>
      <c r="G2461" t="str" cm="1">
        <f t="array" ref="G2461">FindCountryName(F2461)</f>
        <v>None</v>
      </c>
      <c r="H2461" s="3">
        <v>45337.461238425924</v>
      </c>
      <c r="I2461" s="3">
        <v>45337.461238425924</v>
      </c>
      <c r="J2461" s="3">
        <v>43615.4062962963</v>
      </c>
      <c r="K2461" cm="1">
        <f t="array" ref="K2461">sentimentCalc(C2461)</f>
        <v>6</v>
      </c>
      <c r="L2461" t="str" cm="1">
        <f t="array" ref="L2461">sentimentCategory(K2461)</f>
        <v>Positive</v>
      </c>
    </row>
    <row r="2462" spans="1:12" x14ac:dyDescent="0.25">
      <c r="A2462" t="s">
        <v>126</v>
      </c>
      <c r="B2462" t="s">
        <v>909</v>
      </c>
      <c r="C2462" t="str" cm="1">
        <f t="array" ref="C2462">CleanText(B2462)</f>
        <v>perfect higligts</v>
      </c>
      <c r="D2462">
        <v>0</v>
      </c>
      <c r="E2462">
        <v>0</v>
      </c>
      <c r="F2462" t="s">
        <v>10</v>
      </c>
      <c r="G2462" t="str" cm="1">
        <f t="array" ref="G2462">FindCountryName(F2462)</f>
        <v>None</v>
      </c>
      <c r="H2462" s="3">
        <v>45299.282476851855</v>
      </c>
      <c r="I2462" s="3">
        <v>45299.282476851855</v>
      </c>
      <c r="J2462" s="3">
        <v>41202.514745370368</v>
      </c>
      <c r="K2462" cm="1">
        <f t="array" ref="K2462">sentimentCalc(C2462)</f>
        <v>3</v>
      </c>
      <c r="L2462" t="str" cm="1">
        <f t="array" ref="L2462">sentimentCategory(K2462)</f>
        <v>Positive</v>
      </c>
    </row>
    <row r="2463" spans="1:12" x14ac:dyDescent="0.25">
      <c r="A2463" t="s">
        <v>118</v>
      </c>
      <c r="B2463" t="s">
        <v>119</v>
      </c>
      <c r="C2463" t="str" cm="1">
        <f t="array" ref="C2463">CleanText(B2463)</f>
        <v>perfect literally</v>
      </c>
      <c r="D2463">
        <v>0</v>
      </c>
      <c r="E2463">
        <v>0</v>
      </c>
      <c r="F2463" t="s">
        <v>10</v>
      </c>
      <c r="G2463" t="str" cm="1">
        <f t="array" ref="G2463">FindCountryName(F2463)</f>
        <v>None</v>
      </c>
      <c r="H2463" s="3">
        <v>45337.474039351851</v>
      </c>
      <c r="I2463" s="3">
        <v>45337.474039351851</v>
      </c>
      <c r="J2463" s="3">
        <v>44939.160775462966</v>
      </c>
      <c r="K2463" cm="1">
        <f t="array" ref="K2463">sentimentCalc(C2463)</f>
        <v>3</v>
      </c>
      <c r="L2463" t="str" cm="1">
        <f t="array" ref="L2463">sentimentCategory(K2463)</f>
        <v>Positive</v>
      </c>
    </row>
    <row r="2464" spans="1:12" x14ac:dyDescent="0.25">
      <c r="A2464" t="s">
        <v>347</v>
      </c>
      <c r="B2464" t="s">
        <v>847</v>
      </c>
      <c r="C2464" t="str" cm="1">
        <f t="array" ref="C2464">CleanText(B2464)</f>
        <v>perfect movie</v>
      </c>
      <c r="D2464">
        <v>1</v>
      </c>
      <c r="E2464">
        <v>0</v>
      </c>
      <c r="F2464" t="s">
        <v>10</v>
      </c>
      <c r="G2464" t="str" cm="1">
        <f t="array" ref="G2464">FindCountryName(F2464)</f>
        <v>None</v>
      </c>
      <c r="H2464" s="3">
        <v>45300.975173611114</v>
      </c>
      <c r="I2464" s="3">
        <v>45300.975173611114</v>
      </c>
      <c r="J2464" s="3">
        <v>45300.654143518521</v>
      </c>
      <c r="K2464" cm="1">
        <f t="array" ref="K2464">sentimentCalc(C2464)</f>
        <v>3</v>
      </c>
      <c r="L2464" t="str" cm="1">
        <f t="array" ref="L2464">sentimentCategory(K2464)</f>
        <v>Positive</v>
      </c>
    </row>
    <row r="2465" spans="1:12" x14ac:dyDescent="0.25">
      <c r="A2465" t="s">
        <v>62</v>
      </c>
      <c r="B2465" t="s">
        <v>888</v>
      </c>
      <c r="C2465" t="str" cm="1">
        <f t="array" ref="C2465">CleanText(B2465)</f>
        <v>perfect</v>
      </c>
      <c r="D2465">
        <v>0</v>
      </c>
      <c r="E2465">
        <v>0</v>
      </c>
      <c r="F2465" t="s">
        <v>10</v>
      </c>
      <c r="G2465" t="str" cm="1">
        <f t="array" ref="G2465">FindCountryName(F2465)</f>
        <v>None</v>
      </c>
      <c r="H2465" s="3">
        <v>45299.322002314817</v>
      </c>
      <c r="I2465" s="3">
        <v>45299.322002314817</v>
      </c>
      <c r="J2465" s="3">
        <v>44514.727187500001</v>
      </c>
      <c r="K2465" cm="1">
        <f t="array" ref="K2465">sentimentCalc(C2465)</f>
        <v>3</v>
      </c>
      <c r="L2465" t="str" cm="1">
        <f t="array" ref="L2465">sentimentCategory(K2465)</f>
        <v>Positive</v>
      </c>
    </row>
    <row r="2466" spans="1:12" x14ac:dyDescent="0.25">
      <c r="A2466" t="s">
        <v>1337</v>
      </c>
      <c r="B2466" t="s">
        <v>1338</v>
      </c>
      <c r="C2466" t="str" cm="1">
        <f t="array" ref="C2466">CleanText(B2466)</f>
        <v>perfeito</v>
      </c>
      <c r="D2466">
        <v>1</v>
      </c>
      <c r="E2466">
        <v>0</v>
      </c>
      <c r="F2466" t="s">
        <v>10</v>
      </c>
      <c r="G2466" t="str" cm="1">
        <f t="array" ref="G2466">FindCountryName(F2466)</f>
        <v>None</v>
      </c>
      <c r="H2466" s="3">
        <v>45242.692245370374</v>
      </c>
      <c r="I2466" s="3">
        <v>45242.692245370374</v>
      </c>
      <c r="J2466" s="3">
        <v>43019.754699074074</v>
      </c>
      <c r="K2466" cm="1">
        <f t="array" ref="K2466">sentimentCalc(C2466)</f>
        <v>0</v>
      </c>
      <c r="L2466" t="str" cm="1">
        <f t="array" ref="L2466">sentimentCategory(K2466)</f>
        <v>Neutral</v>
      </c>
    </row>
    <row r="2467" spans="1:12" x14ac:dyDescent="0.25">
      <c r="A2467" t="s">
        <v>1442</v>
      </c>
      <c r="B2467" t="s">
        <v>1443</v>
      </c>
      <c r="C2467" t="str" cm="1">
        <f t="array" ref="C2467">CleanText(B2467)</f>
        <v>perfeitooooooooo j assisti e ameiiiii recomendo</v>
      </c>
      <c r="D2467">
        <v>0</v>
      </c>
      <c r="E2467">
        <v>0</v>
      </c>
      <c r="F2467" t="s">
        <v>10</v>
      </c>
      <c r="G2467" t="str" cm="1">
        <f t="array" ref="G2467">FindCountryName(F2467)</f>
        <v>None</v>
      </c>
      <c r="H2467" s="3">
        <v>45226.654502314814</v>
      </c>
      <c r="I2467" s="3">
        <v>45226.654502314814</v>
      </c>
      <c r="J2467" s="3">
        <v>45002.566481481481</v>
      </c>
      <c r="K2467" cm="1">
        <f t="array" ref="K2467">sentimentCalc(C2467)</f>
        <v>0</v>
      </c>
      <c r="L2467" t="str" cm="1">
        <f t="array" ref="L2467">sentimentCategory(K2467)</f>
        <v>Neutral</v>
      </c>
    </row>
    <row r="2468" spans="1:12" x14ac:dyDescent="0.25">
      <c r="A2468" t="s">
        <v>417</v>
      </c>
      <c r="B2468" t="s">
        <v>3093</v>
      </c>
      <c r="C2468" t="str" cm="1">
        <f t="array" ref="C2468">CleanText(B2468)</f>
        <v>pff i saw this pasing on video fg or yt channel never going watch this movie cause im a guy its a woman movie but i want to see if there was some guys in coments is have watch the movie and yes what a pussys there are here lol</v>
      </c>
      <c r="D2468">
        <v>0</v>
      </c>
      <c r="E2468">
        <v>0</v>
      </c>
      <c r="F2468" t="s">
        <v>10</v>
      </c>
      <c r="G2468" t="str" cm="1">
        <f t="array" ref="G2468">FindCountryName(F2468)</f>
        <v>None</v>
      </c>
      <c r="H2468" s="3">
        <v>45153.526770833334</v>
      </c>
      <c r="I2468" s="3">
        <v>45153.526770833334</v>
      </c>
      <c r="J2468" s="3">
        <v>44977.882835648146</v>
      </c>
      <c r="K2468" cm="1">
        <f t="array" ref="K2468">sentimentCalc(C2468)</f>
        <v>2</v>
      </c>
      <c r="L2468" t="str" cm="1">
        <f t="array" ref="L2468">sentimentCategory(K2468)</f>
        <v>Positive</v>
      </c>
    </row>
    <row r="2469" spans="1:12" x14ac:dyDescent="0.25">
      <c r="A2469" t="s">
        <v>1321</v>
      </c>
      <c r="B2469" t="s">
        <v>1322</v>
      </c>
      <c r="C2469" t="str" cm="1">
        <f t="array" ref="C2469">CleanText(B2469)</f>
        <v>pg   lol</v>
      </c>
      <c r="D2469">
        <v>1</v>
      </c>
      <c r="E2469">
        <v>0</v>
      </c>
      <c r="F2469" t="s">
        <v>10</v>
      </c>
      <c r="G2469" t="str" cm="1">
        <f t="array" ref="G2469">FindCountryName(F2469)</f>
        <v>None</v>
      </c>
      <c r="H2469" s="3">
        <v>45245.382511574076</v>
      </c>
      <c r="I2469" s="3">
        <v>45245.382511574076</v>
      </c>
      <c r="J2469" s="3">
        <v>41524.134895833333</v>
      </c>
      <c r="K2469" cm="1">
        <f t="array" ref="K2469">sentimentCalc(C2469)</f>
        <v>0</v>
      </c>
      <c r="L2469" t="str" cm="1">
        <f t="array" ref="L2469">sentimentCategory(K2469)</f>
        <v>Neutral</v>
      </c>
    </row>
    <row r="2470" spans="1:12" x14ac:dyDescent="0.25">
      <c r="A2470" t="s">
        <v>62</v>
      </c>
      <c r="B2470" t="s">
        <v>3966</v>
      </c>
      <c r="C2470" t="str" cm="1">
        <f t="array" ref="C2470">CleanText(B2470)</f>
        <v>pile of woke</v>
      </c>
      <c r="D2470">
        <v>2</v>
      </c>
      <c r="E2470">
        <v>2</v>
      </c>
      <c r="F2470" t="s">
        <v>10</v>
      </c>
      <c r="G2470" t="str" cm="1">
        <f t="array" ref="G2470">FindCountryName(F2470)</f>
        <v>None</v>
      </c>
      <c r="H2470" s="3">
        <v>45144.141979166663</v>
      </c>
      <c r="I2470" s="3">
        <v>45144.141979166663</v>
      </c>
      <c r="J2470" s="3">
        <v>44422.737638888888</v>
      </c>
      <c r="K2470" cm="1">
        <f t="array" ref="K2470">sentimentCalc(C2470)</f>
        <v>0</v>
      </c>
      <c r="L2470" t="str" cm="1">
        <f t="array" ref="L2470">sentimentCategory(K2470)</f>
        <v>Neutral</v>
      </c>
    </row>
    <row r="2471" spans="1:12" x14ac:dyDescent="0.25">
      <c r="A2471" t="s">
        <v>402</v>
      </c>
      <c r="B2471" t="s">
        <v>403</v>
      </c>
      <c r="C2471" t="str" cm="1">
        <f t="array" ref="C2471">CleanText(B2471)</f>
        <v>pink is not just the color pink is life for someone</v>
      </c>
      <c r="D2471">
        <v>1</v>
      </c>
      <c r="E2471">
        <v>0</v>
      </c>
      <c r="F2471" t="s">
        <v>139</v>
      </c>
      <c r="G2471" t="str" cm="1">
        <f t="array" ref="G2471">FindCountryName(F2471)</f>
        <v>Turkey</v>
      </c>
      <c r="H2471" s="3">
        <v>45322.272523148145</v>
      </c>
      <c r="I2471" s="3">
        <v>45322.272523148145</v>
      </c>
      <c r="J2471" s="3">
        <v>40733.919548611113</v>
      </c>
      <c r="K2471" cm="1">
        <f t="array" ref="K2471">sentimentCalc(C2471)</f>
        <v>0</v>
      </c>
      <c r="L2471" t="str" cm="1">
        <f t="array" ref="L2471">sentimentCategory(K2471)</f>
        <v>Neutral</v>
      </c>
    </row>
    <row r="2472" spans="1:12" x14ac:dyDescent="0.25">
      <c r="A2472" t="s">
        <v>405</v>
      </c>
      <c r="B2472" t="s">
        <v>4263</v>
      </c>
      <c r="C2472" t="str" cm="1">
        <f t="array" ref="C2472">CleanText(B2472)</f>
        <v>pinkpinkpink everywhere is pink</v>
      </c>
      <c r="D2472">
        <v>1</v>
      </c>
      <c r="E2472">
        <v>0</v>
      </c>
      <c r="F2472" t="s">
        <v>10</v>
      </c>
      <c r="G2472" t="str" cm="1">
        <f t="array" ref="G2472">FindCountryName(F2472)</f>
        <v>None</v>
      </c>
      <c r="H2472" s="3">
        <v>45141.396944444445</v>
      </c>
      <c r="I2472" s="3">
        <v>45141.396944444445</v>
      </c>
      <c r="J2472" s="3">
        <v>45141.396921296298</v>
      </c>
      <c r="K2472" cm="1">
        <f t="array" ref="K2472">sentimentCalc(C2472)</f>
        <v>0</v>
      </c>
      <c r="L2472" t="str" cm="1">
        <f t="array" ref="L2472">sentimentCategory(K2472)</f>
        <v>Neutral</v>
      </c>
    </row>
    <row r="2473" spans="1:12" x14ac:dyDescent="0.25">
      <c r="A2473" t="s">
        <v>707</v>
      </c>
      <c r="B2473" t="s">
        <v>4409</v>
      </c>
      <c r="C2473" t="str" cm="1">
        <f t="array" ref="C2473">CleanText(B2473)</f>
        <v>pink</v>
      </c>
      <c r="D2473">
        <v>0</v>
      </c>
      <c r="E2473">
        <v>0</v>
      </c>
      <c r="F2473" t="s">
        <v>10</v>
      </c>
      <c r="G2473" t="str" cm="1">
        <f t="array" ref="G2473">FindCountryName(F2473)</f>
        <v>None</v>
      </c>
      <c r="H2473" s="3">
        <v>45140.428171296298</v>
      </c>
      <c r="I2473" s="3">
        <v>45140.428171296298</v>
      </c>
      <c r="J2473" s="3">
        <v>43400.307916666665</v>
      </c>
      <c r="K2473" cm="1">
        <f t="array" ref="K2473">sentimentCalc(C2473)</f>
        <v>0</v>
      </c>
      <c r="L2473" t="str" cm="1">
        <f t="array" ref="L2473">sentimentCategory(K2473)</f>
        <v>Neutral</v>
      </c>
    </row>
    <row r="2474" spans="1:12" x14ac:dyDescent="0.25">
      <c r="A2474" t="s">
        <v>66</v>
      </c>
      <c r="B2474" t="s">
        <v>2653</v>
      </c>
      <c r="C2474" t="str" cm="1">
        <f t="array" ref="C2474">CleanText(B2474)</f>
        <v>plastic is forever</v>
      </c>
      <c r="D2474">
        <v>0</v>
      </c>
      <c r="E2474">
        <v>0</v>
      </c>
      <c r="F2474" t="s">
        <v>10</v>
      </c>
      <c r="G2474" t="str" cm="1">
        <f t="array" ref="G2474">FindCountryName(F2474)</f>
        <v>None</v>
      </c>
      <c r="H2474" s="3">
        <v>45160.645868055559</v>
      </c>
      <c r="I2474" s="3">
        <v>45160.645868055559</v>
      </c>
      <c r="J2474" s="3">
        <v>44915.84134259259</v>
      </c>
      <c r="K2474" cm="1">
        <f t="array" ref="K2474">sentimentCalc(C2474)</f>
        <v>0</v>
      </c>
      <c r="L2474" t="str" cm="1">
        <f t="array" ref="L2474">sentimentCategory(K2474)</f>
        <v>Neutral</v>
      </c>
    </row>
    <row r="2475" spans="1:12" x14ac:dyDescent="0.25">
      <c r="A2475" t="s">
        <v>382</v>
      </c>
      <c r="B2475" t="s">
        <v>4379</v>
      </c>
      <c r="C2475" t="str" cm="1">
        <f t="array" ref="C2475">CleanText(B2475)</f>
        <v>please dont insult japan</v>
      </c>
      <c r="D2475">
        <v>3</v>
      </c>
      <c r="E2475">
        <v>0</v>
      </c>
      <c r="F2475" t="s">
        <v>10</v>
      </c>
      <c r="G2475" t="str" cm="1">
        <f t="array" ref="G2475">FindCountryName(F2475)</f>
        <v>None</v>
      </c>
      <c r="H2475" s="3">
        <v>45140.541215277779</v>
      </c>
      <c r="I2475" s="3">
        <v>45140.541215277779</v>
      </c>
      <c r="J2475" s="3">
        <v>45033.507395833331</v>
      </c>
      <c r="K2475" cm="1">
        <f t="array" ref="K2475">sentimentCalc(C2475)</f>
        <v>-1</v>
      </c>
      <c r="L2475" t="str" cm="1">
        <f t="array" ref="L2475">sentimentCategory(K2475)</f>
        <v>Negative</v>
      </c>
    </row>
    <row r="2476" spans="1:12" x14ac:dyDescent="0.25">
      <c r="A2476" t="s">
        <v>1039</v>
      </c>
      <c r="B2476" t="s">
        <v>2556</v>
      </c>
      <c r="C2476" t="str" cm="1">
        <f t="array" ref="C2476">CleanText(B2476)</f>
        <v>please help me it was like a week ago i watched that movie and then im still sitting here crying</v>
      </c>
      <c r="D2476">
        <v>0</v>
      </c>
      <c r="E2476">
        <v>0</v>
      </c>
      <c r="F2476" t="s">
        <v>10</v>
      </c>
      <c r="G2476" t="str" cm="1">
        <f t="array" ref="G2476">FindCountryName(F2476)</f>
        <v>None</v>
      </c>
      <c r="H2476" s="3">
        <v>45163.448530092595</v>
      </c>
      <c r="I2476" s="3">
        <v>45163.448530092595</v>
      </c>
      <c r="J2476" s="3">
        <v>43781.705335648148</v>
      </c>
      <c r="K2476" cm="1">
        <f t="array" ref="K2476">sentimentCalc(C2476)</f>
        <v>3</v>
      </c>
      <c r="L2476" t="str" cm="1">
        <f t="array" ref="L2476">sentimentCategory(K2476)</f>
        <v>Positive</v>
      </c>
    </row>
    <row r="2477" spans="1:12" x14ac:dyDescent="0.25">
      <c r="A2477" t="s">
        <v>3833</v>
      </c>
      <c r="B2477" t="s">
        <v>3834</v>
      </c>
      <c r="C2477" t="str" cm="1">
        <f t="array" ref="C2477">CleanText(B2477)</f>
        <v>please pay big attention that childs crash baby dolls that in movie no childs its goobal ideas where is family propogands where is man who really strong man they show global future ideas</v>
      </c>
      <c r="D2477">
        <v>0</v>
      </c>
      <c r="E2477">
        <v>0</v>
      </c>
      <c r="F2477" t="s">
        <v>10</v>
      </c>
      <c r="G2477" t="str" cm="1">
        <f t="array" ref="G2477">FindCountryName(F2477)</f>
        <v>None</v>
      </c>
      <c r="H2477" s="3">
        <v>45145.168124999997</v>
      </c>
      <c r="I2477" s="3">
        <v>45145.168240740742</v>
      </c>
      <c r="J2477" s="3">
        <v>41705.388043981482</v>
      </c>
      <c r="K2477" cm="1">
        <f t="array" ref="K2477">sentimentCalc(C2477)</f>
        <v>0</v>
      </c>
      <c r="L2477" t="str" cm="1">
        <f t="array" ref="L2477">sentimentCategory(K2477)</f>
        <v>Neutral</v>
      </c>
    </row>
    <row r="2478" spans="1:12" x14ac:dyDescent="0.25">
      <c r="A2478" t="s">
        <v>1572</v>
      </c>
      <c r="B2478" t="s">
        <v>3495</v>
      </c>
      <c r="C2478" t="str" cm="1">
        <f t="array" ref="C2478">CleanText(B2478)</f>
        <v>pls do a real barbie concert  all your guys dancing gorgeous</v>
      </c>
      <c r="D2478">
        <v>0</v>
      </c>
      <c r="E2478">
        <v>0</v>
      </c>
      <c r="F2478" t="s">
        <v>10</v>
      </c>
      <c r="G2478" t="str" cm="1">
        <f t="array" ref="G2478">FindCountryName(F2478)</f>
        <v>None</v>
      </c>
      <c r="H2478" s="3">
        <v>45148.275104166663</v>
      </c>
      <c r="I2478" s="3">
        <v>45148.275104166663</v>
      </c>
      <c r="J2478" s="3">
        <v>43514.104675925926</v>
      </c>
      <c r="K2478" cm="1">
        <f t="array" ref="K2478">sentimentCalc(C2478)</f>
        <v>0</v>
      </c>
      <c r="L2478" t="str" cm="1">
        <f t="array" ref="L2478">sentimentCategory(K2478)</f>
        <v>Neutral</v>
      </c>
    </row>
    <row r="2479" spans="1:12" x14ac:dyDescent="0.25">
      <c r="A2479" t="s">
        <v>830</v>
      </c>
      <c r="B2479" t="s">
        <v>2043</v>
      </c>
      <c r="C2479" t="str" cm="1">
        <f t="array" ref="C2479">CleanText(B2479)</f>
        <v>plz some one comment a link of this movie</v>
      </c>
      <c r="D2479">
        <v>0</v>
      </c>
      <c r="E2479">
        <v>0</v>
      </c>
      <c r="F2479" t="s">
        <v>10</v>
      </c>
      <c r="G2479" t="str" cm="1">
        <f t="array" ref="G2479">FindCountryName(F2479)</f>
        <v>None</v>
      </c>
      <c r="H2479" s="3">
        <v>45183.020208333335</v>
      </c>
      <c r="I2479" s="3">
        <v>45183.020208333335</v>
      </c>
      <c r="J2479" s="3">
        <v>44840.150439814817</v>
      </c>
      <c r="K2479" cm="1">
        <f t="array" ref="K2479">sentimentCalc(C2479)</f>
        <v>0</v>
      </c>
      <c r="L2479" t="str" cm="1">
        <f t="array" ref="L2479">sentimentCategory(K2479)</f>
        <v>Neutral</v>
      </c>
    </row>
    <row r="2480" spans="1:12" x14ac:dyDescent="0.25">
      <c r="A2480" t="s">
        <v>90</v>
      </c>
      <c r="B2480" t="s">
        <v>3126</v>
      </c>
      <c r="C2480" t="str" cm="1">
        <f t="array" ref="C2480">CleanText(B2480)</f>
        <v>poison</v>
      </c>
      <c r="D2480">
        <v>0</v>
      </c>
      <c r="E2480">
        <v>0</v>
      </c>
      <c r="F2480" t="s">
        <v>10</v>
      </c>
      <c r="G2480" t="str" cm="1">
        <f t="array" ref="G2480">FindCountryName(F2480)</f>
        <v>None</v>
      </c>
      <c r="H2480" s="3">
        <v>45152.941030092596</v>
      </c>
      <c r="I2480" s="3">
        <v>45152.941030092596</v>
      </c>
      <c r="J2480" s="3">
        <v>43535.190057870372</v>
      </c>
      <c r="K2480" cm="1">
        <f t="array" ref="K2480">sentimentCalc(C2480)</f>
        <v>-2</v>
      </c>
      <c r="L2480" t="str" cm="1">
        <f t="array" ref="L2480">sentimentCategory(K2480)</f>
        <v>Negative</v>
      </c>
    </row>
    <row r="2481" spans="1:12" x14ac:dyDescent="0.25">
      <c r="A2481" t="s">
        <v>1918</v>
      </c>
      <c r="B2481" t="s">
        <v>2568</v>
      </c>
      <c r="C2481" t="str" cm="1">
        <f t="array" ref="C2481">CleanText(B2481)</f>
        <v>police man i swear the god</v>
      </c>
      <c r="D2481">
        <v>0</v>
      </c>
      <c r="E2481">
        <v>0</v>
      </c>
      <c r="F2481" t="s">
        <v>10</v>
      </c>
      <c r="G2481" t="str" cm="1">
        <f t="array" ref="G2481">FindCountryName(F2481)</f>
        <v>None</v>
      </c>
      <c r="H2481" s="3">
        <v>45163.244803240741</v>
      </c>
      <c r="I2481" s="3">
        <v>45163.244803240741</v>
      </c>
      <c r="J2481" s="3">
        <v>44941.482291666667</v>
      </c>
      <c r="K2481" cm="1">
        <f t="array" ref="K2481">sentimentCalc(C2481)</f>
        <v>-1</v>
      </c>
      <c r="L2481" t="str" cm="1">
        <f t="array" ref="L2481">sentimentCategory(K2481)</f>
        <v>Negative</v>
      </c>
    </row>
    <row r="2482" spans="1:12" x14ac:dyDescent="0.25">
      <c r="A2482" t="s">
        <v>275</v>
      </c>
      <c r="B2482" t="s">
        <v>1430</v>
      </c>
      <c r="C2482" t="str" cm="1">
        <f t="array" ref="C2482">CleanText(B2482)</f>
        <v>poonow you</v>
      </c>
      <c r="D2482">
        <v>0</v>
      </c>
      <c r="E2482">
        <v>0</v>
      </c>
      <c r="F2482" t="s">
        <v>10</v>
      </c>
      <c r="G2482" t="str" cm="1">
        <f t="array" ref="G2482">FindCountryName(F2482)</f>
        <v>None</v>
      </c>
      <c r="H2482" s="3">
        <v>45228.260810185187</v>
      </c>
      <c r="I2482" s="3">
        <v>45228.260810185187</v>
      </c>
      <c r="J2482" s="3">
        <v>44614.330520833333</v>
      </c>
      <c r="K2482" cm="1">
        <f t="array" ref="K2482">sentimentCalc(C2482)</f>
        <v>0</v>
      </c>
      <c r="L2482" t="str" cm="1">
        <f t="array" ref="L2482">sentimentCategory(K2482)</f>
        <v>Neutral</v>
      </c>
    </row>
    <row r="2483" spans="1:12" x14ac:dyDescent="0.25">
      <c r="A2483" t="s">
        <v>228</v>
      </c>
      <c r="B2483" t="s">
        <v>2510</v>
      </c>
      <c r="C2483" t="str" cm="1">
        <f t="array" ref="C2483">CleanText(B2483)</f>
        <v>poor ken the only positive character in this movie</v>
      </c>
      <c r="D2483">
        <v>0</v>
      </c>
      <c r="E2483">
        <v>0</v>
      </c>
      <c r="F2483" t="s">
        <v>10</v>
      </c>
      <c r="G2483" t="str" cm="1">
        <f t="array" ref="G2483">FindCountryName(F2483)</f>
        <v>None</v>
      </c>
      <c r="H2483" s="3">
        <v>45164.720243055555</v>
      </c>
      <c r="I2483" s="3">
        <v>45164.720243055555</v>
      </c>
      <c r="J2483" s="3">
        <v>45031.432013888887</v>
      </c>
      <c r="K2483" cm="1">
        <f t="array" ref="K2483">sentimentCalc(C2483)</f>
        <v>0</v>
      </c>
      <c r="L2483" t="str" cm="1">
        <f t="array" ref="L2483">sentimentCategory(K2483)</f>
        <v>Neutral</v>
      </c>
    </row>
    <row r="2484" spans="1:12" x14ac:dyDescent="0.25">
      <c r="A2484" t="s">
        <v>2437</v>
      </c>
      <c r="B2484" t="s">
        <v>3603</v>
      </c>
      <c r="C2484" t="str" cm="1">
        <f t="array" ref="C2484">CleanText(B2484)</f>
        <v>poor old barbie</v>
      </c>
      <c r="D2484">
        <v>1</v>
      </c>
      <c r="E2484">
        <v>0</v>
      </c>
      <c r="F2484" t="s">
        <v>10</v>
      </c>
      <c r="G2484" t="str" cm="1">
        <f t="array" ref="G2484">FindCountryName(F2484)</f>
        <v>None</v>
      </c>
      <c r="H2484" s="3">
        <v>45147.232418981483</v>
      </c>
      <c r="I2484" s="3">
        <v>45147.232407407406</v>
      </c>
      <c r="J2484" s="3">
        <v>43661.955694444441</v>
      </c>
      <c r="K2484" cm="1">
        <f t="array" ref="K2484">sentimentCalc(C2484)</f>
        <v>-2</v>
      </c>
      <c r="L2484" t="str" cm="1">
        <f t="array" ref="L2484">sentimentCategory(K2484)</f>
        <v>Negative</v>
      </c>
    </row>
    <row r="2485" spans="1:12" x14ac:dyDescent="0.25">
      <c r="A2485" t="s">
        <v>290</v>
      </c>
      <c r="B2485" t="s">
        <v>2019</v>
      </c>
      <c r="C2485" t="str" cm="1">
        <f t="array" ref="C2485">CleanText(B2485)</f>
        <v>por incrvel que parea superou as expectativas</v>
      </c>
      <c r="D2485">
        <v>3</v>
      </c>
      <c r="E2485">
        <v>0</v>
      </c>
      <c r="F2485" t="s">
        <v>10</v>
      </c>
      <c r="G2485" t="str" cm="1">
        <f t="array" ref="G2485">FindCountryName(F2485)</f>
        <v>None</v>
      </c>
      <c r="H2485" s="3">
        <v>45184.290069444447</v>
      </c>
      <c r="I2485" s="3">
        <v>45184.290069444447</v>
      </c>
      <c r="J2485" s="3">
        <v>41126.231319444443</v>
      </c>
      <c r="K2485" cm="1">
        <f t="array" ref="K2485">sentimentCalc(C2485)</f>
        <v>0</v>
      </c>
      <c r="L2485" t="str" cm="1">
        <f t="array" ref="L2485">sentimentCategory(K2485)</f>
        <v>Neutral</v>
      </c>
    </row>
    <row r="2486" spans="1:12" x14ac:dyDescent="0.25">
      <c r="A2486" t="s">
        <v>3139</v>
      </c>
      <c r="B2486" t="s">
        <v>3140</v>
      </c>
      <c r="C2486" t="str" cm="1">
        <f t="array" ref="C2486">CleanText(B2486)</f>
        <v>porfa en espaol no la entiendo</v>
      </c>
      <c r="D2486">
        <v>0</v>
      </c>
      <c r="E2486">
        <v>1</v>
      </c>
      <c r="F2486" t="s">
        <v>10</v>
      </c>
      <c r="G2486" t="str" cm="1">
        <f t="array" ref="G2486">FindCountryName(F2486)</f>
        <v>None</v>
      </c>
      <c r="H2486" s="3">
        <v>45152.768449074072</v>
      </c>
      <c r="I2486" s="3">
        <v>45152.768449074072</v>
      </c>
      <c r="J2486" s="3">
        <v>44982.510023148148</v>
      </c>
      <c r="K2486" cm="1">
        <f t="array" ref="K2486">sentimentCalc(C2486)</f>
        <v>-1</v>
      </c>
      <c r="L2486" t="str" cm="1">
        <f t="array" ref="L2486">sentimentCategory(K2486)</f>
        <v>Negative</v>
      </c>
    </row>
    <row r="2487" spans="1:12" x14ac:dyDescent="0.25">
      <c r="A2487" t="s">
        <v>2057</v>
      </c>
      <c r="B2487" t="s">
        <v>2058</v>
      </c>
      <c r="C2487" t="str" cm="1">
        <f t="array" ref="C2487">CleanText(B2487)</f>
        <v>porno barbie</v>
      </c>
      <c r="D2487">
        <v>1</v>
      </c>
      <c r="E2487">
        <v>0</v>
      </c>
      <c r="F2487" t="s">
        <v>10</v>
      </c>
      <c r="G2487" t="str" cm="1">
        <f t="array" ref="G2487">FindCountryName(F2487)</f>
        <v>None</v>
      </c>
      <c r="H2487" s="3">
        <v>45182.484733796293</v>
      </c>
      <c r="I2487" s="3">
        <v>45182.484733796293</v>
      </c>
      <c r="J2487" s="3">
        <v>43107.503148148149</v>
      </c>
      <c r="K2487" cm="1">
        <f t="array" ref="K2487">sentimentCalc(C2487)</f>
        <v>0</v>
      </c>
      <c r="L2487" t="str" cm="1">
        <f t="array" ref="L2487">sentimentCategory(K2487)</f>
        <v>Neutral</v>
      </c>
    </row>
    <row r="2488" spans="1:12" x14ac:dyDescent="0.25">
      <c r="A2488" t="s">
        <v>266</v>
      </c>
      <c r="B2488" t="s">
        <v>4410</v>
      </c>
      <c r="C2488" t="str" cm="1">
        <f t="array" ref="C2488">CleanText(B2488)</f>
        <v>prepare for a glamtastic gigglefilled adventure like no other with dazzling fashion moments hilarious characters and infectious songs thatll have you dancing in your seat this movie is a mustwatch for all barbie fans get ready to unleash your inner glamazon and be whisked away on a sparkling journey you wont soon forget</v>
      </c>
      <c r="D2488">
        <v>8</v>
      </c>
      <c r="E2488">
        <v>1</v>
      </c>
      <c r="F2488" t="s">
        <v>4411</v>
      </c>
      <c r="G2488" t="str" cm="1">
        <f t="array" ref="G2488">FindCountryName(F2488)</f>
        <v>Saint Helena, Ascension and Tristan da Cunha</v>
      </c>
      <c r="H2488" s="3">
        <v>45140.428020833337</v>
      </c>
      <c r="I2488" s="3">
        <v>45140.428020833337</v>
      </c>
      <c r="J2488" s="3">
        <v>39830.198460648149</v>
      </c>
      <c r="K2488" cm="1">
        <f t="array" ref="K2488">sentimentCalc(C2488)</f>
        <v>7</v>
      </c>
      <c r="L2488" t="str" cm="1">
        <f t="array" ref="L2488">sentimentCategory(K2488)</f>
        <v>Positive</v>
      </c>
    </row>
    <row r="2489" spans="1:12" x14ac:dyDescent="0.25">
      <c r="A2489" t="s">
        <v>103</v>
      </c>
      <c r="B2489" t="s">
        <v>1926</v>
      </c>
      <c r="C2489" t="str" cm="1">
        <f t="array" ref="C2489">CleanText(B2489)</f>
        <v>president black barbie</v>
      </c>
      <c r="D2489">
        <v>0</v>
      </c>
      <c r="E2489">
        <v>0</v>
      </c>
      <c r="F2489" t="s">
        <v>10</v>
      </c>
      <c r="G2489" t="str" cm="1">
        <f t="array" ref="G2489">FindCountryName(F2489)</f>
        <v>None</v>
      </c>
      <c r="H2489" s="3">
        <v>45187.569305555553</v>
      </c>
      <c r="I2489" s="3">
        <v>45187.569305555553</v>
      </c>
      <c r="J2489" s="3">
        <v>41446.481481481482</v>
      </c>
      <c r="K2489" cm="1">
        <f t="array" ref="K2489">sentimentCalc(C2489)</f>
        <v>0</v>
      </c>
      <c r="L2489" t="str" cm="1">
        <f t="array" ref="L2489">sentimentCategory(K2489)</f>
        <v>Neutral</v>
      </c>
    </row>
    <row r="2490" spans="1:12" x14ac:dyDescent="0.25">
      <c r="A2490" t="s">
        <v>1503</v>
      </c>
      <c r="B2490" t="s">
        <v>2930</v>
      </c>
      <c r="C2490" t="str" cm="1">
        <f t="array" ref="C2490">CleanText(B2490)</f>
        <v>primer ao</v>
      </c>
      <c r="D2490">
        <v>0</v>
      </c>
      <c r="E2490">
        <v>0</v>
      </c>
      <c r="F2490" t="s">
        <v>10</v>
      </c>
      <c r="G2490" t="str" cm="1">
        <f t="array" ref="G2490">FindCountryName(F2490)</f>
        <v>None</v>
      </c>
      <c r="H2490" s="3">
        <v>45155.75712962963</v>
      </c>
      <c r="I2490" s="3">
        <v>45155.75712962963</v>
      </c>
      <c r="J2490" s="3">
        <v>44803.453333333331</v>
      </c>
      <c r="K2490" cm="1">
        <f t="array" ref="K2490">sentimentCalc(C2490)</f>
        <v>0</v>
      </c>
      <c r="L2490" t="str" cm="1">
        <f t="array" ref="L2490">sentimentCategory(K2490)</f>
        <v>Neutral</v>
      </c>
    </row>
    <row r="2491" spans="1:12" x14ac:dyDescent="0.25">
      <c r="A2491" t="s">
        <v>322</v>
      </c>
      <c r="B2491" t="s">
        <v>1524</v>
      </c>
      <c r="C2491" t="str" cm="1">
        <f t="array" ref="C2491">CleanText(B2491)</f>
        <v>princess</v>
      </c>
      <c r="D2491">
        <v>1</v>
      </c>
      <c r="E2491">
        <v>0</v>
      </c>
      <c r="F2491" t="s">
        <v>10</v>
      </c>
      <c r="G2491" t="str" cm="1">
        <f t="array" ref="G2491">FindCountryName(F2491)</f>
        <v>None</v>
      </c>
      <c r="H2491" s="3">
        <v>45217.268541666665</v>
      </c>
      <c r="I2491" s="3">
        <v>45217.268541666665</v>
      </c>
      <c r="J2491" s="3">
        <v>44017.377939814818</v>
      </c>
      <c r="K2491" cm="1">
        <f t="array" ref="K2491">sentimentCalc(C2491)</f>
        <v>0</v>
      </c>
      <c r="L2491" t="str" cm="1">
        <f t="array" ref="L2491">sentimentCategory(K2491)</f>
        <v>Neutral</v>
      </c>
    </row>
    <row r="2492" spans="1:12" x14ac:dyDescent="0.25">
      <c r="A2492" t="s">
        <v>3053</v>
      </c>
      <c r="B2492" t="s">
        <v>4123</v>
      </c>
      <c r="C2492" t="str" cm="1">
        <f t="array" ref="C2492">CleanText(B2492)</f>
        <v>principalement je trouve que cest nul sans valeurs</v>
      </c>
      <c r="D2492">
        <v>0</v>
      </c>
      <c r="E2492">
        <v>0</v>
      </c>
      <c r="F2492" t="s">
        <v>10</v>
      </c>
      <c r="G2492" t="str" cm="1">
        <f t="array" ref="G2492">FindCountryName(F2492)</f>
        <v>None</v>
      </c>
      <c r="H2492" s="3">
        <v>45142.699479166666</v>
      </c>
      <c r="I2492" s="3">
        <v>45142.699479166666</v>
      </c>
      <c r="J2492" s="3">
        <v>40929.620358796295</v>
      </c>
      <c r="K2492" cm="1">
        <f t="array" ref="K2492">sentimentCalc(C2492)</f>
        <v>0</v>
      </c>
      <c r="L2492" t="str" cm="1">
        <f t="array" ref="L2492">sentimentCategory(K2492)</f>
        <v>Neutral</v>
      </c>
    </row>
    <row r="2493" spans="1:12" x14ac:dyDescent="0.25">
      <c r="A2493" t="s">
        <v>861</v>
      </c>
      <c r="B2493" t="s">
        <v>862</v>
      </c>
      <c r="C2493" t="str" cm="1">
        <f t="array" ref="C2493">CleanText(B2493)</f>
        <v>probably one of the worst movies ive ever seen absolute</v>
      </c>
      <c r="D2493">
        <v>5</v>
      </c>
      <c r="E2493">
        <v>1</v>
      </c>
      <c r="F2493" t="s">
        <v>10</v>
      </c>
      <c r="G2493" t="str" cm="1">
        <f t="array" ref="G2493">FindCountryName(F2493)</f>
        <v>None</v>
      </c>
      <c r="H2493" s="3">
        <v>45299.833564814813</v>
      </c>
      <c r="I2493" s="3">
        <v>45299.833564814813</v>
      </c>
      <c r="J2493" s="3">
        <v>43492.013078703705</v>
      </c>
      <c r="K2493" cm="1">
        <f t="array" ref="K2493">sentimentCalc(C2493)</f>
        <v>-3</v>
      </c>
      <c r="L2493" t="str" cm="1">
        <f t="array" ref="L2493">sentimentCategory(K2493)</f>
        <v>Negative</v>
      </c>
    </row>
    <row r="2494" spans="1:12" x14ac:dyDescent="0.25">
      <c r="A2494" t="s">
        <v>11</v>
      </c>
      <c r="B2494" t="s">
        <v>1404</v>
      </c>
      <c r="C2494" t="str" cm="1">
        <f t="array" ref="C2494">CleanText(B2494)</f>
        <v>produo top</v>
      </c>
      <c r="D2494">
        <v>0</v>
      </c>
      <c r="E2494">
        <v>0</v>
      </c>
      <c r="F2494" t="s">
        <v>10</v>
      </c>
      <c r="G2494" t="str" cm="1">
        <f t="array" ref="G2494">FindCountryName(F2494)</f>
        <v>None</v>
      </c>
      <c r="H2494" s="3">
        <v>45233.549155092594</v>
      </c>
      <c r="I2494" s="3">
        <v>45233.549155092594</v>
      </c>
      <c r="J2494" s="3">
        <v>45233.478298611109</v>
      </c>
      <c r="K2494" cm="1">
        <f t="array" ref="K2494">sentimentCalc(C2494)</f>
        <v>2</v>
      </c>
      <c r="L2494" t="str" cm="1">
        <f t="array" ref="L2494">sentimentCategory(K2494)</f>
        <v>Positive</v>
      </c>
    </row>
    <row r="2495" spans="1:12" x14ac:dyDescent="0.25">
      <c r="A2495" t="s">
        <v>2691</v>
      </c>
      <c r="B2495" t="s">
        <v>2692</v>
      </c>
      <c r="C2495" t="str" cm="1">
        <f t="array" ref="C2495">CleanText(B2495)</f>
        <v>propaganda for children do not recommend</v>
      </c>
      <c r="D2495">
        <v>0</v>
      </c>
      <c r="E2495">
        <v>3</v>
      </c>
      <c r="F2495" t="s">
        <v>10</v>
      </c>
      <c r="G2495" t="str" cm="1">
        <f t="array" ref="G2495">FindCountryName(F2495)</f>
        <v>None</v>
      </c>
      <c r="H2495" s="3">
        <v>45159.973877314813</v>
      </c>
      <c r="I2495" s="3">
        <v>45159.973877314813</v>
      </c>
      <c r="J2495" s="3">
        <v>44099.109710648147</v>
      </c>
      <c r="K2495" cm="1">
        <f t="array" ref="K2495">sentimentCalc(C2495)</f>
        <v>0</v>
      </c>
      <c r="L2495" t="str" cm="1">
        <f t="array" ref="L2495">sentimentCategory(K2495)</f>
        <v>Neutral</v>
      </c>
    </row>
    <row r="2496" spans="1:12" x14ac:dyDescent="0.25">
      <c r="A2496" t="s">
        <v>2831</v>
      </c>
      <c r="B2496" t="s">
        <v>2832</v>
      </c>
      <c r="C2496" t="str" cm="1">
        <f t="array" ref="C2496">CleanText(B2496)</f>
        <v>propaganda to turn girls into modern feminists</v>
      </c>
      <c r="D2496">
        <v>0</v>
      </c>
      <c r="E2496">
        <v>6</v>
      </c>
      <c r="F2496" t="s">
        <v>10</v>
      </c>
      <c r="G2496" t="str" cm="1">
        <f t="array" ref="G2496">FindCountryName(F2496)</f>
        <v>None</v>
      </c>
      <c r="H2496" s="3">
        <v>45157.01122685185</v>
      </c>
      <c r="I2496" s="3">
        <v>45157.01122685185</v>
      </c>
      <c r="J2496" s="3">
        <v>44799.887708333335</v>
      </c>
      <c r="K2496" cm="1">
        <f t="array" ref="K2496">sentimentCalc(C2496)</f>
        <v>-2</v>
      </c>
      <c r="L2496" t="str" cm="1">
        <f t="array" ref="L2496">sentimentCategory(K2496)</f>
        <v>Negative</v>
      </c>
    </row>
    <row r="2497" spans="1:12" x14ac:dyDescent="0.25">
      <c r="A2497" t="s">
        <v>1394</v>
      </c>
      <c r="B2497" t="s">
        <v>3368</v>
      </c>
      <c r="C2497" t="str" cm="1">
        <f t="array" ref="C2497">CleanText(B2497)</f>
        <v>propeganda movie</v>
      </c>
      <c r="D2497">
        <v>6</v>
      </c>
      <c r="E2497">
        <v>0</v>
      </c>
      <c r="F2497" t="s">
        <v>10</v>
      </c>
      <c r="G2497" t="str" cm="1">
        <f t="array" ref="G2497">FindCountryName(F2497)</f>
        <v>None</v>
      </c>
      <c r="H2497" s="3">
        <v>45149.531226851854</v>
      </c>
      <c r="I2497" s="3">
        <v>45149.531226851854</v>
      </c>
      <c r="J2497" s="3">
        <v>43986.024837962963</v>
      </c>
      <c r="K2497" cm="1">
        <f t="array" ref="K2497">sentimentCalc(C2497)</f>
        <v>0</v>
      </c>
      <c r="L2497" t="str" cm="1">
        <f t="array" ref="L2497">sentimentCategory(K2497)</f>
        <v>Neutral</v>
      </c>
    </row>
    <row r="2498" spans="1:12" x14ac:dyDescent="0.25">
      <c r="A2498" t="s">
        <v>427</v>
      </c>
      <c r="B2498" t="s">
        <v>3796</v>
      </c>
      <c r="C2498" t="str" cm="1">
        <f t="array" ref="C2498">CleanText(B2498)</f>
        <v>pure feminist propaganda</v>
      </c>
      <c r="D2498">
        <v>3</v>
      </c>
      <c r="E2498">
        <v>0</v>
      </c>
      <c r="F2498" t="s">
        <v>10</v>
      </c>
      <c r="G2498" t="str" cm="1">
        <f t="array" ref="G2498">FindCountryName(F2498)</f>
        <v>None</v>
      </c>
      <c r="H2498" s="3">
        <v>45145.433958333335</v>
      </c>
      <c r="I2498" s="3">
        <v>45145.433958333335</v>
      </c>
      <c r="J2498" s="3">
        <v>39015.495497685188</v>
      </c>
      <c r="K2498" cm="1">
        <f t="array" ref="K2498">sentimentCalc(C2498)</f>
        <v>-2</v>
      </c>
      <c r="L2498" t="str" cm="1">
        <f t="array" ref="L2498">sentimentCategory(K2498)</f>
        <v>Negative</v>
      </c>
    </row>
    <row r="2499" spans="1:12" x14ac:dyDescent="0.25">
      <c r="A2499" t="s">
        <v>211</v>
      </c>
      <c r="B2499" t="s">
        <v>1881</v>
      </c>
      <c r="C2499" t="str" cm="1">
        <f t="array" ref="C2499">CleanText(B2499)</f>
        <v>pure idiotism</v>
      </c>
      <c r="D2499">
        <v>2</v>
      </c>
      <c r="E2499">
        <v>5</v>
      </c>
      <c r="F2499" t="s">
        <v>10</v>
      </c>
      <c r="G2499" t="str" cm="1">
        <f t="array" ref="G2499">FindCountryName(F2499)</f>
        <v>None</v>
      </c>
      <c r="H2499" s="3">
        <v>45188.7578125</v>
      </c>
      <c r="I2499" s="3">
        <v>45188.757824074077</v>
      </c>
      <c r="J2499" s="3">
        <v>41425.681168981479</v>
      </c>
      <c r="K2499" cm="1">
        <f t="array" ref="K2499">sentimentCalc(C2499)</f>
        <v>0</v>
      </c>
      <c r="L2499" t="str" cm="1">
        <f t="array" ref="L2499">sentimentCategory(K2499)</f>
        <v>Neutral</v>
      </c>
    </row>
    <row r="2500" spans="1:12" x14ac:dyDescent="0.25">
      <c r="A2500" t="s">
        <v>555</v>
      </c>
      <c r="B2500" t="s">
        <v>2411</v>
      </c>
      <c r="C2500" t="str" cm="1">
        <f t="array" ref="C2500">CleanText(B2500)</f>
        <v>purnbkchodi movie</v>
      </c>
      <c r="D2500">
        <v>0</v>
      </c>
      <c r="E2500">
        <v>0</v>
      </c>
      <c r="F2500" t="s">
        <v>10</v>
      </c>
      <c r="G2500" t="str" cm="1">
        <f t="array" ref="G2500">FindCountryName(F2500)</f>
        <v>None</v>
      </c>
      <c r="H2500" s="3">
        <v>45168.369108796294</v>
      </c>
      <c r="I2500" s="3">
        <v>45168.369108796294</v>
      </c>
      <c r="J2500" s="3">
        <v>44699.099687499998</v>
      </c>
      <c r="K2500" cm="1">
        <f t="array" ref="K2500">sentimentCalc(C2500)</f>
        <v>0</v>
      </c>
      <c r="L2500" t="str" cm="1">
        <f t="array" ref="L2500">sentimentCategory(K2500)</f>
        <v>Neutral</v>
      </c>
    </row>
    <row r="2501" spans="1:12" x14ac:dyDescent="0.25">
      <c r="A2501" t="s">
        <v>92</v>
      </c>
      <c r="B2501" t="s">
        <v>1537</v>
      </c>
      <c r="C2501" t="str" cm="1">
        <f t="array" ref="C2501">CleanText(B2501)</f>
        <v>put pink hearts if you love the barbie movie</v>
      </c>
      <c r="D2501">
        <v>1</v>
      </c>
      <c r="E2501">
        <v>1</v>
      </c>
      <c r="F2501" t="s">
        <v>10</v>
      </c>
      <c r="G2501" t="str" cm="1">
        <f t="array" ref="G2501">FindCountryName(F2501)</f>
        <v>None</v>
      </c>
      <c r="H2501" s="3">
        <v>45214.947534722225</v>
      </c>
      <c r="I2501" s="3">
        <v>45214.947534722225</v>
      </c>
      <c r="J2501" s="3">
        <v>41439.071828703702</v>
      </c>
      <c r="K2501" cm="1">
        <f t="array" ref="K2501">sentimentCalc(C2501)</f>
        <v>3</v>
      </c>
      <c r="L2501" t="str" cm="1">
        <f t="array" ref="L2501">sentimentCategory(K2501)</f>
        <v>Positive</v>
      </c>
    </row>
    <row r="2502" spans="1:12" x14ac:dyDescent="0.25">
      <c r="A2502" t="s">
        <v>1428</v>
      </c>
      <c r="B2502" t="s">
        <v>2677</v>
      </c>
      <c r="C2502" t="str" cm="1">
        <f t="array" ref="C2502">CleanText(B2502)</f>
        <v>qofyddrr</v>
      </c>
      <c r="D2502">
        <v>0</v>
      </c>
      <c r="E2502">
        <v>0</v>
      </c>
      <c r="F2502" t="s">
        <v>10</v>
      </c>
      <c r="G2502" t="str" cm="1">
        <f t="array" ref="G2502">FindCountryName(F2502)</f>
        <v>None</v>
      </c>
      <c r="H2502" s="3">
        <v>45160.258668981478</v>
      </c>
      <c r="I2502" s="3">
        <v>45160.258668981478</v>
      </c>
      <c r="J2502" s="3">
        <v>44358.126273148147</v>
      </c>
      <c r="K2502" cm="1">
        <f t="array" ref="K2502">sentimentCalc(C2502)</f>
        <v>0</v>
      </c>
      <c r="L2502" t="str" cm="1">
        <f t="array" ref="L2502">sentimentCategory(K2502)</f>
        <v>Neutral</v>
      </c>
    </row>
    <row r="2503" spans="1:12" x14ac:dyDescent="0.25">
      <c r="A2503" t="s">
        <v>1076</v>
      </c>
      <c r="B2503" t="s">
        <v>1439</v>
      </c>
      <c r="C2503" t="str" cm="1">
        <f t="array" ref="C2503">CleanText(B2503)</f>
        <v>que maneiro j quero assistir o filme da barbie lembra minha infncia</v>
      </c>
      <c r="D2503">
        <v>1</v>
      </c>
      <c r="E2503">
        <v>0</v>
      </c>
      <c r="F2503" t="s">
        <v>10</v>
      </c>
      <c r="G2503" t="str" cm="1">
        <f t="array" ref="G2503">FindCountryName(F2503)</f>
        <v>None</v>
      </c>
      <c r="H2503" s="3">
        <v>45226.682754629626</v>
      </c>
      <c r="I2503" s="3">
        <v>45226.682754629626</v>
      </c>
      <c r="J2503" s="3">
        <v>42792.412048611113</v>
      </c>
      <c r="K2503" cm="1">
        <f t="array" ref="K2503">sentimentCalc(C2503)</f>
        <v>0</v>
      </c>
      <c r="L2503" t="str" cm="1">
        <f t="array" ref="L2503">sentimentCategory(K2503)</f>
        <v>Neutral</v>
      </c>
    </row>
    <row r="2504" spans="1:12" x14ac:dyDescent="0.25">
      <c r="A2504" t="s">
        <v>118</v>
      </c>
      <c r="B2504" t="s">
        <v>4080</v>
      </c>
      <c r="C2504" t="str" cm="1">
        <f t="array" ref="C2504">CleanText(B2504)</f>
        <v>quelle grosse merde</v>
      </c>
      <c r="D2504">
        <v>1</v>
      </c>
      <c r="E2504">
        <v>0</v>
      </c>
      <c r="F2504" t="s">
        <v>147</v>
      </c>
      <c r="G2504" t="str" cm="1">
        <f t="array" ref="G2504">FindCountryName(F2504)</f>
        <v>France</v>
      </c>
      <c r="H2504" s="3">
        <v>45143.074074074073</v>
      </c>
      <c r="I2504" s="3">
        <v>45143.074074074073</v>
      </c>
      <c r="J2504" s="3">
        <v>41496.213587962964</v>
      </c>
      <c r="K2504" cm="1">
        <f t="array" ref="K2504">sentimentCalc(C2504)</f>
        <v>0</v>
      </c>
      <c r="L2504" t="str" cm="1">
        <f t="array" ref="L2504">sentimentCategory(K2504)</f>
        <v>Neutral</v>
      </c>
    </row>
    <row r="2505" spans="1:12" x14ac:dyDescent="0.25">
      <c r="A2505" t="s">
        <v>205</v>
      </c>
      <c r="B2505" t="s">
        <v>1515</v>
      </c>
      <c r="C2505" t="str" cm="1">
        <f t="array" ref="C2505">CleanText(B2505)</f>
        <v>quero muito assistir</v>
      </c>
      <c r="D2505">
        <v>0</v>
      </c>
      <c r="E2505">
        <v>0</v>
      </c>
      <c r="F2505" t="s">
        <v>10</v>
      </c>
      <c r="G2505" t="str" cm="1">
        <f t="array" ref="G2505">FindCountryName(F2505)</f>
        <v>None</v>
      </c>
      <c r="H2505" s="3">
        <v>45218.550474537034</v>
      </c>
      <c r="I2505" s="3">
        <v>45218.550474537034</v>
      </c>
      <c r="J2505" s="3">
        <v>44730.779374999998</v>
      </c>
      <c r="K2505" cm="1">
        <f t="array" ref="K2505">sentimentCalc(C2505)</f>
        <v>0</v>
      </c>
      <c r="L2505" t="str" cm="1">
        <f t="array" ref="L2505">sentimentCategory(K2505)</f>
        <v>Neutral</v>
      </c>
    </row>
    <row r="2506" spans="1:12" x14ac:dyDescent="0.25">
      <c r="A2506" t="s">
        <v>786</v>
      </c>
      <c r="B2506" t="s">
        <v>787</v>
      </c>
      <c r="C2506" t="str" cm="1">
        <f t="array" ref="C2506">CleanText(B2506)</f>
        <v>rya gibi bir film herkese tavsiye ederim</v>
      </c>
      <c r="D2506">
        <v>0</v>
      </c>
      <c r="E2506">
        <v>0</v>
      </c>
      <c r="F2506" t="s">
        <v>10</v>
      </c>
      <c r="G2506" t="str" cm="1">
        <f t="array" ref="G2506">FindCountryName(F2506)</f>
        <v>None</v>
      </c>
      <c r="H2506" s="3">
        <v>45308.257997685185</v>
      </c>
      <c r="I2506" s="3">
        <v>45308.257997685185</v>
      </c>
      <c r="J2506" s="3">
        <v>39118.500821759262</v>
      </c>
      <c r="K2506" cm="1">
        <f t="array" ref="K2506">sentimentCalc(C2506)</f>
        <v>0</v>
      </c>
      <c r="L2506" t="str" cm="1">
        <f t="array" ref="L2506">sentimentCategory(K2506)</f>
        <v>Neutral</v>
      </c>
    </row>
    <row r="2507" spans="1:12" x14ac:dyDescent="0.25">
      <c r="A2507" t="s">
        <v>569</v>
      </c>
      <c r="B2507" t="s">
        <v>3948</v>
      </c>
      <c r="C2507" t="str" cm="1">
        <f t="array" ref="C2507">CleanText(B2507)</f>
        <v>rarely have i seen such an inept movie but little women is a gem  so gg is capable of the best</v>
      </c>
      <c r="D2507">
        <v>0</v>
      </c>
      <c r="E2507">
        <v>0</v>
      </c>
      <c r="F2507" t="s">
        <v>10</v>
      </c>
      <c r="G2507" t="str" cm="1">
        <f t="array" ref="G2507">FindCountryName(F2507)</f>
        <v>None</v>
      </c>
      <c r="H2507" s="3">
        <v>45144.305590277778</v>
      </c>
      <c r="I2507" s="3">
        <v>45144.305590277778</v>
      </c>
      <c r="J2507" s="3">
        <v>43003.441631944443</v>
      </c>
      <c r="K2507" cm="1">
        <f t="array" ref="K2507">sentimentCalc(C2507)</f>
        <v>4</v>
      </c>
      <c r="L2507" t="str" cm="1">
        <f t="array" ref="L2507">sentimentCategory(K2507)</f>
        <v>Positive</v>
      </c>
    </row>
    <row r="2508" spans="1:12" x14ac:dyDescent="0.25">
      <c r="A2508" t="s">
        <v>1803</v>
      </c>
      <c r="B2508" t="s">
        <v>1804</v>
      </c>
      <c r="C2508" t="str" cm="1">
        <f t="array" ref="C2508">CleanText(B2508)</f>
        <v>rated nsa not suitable for anyone</v>
      </c>
      <c r="D2508">
        <v>1</v>
      </c>
      <c r="E2508">
        <v>3</v>
      </c>
      <c r="F2508" t="s">
        <v>1151</v>
      </c>
      <c r="G2508" t="str" cm="1">
        <f t="array" ref="G2508">FindCountryName(F2508)</f>
        <v>United Kingdom of Great Britain and Northern Ireland (the)</v>
      </c>
      <c r="H2508" s="3">
        <v>45193.752256944441</v>
      </c>
      <c r="I2508" s="3">
        <v>45193.752256944441</v>
      </c>
      <c r="J2508" s="3">
        <v>42735.290219907409</v>
      </c>
      <c r="K2508" cm="1">
        <f t="array" ref="K2508">sentimentCalc(C2508)</f>
        <v>0</v>
      </c>
      <c r="L2508" t="str" cm="1">
        <f t="array" ref="L2508">sentimentCategory(K2508)</f>
        <v>Neutral</v>
      </c>
    </row>
    <row r="2509" spans="1:12" x14ac:dyDescent="0.25">
      <c r="A2509" t="s">
        <v>2996</v>
      </c>
      <c r="B2509" t="s">
        <v>4325</v>
      </c>
      <c r="C2509" t="str" cm="1">
        <f t="array" ref="C2509">CleanText(B2509)</f>
        <v>rated pg</v>
      </c>
      <c r="D2509">
        <v>0</v>
      </c>
      <c r="E2509">
        <v>0</v>
      </c>
      <c r="F2509" t="s">
        <v>10</v>
      </c>
      <c r="G2509" t="str" cm="1">
        <f t="array" ref="G2509">FindCountryName(F2509)</f>
        <v>None</v>
      </c>
      <c r="H2509" s="3">
        <v>45140.940833333334</v>
      </c>
      <c r="I2509" s="3">
        <v>45140.940833333334</v>
      </c>
      <c r="J2509" s="3">
        <v>44325.796354166669</v>
      </c>
      <c r="K2509" cm="1">
        <f t="array" ref="K2509">sentimentCalc(C2509)</f>
        <v>0</v>
      </c>
      <c r="L2509" t="str" cm="1">
        <f t="array" ref="L2509">sentimentCategory(K2509)</f>
        <v>Neutral</v>
      </c>
    </row>
    <row r="2510" spans="1:12" x14ac:dyDescent="0.25">
      <c r="A2510" t="s">
        <v>859</v>
      </c>
      <c r="B2510" t="s">
        <v>860</v>
      </c>
      <c r="C2510" t="str" cm="1">
        <f t="array" ref="C2510">CleanText(B2510)</f>
        <v>read the plot and solve a movie its basically the lego movie</v>
      </c>
      <c r="D2510">
        <v>0</v>
      </c>
      <c r="E2510">
        <v>1</v>
      </c>
      <c r="F2510" t="s">
        <v>227</v>
      </c>
      <c r="G2510" t="str" cm="1">
        <f t="array" ref="G2510">FindCountryName(F2510)</f>
        <v>United States of America (the)</v>
      </c>
      <c r="H2510" s="3">
        <v>45299.877210648148</v>
      </c>
      <c r="I2510" s="3">
        <v>45299.877210648148</v>
      </c>
      <c r="J2510" s="3">
        <v>40233.880381944444</v>
      </c>
      <c r="K2510" cm="1">
        <f t="array" ref="K2510">sentimentCalc(C2510)</f>
        <v>1</v>
      </c>
      <c r="L2510" t="str" cm="1">
        <f t="array" ref="L2510">sentimentCategory(K2510)</f>
        <v>Positive</v>
      </c>
    </row>
    <row r="2511" spans="1:12" x14ac:dyDescent="0.25">
      <c r="A2511" t="s">
        <v>122</v>
      </c>
      <c r="B2511" t="s">
        <v>517</v>
      </c>
      <c r="C2511" t="str" cm="1">
        <f t="array" ref="C2511">CleanText(B2511)</f>
        <v>really nice hey barbiee</v>
      </c>
      <c r="D2511">
        <v>0</v>
      </c>
      <c r="E2511">
        <v>0</v>
      </c>
      <c r="F2511" t="s">
        <v>10</v>
      </c>
      <c r="G2511" t="str" cm="1">
        <f t="array" ref="G2511">FindCountryName(F2511)</f>
        <v>None</v>
      </c>
      <c r="H2511" s="3">
        <v>45317.359409722223</v>
      </c>
      <c r="I2511" s="3">
        <v>45317.359409722223</v>
      </c>
      <c r="J2511" s="3">
        <v>43117.353807870371</v>
      </c>
      <c r="K2511" cm="1">
        <f t="array" ref="K2511">sentimentCalc(C2511)</f>
        <v>3</v>
      </c>
      <c r="L2511" t="str" cm="1">
        <f t="array" ref="L2511">sentimentCategory(K2511)</f>
        <v>Positive</v>
      </c>
    </row>
    <row r="2512" spans="1:12" x14ac:dyDescent="0.25">
      <c r="A2512" t="s">
        <v>3073</v>
      </c>
      <c r="B2512" t="s">
        <v>3074</v>
      </c>
      <c r="C2512" t="str" cm="1">
        <f t="array" ref="C2512">CleanText(B2512)</f>
        <v>really want to watch it but were i live it is a muslim country and they do not allow it  muslim thinks it is not moral  i guess they just want control women as always so unfair i have been waiting for this movie</v>
      </c>
      <c r="D2512">
        <v>3</v>
      </c>
      <c r="E2512">
        <v>1</v>
      </c>
      <c r="F2512" t="s">
        <v>10</v>
      </c>
      <c r="G2512" t="str" cm="1">
        <f t="array" ref="G2512">FindCountryName(F2512)</f>
        <v>None</v>
      </c>
      <c r="H2512" s="3">
        <v>45153.730717592596</v>
      </c>
      <c r="I2512" s="3">
        <v>45153.731319444443</v>
      </c>
      <c r="J2512" s="3">
        <v>43250.923622685186</v>
      </c>
      <c r="K2512" cm="1">
        <f t="array" ref="K2512">sentimentCalc(C2512)</f>
        <v>1</v>
      </c>
      <c r="L2512" t="str" cm="1">
        <f t="array" ref="L2512">sentimentCategory(K2512)</f>
        <v>Positive</v>
      </c>
    </row>
    <row r="2513" spans="1:12" x14ac:dyDescent="0.25">
      <c r="A2513" t="s">
        <v>211</v>
      </c>
      <c r="B2513" t="s">
        <v>1893</v>
      </c>
      <c r="C2513" t="str" cm="1">
        <f t="array" ref="C2513">CleanText(B2513)</f>
        <v>realmente divertido</v>
      </c>
      <c r="D2513">
        <v>0</v>
      </c>
      <c r="E2513">
        <v>0</v>
      </c>
      <c r="F2513" t="s">
        <v>10</v>
      </c>
      <c r="G2513" t="str" cm="1">
        <f t="array" ref="G2513">FindCountryName(F2513)</f>
        <v>None</v>
      </c>
      <c r="H2513" s="3">
        <v>45188.598171296297</v>
      </c>
      <c r="I2513" s="3">
        <v>45188.598171296297</v>
      </c>
      <c r="J2513" s="3">
        <v>42200.881331018521</v>
      </c>
      <c r="K2513" cm="1">
        <f t="array" ref="K2513">sentimentCalc(C2513)</f>
        <v>0</v>
      </c>
      <c r="L2513" t="str" cm="1">
        <f t="array" ref="L2513">sentimentCategory(K2513)</f>
        <v>Neutral</v>
      </c>
    </row>
    <row r="2514" spans="1:12" x14ac:dyDescent="0.25">
      <c r="A2514" t="s">
        <v>66</v>
      </c>
      <c r="B2514" t="s">
        <v>1099</v>
      </c>
      <c r="C2514" t="str" cm="1">
        <f t="array" ref="C2514">CleanText(B2514)</f>
        <v>record songwhere</v>
      </c>
      <c r="D2514">
        <v>0</v>
      </c>
      <c r="E2514">
        <v>0</v>
      </c>
      <c r="F2514" t="s">
        <v>10</v>
      </c>
      <c r="G2514" t="str" cm="1">
        <f t="array" ref="G2514">FindCountryName(F2514)</f>
        <v>None</v>
      </c>
      <c r="H2514" s="3">
        <v>45289.60019675926</v>
      </c>
      <c r="I2514" s="3">
        <v>45289.60019675926</v>
      </c>
      <c r="J2514" s="3">
        <v>43917.404849537037</v>
      </c>
      <c r="K2514" cm="1">
        <f t="array" ref="K2514">sentimentCalc(C2514)</f>
        <v>0</v>
      </c>
      <c r="L2514" t="str" cm="1">
        <f t="array" ref="L2514">sentimentCategory(K2514)</f>
        <v>Neutral</v>
      </c>
    </row>
    <row r="2515" spans="1:12" x14ac:dyDescent="0.25">
      <c r="A2515" t="s">
        <v>1148</v>
      </c>
      <c r="B2515" t="s">
        <v>1149</v>
      </c>
      <c r="C2515" t="str" cm="1">
        <f t="array" ref="C2515">CleanText(B2515)</f>
        <v>refuse to watch this cuz i know  of it is gonna show barefeet which is disgusting</v>
      </c>
      <c r="D2515">
        <v>2</v>
      </c>
      <c r="E2515">
        <v>1</v>
      </c>
      <c r="F2515" t="s">
        <v>10</v>
      </c>
      <c r="G2515" t="str" cm="1">
        <f t="array" ref="G2515">FindCountryName(F2515)</f>
        <v>None</v>
      </c>
      <c r="H2515" s="3">
        <v>45282.953125</v>
      </c>
      <c r="I2515" s="3">
        <v>45282.953125</v>
      </c>
      <c r="J2515" s="3">
        <v>41301.257696759261</v>
      </c>
      <c r="K2515" cm="1">
        <f t="array" ref="K2515">sentimentCalc(C2515)</f>
        <v>-5</v>
      </c>
      <c r="L2515" t="str" cm="1">
        <f t="array" ref="L2515">sentimentCategory(K2515)</f>
        <v>Negative</v>
      </c>
    </row>
    <row r="2516" spans="1:12" x14ac:dyDescent="0.25">
      <c r="A2516" t="s">
        <v>773</v>
      </c>
      <c r="B2516" t="s">
        <v>1575</v>
      </c>
      <c r="C2516" t="str" cm="1">
        <f t="array" ref="C2516">CleanText(B2516)</f>
        <v>reject modernity embrace masculinity</v>
      </c>
      <c r="D2516">
        <v>0</v>
      </c>
      <c r="E2516">
        <v>0</v>
      </c>
      <c r="F2516" t="s">
        <v>10</v>
      </c>
      <c r="G2516" t="str" cm="1">
        <f t="array" ref="G2516">FindCountryName(F2516)</f>
        <v>None</v>
      </c>
      <c r="H2516" s="3">
        <v>45213.646122685182</v>
      </c>
      <c r="I2516" s="3">
        <v>45213.646122685182</v>
      </c>
      <c r="J2516" s="3">
        <v>45115.34847222222</v>
      </c>
      <c r="K2516" cm="1">
        <f t="array" ref="K2516">sentimentCalc(C2516)</f>
        <v>0</v>
      </c>
      <c r="L2516" t="str" cm="1">
        <f t="array" ref="L2516">sentimentCategory(K2516)</f>
        <v>Neutral</v>
      </c>
    </row>
    <row r="2517" spans="1:12" x14ac:dyDescent="0.25">
      <c r="A2517" t="s">
        <v>537</v>
      </c>
      <c r="B2517" t="s">
        <v>2210</v>
      </c>
      <c r="C2517" t="str" cm="1">
        <f t="array" ref="C2517">CleanText(B2517)</f>
        <v>release the bluray</v>
      </c>
      <c r="D2517">
        <v>0</v>
      </c>
      <c r="E2517">
        <v>0</v>
      </c>
      <c r="F2517" t="s">
        <v>10</v>
      </c>
      <c r="G2517" t="str" cm="1">
        <f t="array" ref="G2517">FindCountryName(F2517)</f>
        <v>None</v>
      </c>
      <c r="H2517" s="3">
        <v>45175.820775462962</v>
      </c>
      <c r="I2517" s="3">
        <v>45175.820775462962</v>
      </c>
      <c r="J2517" s="3">
        <v>44796.548252314817</v>
      </c>
      <c r="K2517" cm="1">
        <f t="array" ref="K2517">sentimentCalc(C2517)</f>
        <v>0</v>
      </c>
      <c r="L2517" t="str" cm="1">
        <f t="array" ref="L2517">sentimentCategory(K2517)</f>
        <v>Neutral</v>
      </c>
    </row>
    <row r="2518" spans="1:12" x14ac:dyDescent="0.25">
      <c r="A2518" t="s">
        <v>2685</v>
      </c>
      <c r="B2518" t="s">
        <v>3273</v>
      </c>
      <c r="C2518" t="str" cm="1">
        <f t="array" ref="C2518">CleanText(B2518)</f>
        <v>remember guys women are horribly oppressed thats why theyre miles ahead in education and income and why men make up most of the suicides homeless deaths of despair etc</v>
      </c>
      <c r="D2518">
        <v>3</v>
      </c>
      <c r="E2518">
        <v>6</v>
      </c>
      <c r="F2518" t="s">
        <v>10</v>
      </c>
      <c r="G2518" t="str" cm="1">
        <f t="array" ref="G2518">FindCountryName(F2518)</f>
        <v>None</v>
      </c>
      <c r="H2518" s="3">
        <v>45150.925717592596</v>
      </c>
      <c r="I2518" s="3">
        <v>45150.925717592596</v>
      </c>
      <c r="J2518" s="3">
        <v>39553.734965277778</v>
      </c>
      <c r="K2518" cm="1">
        <f t="array" ref="K2518">sentimentCalc(C2518)</f>
        <v>-5</v>
      </c>
      <c r="L2518" t="str" cm="1">
        <f t="array" ref="L2518">sentimentCategory(K2518)</f>
        <v>Negative</v>
      </c>
    </row>
    <row r="2519" spans="1:12" x14ac:dyDescent="0.25">
      <c r="A2519" t="s">
        <v>3908</v>
      </c>
      <c r="B2519" t="s">
        <v>3909</v>
      </c>
      <c r="C2519" t="str" cm="1">
        <f t="array" ref="C2519">CleanText(B2519)</f>
        <v>reminds me of the pink shirt couple</v>
      </c>
      <c r="D2519">
        <v>2</v>
      </c>
      <c r="E2519">
        <v>0</v>
      </c>
      <c r="F2519" t="s">
        <v>10</v>
      </c>
      <c r="G2519" t="str" cm="1">
        <f t="array" ref="G2519">FindCountryName(F2519)</f>
        <v>None</v>
      </c>
      <c r="H2519" s="3">
        <v>45144.592280092591</v>
      </c>
      <c r="I2519" s="3">
        <v>45144.592280092591</v>
      </c>
      <c r="J2519" s="3">
        <v>45023.826643518521</v>
      </c>
      <c r="K2519" cm="1">
        <f t="array" ref="K2519">sentimentCalc(C2519)</f>
        <v>0</v>
      </c>
      <c r="L2519" t="str" cm="1">
        <f t="array" ref="L2519">sentimentCategory(K2519)</f>
        <v>Neutral</v>
      </c>
    </row>
    <row r="2520" spans="1:12" x14ac:dyDescent="0.25">
      <c r="A2520" t="s">
        <v>1237</v>
      </c>
      <c r="B2520" t="s">
        <v>2828</v>
      </c>
      <c r="C2520" t="str" cm="1">
        <f t="array" ref="C2520">CleanText(B2520)</f>
        <v>repent and believe the gospel</v>
      </c>
      <c r="D2520">
        <v>1</v>
      </c>
      <c r="E2520">
        <v>0</v>
      </c>
      <c r="F2520" t="s">
        <v>10</v>
      </c>
      <c r="G2520" t="str" cm="1">
        <f t="array" ref="G2520">FindCountryName(F2520)</f>
        <v>None</v>
      </c>
      <c r="H2520" s="3">
        <v>45157.062465277777</v>
      </c>
      <c r="I2520" s="3">
        <v>45157.062465277777</v>
      </c>
      <c r="J2520" s="3">
        <v>42177.263541666667</v>
      </c>
      <c r="K2520" cm="1">
        <f t="array" ref="K2520">sentimentCalc(C2520)</f>
        <v>0</v>
      </c>
      <c r="L2520" t="str" cm="1">
        <f t="array" ref="L2520">sentimentCategory(K2520)</f>
        <v>Neutral</v>
      </c>
    </row>
    <row r="2521" spans="1:12" x14ac:dyDescent="0.25">
      <c r="A2521" t="s">
        <v>1864</v>
      </c>
      <c r="B2521" t="s">
        <v>1865</v>
      </c>
      <c r="C2521" t="str" cm="1">
        <f t="array" ref="C2521">CleanText(B2521)</f>
        <v>retarded f movieand most of the people like it unbelievable</v>
      </c>
      <c r="D2521">
        <v>1</v>
      </c>
      <c r="E2521">
        <v>3</v>
      </c>
      <c r="F2521" t="s">
        <v>10</v>
      </c>
      <c r="G2521" t="str" cm="1">
        <f t="array" ref="G2521">FindCountryName(F2521)</f>
        <v>None</v>
      </c>
      <c r="H2521" s="3">
        <v>45190.193715277775</v>
      </c>
      <c r="I2521" s="3">
        <v>45190.193715277775</v>
      </c>
      <c r="J2521" s="3">
        <v>39399.080231481479</v>
      </c>
      <c r="K2521" cm="1">
        <f t="array" ref="K2521">sentimentCalc(C2521)</f>
        <v>1</v>
      </c>
      <c r="L2521" t="str" cm="1">
        <f t="array" ref="L2521">sentimentCategory(K2521)</f>
        <v>Positive</v>
      </c>
    </row>
    <row r="2522" spans="1:12" x14ac:dyDescent="0.25">
      <c r="A2522" t="s">
        <v>3246</v>
      </c>
      <c r="B2522" t="s">
        <v>3247</v>
      </c>
      <c r="C2522" t="str" cm="1">
        <f t="array" ref="C2522">CleanText(B2522)</f>
        <v>ridiculous but fantastic movie</v>
      </c>
      <c r="D2522">
        <v>0</v>
      </c>
      <c r="E2522">
        <v>0</v>
      </c>
      <c r="F2522" t="s">
        <v>1151</v>
      </c>
      <c r="G2522" t="str" cm="1">
        <f t="array" ref="G2522">FindCountryName(F2522)</f>
        <v>United Kingdom of Great Britain and Northern Ireland (the)</v>
      </c>
      <c r="H2522" s="3">
        <v>45151.388877314814</v>
      </c>
      <c r="I2522" s="3">
        <v>45151.388877314814</v>
      </c>
      <c r="J2522" s="3">
        <v>42248.172395833331</v>
      </c>
      <c r="K2522" cm="1">
        <f t="array" ref="K2522">sentimentCalc(C2522)</f>
        <v>1</v>
      </c>
      <c r="L2522" t="str" cm="1">
        <f t="array" ref="L2522">sentimentCategory(K2522)</f>
        <v>Positive</v>
      </c>
    </row>
    <row r="2523" spans="1:12" x14ac:dyDescent="0.25">
      <c r="A2523" t="s">
        <v>275</v>
      </c>
      <c r="B2523" t="s">
        <v>4395</v>
      </c>
      <c r="C2523" t="str" cm="1">
        <f t="array" ref="C2523">CleanText(B2523)</f>
        <v>ridiculous that this carrot of a movie is going to gross over a billionwhat is wrong with this new worldfor sure the factory of morons</v>
      </c>
      <c r="D2523">
        <v>1</v>
      </c>
      <c r="E2523">
        <v>1</v>
      </c>
      <c r="F2523" t="s">
        <v>147</v>
      </c>
      <c r="G2523" t="str" cm="1">
        <f t="array" ref="G2523">FindCountryName(F2523)</f>
        <v>France</v>
      </c>
      <c r="H2523" s="3">
        <v>45140.472569444442</v>
      </c>
      <c r="I2523" s="3">
        <v>45140.472569444442</v>
      </c>
      <c r="J2523" s="3">
        <v>44249.433055555557</v>
      </c>
      <c r="K2523" cm="1">
        <f t="array" ref="K2523">sentimentCalc(C2523)</f>
        <v>-7</v>
      </c>
      <c r="L2523" t="str" cm="1">
        <f t="array" ref="L2523">sentimentCategory(K2523)</f>
        <v>Negative</v>
      </c>
    </row>
    <row r="2524" spans="1:12" x14ac:dyDescent="0.25">
      <c r="A2524" t="s">
        <v>1100</v>
      </c>
      <c r="B2524" t="s">
        <v>3318</v>
      </c>
      <c r="C2524" t="str" cm="1">
        <f t="array" ref="C2524">CleanText(B2524)</f>
        <v>rip to all those who watch barbie instead of oppenheimer</v>
      </c>
      <c r="D2524">
        <v>4</v>
      </c>
      <c r="E2524">
        <v>1</v>
      </c>
      <c r="F2524" t="s">
        <v>10</v>
      </c>
      <c r="G2524" t="str" cm="1">
        <f t="array" ref="G2524">FindCountryName(F2524)</f>
        <v>None</v>
      </c>
      <c r="H2524" s="3">
        <v>45150.403715277775</v>
      </c>
      <c r="I2524" s="3">
        <v>45150.403715277775</v>
      </c>
      <c r="J2524" s="3">
        <v>44160.491562499999</v>
      </c>
      <c r="K2524" cm="1">
        <f t="array" ref="K2524">sentimentCalc(C2524)</f>
        <v>0</v>
      </c>
      <c r="L2524" t="str" cm="1">
        <f t="array" ref="L2524">sentimentCategory(K2524)</f>
        <v>Neutral</v>
      </c>
    </row>
    <row r="2525" spans="1:12" x14ac:dyDescent="0.25">
      <c r="A2525" t="s">
        <v>638</v>
      </c>
      <c r="B2525" t="s">
        <v>639</v>
      </c>
      <c r="C2525" t="str" cm="1">
        <f t="array" ref="C2525">CleanText(B2525)</f>
        <v>rolando</v>
      </c>
      <c r="D2525">
        <v>0</v>
      </c>
      <c r="E2525">
        <v>0</v>
      </c>
      <c r="F2525" t="s">
        <v>10</v>
      </c>
      <c r="G2525" t="str" cm="1">
        <f t="array" ref="G2525">FindCountryName(F2525)</f>
        <v>None</v>
      </c>
      <c r="H2525" s="3">
        <v>45314.429270833331</v>
      </c>
      <c r="I2525" s="3">
        <v>45314.429270833331</v>
      </c>
      <c r="J2525" s="3">
        <v>45116.663171296299</v>
      </c>
      <c r="K2525" cm="1">
        <f t="array" ref="K2525">sentimentCalc(C2525)</f>
        <v>0</v>
      </c>
      <c r="L2525" t="str" cm="1">
        <f t="array" ref="L2525">sentimentCategory(K2525)</f>
        <v>Neutral</v>
      </c>
    </row>
    <row r="2526" spans="1:12" x14ac:dyDescent="0.25">
      <c r="A2526" t="s">
        <v>1112</v>
      </c>
      <c r="B2526" t="s">
        <v>3048</v>
      </c>
      <c r="C2526" t="str" cm="1">
        <f t="array" ref="C2526">CleanText(B2526)</f>
        <v>romania dont need this sheet movie we need good job  no corruption in guverment</v>
      </c>
      <c r="D2526">
        <v>1</v>
      </c>
      <c r="E2526">
        <v>0</v>
      </c>
      <c r="F2526" t="s">
        <v>10</v>
      </c>
      <c r="G2526" t="str" cm="1">
        <f t="array" ref="G2526">FindCountryName(F2526)</f>
        <v>None</v>
      </c>
      <c r="H2526" s="3">
        <v>45154.041377314818</v>
      </c>
      <c r="I2526" s="3">
        <v>45154.041377314818</v>
      </c>
      <c r="J2526" s="3">
        <v>42363.617476851854</v>
      </c>
      <c r="K2526" cm="1">
        <f t="array" ref="K2526">sentimentCalc(C2526)</f>
        <v>2</v>
      </c>
      <c r="L2526" t="str" cm="1">
        <f t="array" ref="L2526">sentimentCategory(K2526)</f>
        <v>Positive</v>
      </c>
    </row>
    <row r="2527" spans="1:12" x14ac:dyDescent="0.25">
      <c r="A2527" t="s">
        <v>495</v>
      </c>
      <c r="B2527" t="s">
        <v>4359</v>
      </c>
      <c r="C2527" t="str" cm="1">
        <f t="array" ref="C2527">CleanText(B2527)</f>
        <v>rubbish</v>
      </c>
      <c r="D2527">
        <v>2</v>
      </c>
      <c r="E2527">
        <v>0</v>
      </c>
      <c r="F2527" t="s">
        <v>10</v>
      </c>
      <c r="G2527" t="str" cm="1">
        <f t="array" ref="G2527">FindCountryName(F2527)</f>
        <v>None</v>
      </c>
      <c r="H2527" s="3">
        <v>45140.671817129631</v>
      </c>
      <c r="I2527" s="3">
        <v>45140.671817129631</v>
      </c>
      <c r="J2527" s="3">
        <v>44415.745138888888</v>
      </c>
      <c r="K2527" cm="1">
        <f t="array" ref="K2527">sentimentCalc(C2527)</f>
        <v>0</v>
      </c>
      <c r="L2527" t="str" cm="1">
        <f t="array" ref="L2527">sentimentCategory(K2527)</f>
        <v>Neutral</v>
      </c>
    </row>
    <row r="2528" spans="1:12" x14ac:dyDescent="0.25">
      <c r="A2528" t="s">
        <v>197</v>
      </c>
      <c r="B2528" t="s">
        <v>3000</v>
      </c>
      <c r="C2528" t="str" cm="1">
        <f t="array" ref="C2528">CleanText(B2528)</f>
        <v>rubbish</v>
      </c>
      <c r="D2528">
        <v>2</v>
      </c>
      <c r="E2528">
        <v>0</v>
      </c>
      <c r="F2528" t="s">
        <v>10</v>
      </c>
      <c r="G2528" t="str" cm="1">
        <f t="array" ref="G2528">FindCountryName(F2528)</f>
        <v>None</v>
      </c>
      <c r="H2528" s="3">
        <v>45154.601631944446</v>
      </c>
      <c r="I2528" s="3">
        <v>45154.601631944446</v>
      </c>
      <c r="J2528" s="3">
        <v>43462.242083333331</v>
      </c>
      <c r="K2528" cm="1">
        <f t="array" ref="K2528">sentimentCalc(C2528)</f>
        <v>0</v>
      </c>
      <c r="L2528" t="str" cm="1">
        <f t="array" ref="L2528">sentimentCategory(K2528)</f>
        <v>Neutral</v>
      </c>
    </row>
    <row r="2529" spans="1:12" x14ac:dyDescent="0.25">
      <c r="A2529" t="s">
        <v>1006</v>
      </c>
      <c r="B2529" t="s">
        <v>1239</v>
      </c>
      <c r="C2529" t="str" cm="1">
        <f t="array" ref="C2529">CleanText(B2529)</f>
        <v>ryaan gosling wasnt he little old to play ken</v>
      </c>
      <c r="D2529">
        <v>1</v>
      </c>
      <c r="E2529">
        <v>1</v>
      </c>
      <c r="F2529" t="s">
        <v>10</v>
      </c>
      <c r="G2529" t="str" cm="1">
        <f t="array" ref="G2529">FindCountryName(F2529)</f>
        <v>None</v>
      </c>
      <c r="H2529" s="3">
        <v>45272.376689814817</v>
      </c>
      <c r="I2529" s="3">
        <v>45272.376689814817</v>
      </c>
      <c r="J2529" s="3">
        <v>41376.405335648145</v>
      </c>
      <c r="K2529" cm="1">
        <f t="array" ref="K2529">sentimentCalc(C2529)</f>
        <v>0</v>
      </c>
      <c r="L2529" t="str" cm="1">
        <f t="array" ref="L2529">sentimentCategory(K2529)</f>
        <v>Neutral</v>
      </c>
    </row>
    <row r="2530" spans="1:12" x14ac:dyDescent="0.25">
      <c r="A2530" t="s">
        <v>148</v>
      </c>
      <c r="B2530" t="s">
        <v>149</v>
      </c>
      <c r="C2530" t="str" cm="1">
        <f t="array" ref="C2530">CleanText(B2530)</f>
        <v>ryam gosling is capable to play this rolehes my favorite</v>
      </c>
      <c r="D2530">
        <v>1</v>
      </c>
      <c r="E2530">
        <v>0</v>
      </c>
      <c r="F2530" t="s">
        <v>10</v>
      </c>
      <c r="G2530" t="str" cm="1">
        <f t="array" ref="G2530">FindCountryName(F2530)</f>
        <v>None</v>
      </c>
      <c r="H2530" s="3">
        <v>45337.46025462963</v>
      </c>
      <c r="I2530" s="3">
        <v>45337.46025462963</v>
      </c>
      <c r="J2530" s="3">
        <v>41530.209837962961</v>
      </c>
      <c r="K2530" cm="1">
        <f t="array" ref="K2530">sentimentCalc(C2530)</f>
        <v>3</v>
      </c>
      <c r="L2530" t="str" cm="1">
        <f t="array" ref="L2530">sentimentCategory(K2530)</f>
        <v>Positive</v>
      </c>
    </row>
    <row r="2531" spans="1:12" x14ac:dyDescent="0.25">
      <c r="A2531" t="s">
        <v>2818</v>
      </c>
      <c r="B2531" t="s">
        <v>2819</v>
      </c>
      <c r="C2531" t="str" cm="1">
        <f t="array" ref="C2531">CleanText(B2531)</f>
        <v>ryan acting was op</v>
      </c>
      <c r="D2531">
        <v>2</v>
      </c>
      <c r="E2531">
        <v>0</v>
      </c>
      <c r="F2531" t="s">
        <v>10</v>
      </c>
      <c r="G2531" t="str" cm="1">
        <f t="array" ref="G2531">FindCountryName(F2531)</f>
        <v>None</v>
      </c>
      <c r="H2531" s="3">
        <v>45157.408229166664</v>
      </c>
      <c r="I2531" s="3">
        <v>45157.408229166664</v>
      </c>
      <c r="J2531" s="3">
        <v>39612.884675925925</v>
      </c>
      <c r="K2531" cm="1">
        <f t="array" ref="K2531">sentimentCalc(C2531)</f>
        <v>0</v>
      </c>
      <c r="L2531" t="str" cm="1">
        <f t="array" ref="L2531">sentimentCategory(K2531)</f>
        <v>Neutral</v>
      </c>
    </row>
    <row r="2532" spans="1:12" x14ac:dyDescent="0.25">
      <c r="A2532" t="s">
        <v>4224</v>
      </c>
      <c r="B2532" t="s">
        <v>4225</v>
      </c>
      <c r="C2532" t="str" cm="1">
        <f t="array" ref="C2532">CleanText(B2532)</f>
        <v>ryan as ken huhh clearly jason momoa wasnt free</v>
      </c>
      <c r="D2532">
        <v>0</v>
      </c>
      <c r="E2532">
        <v>0</v>
      </c>
      <c r="F2532" t="s">
        <v>10</v>
      </c>
      <c r="G2532" t="str" cm="1">
        <f t="array" ref="G2532">FindCountryName(F2532)</f>
        <v>None</v>
      </c>
      <c r="H2532" s="3">
        <v>45141.720729166664</v>
      </c>
      <c r="I2532" s="3">
        <v>45141.720729166664</v>
      </c>
      <c r="J2532" s="3">
        <v>44945.435150462959</v>
      </c>
      <c r="K2532" cm="1">
        <f t="array" ref="K2532">sentimentCalc(C2532)</f>
        <v>2</v>
      </c>
      <c r="L2532" t="str" cm="1">
        <f t="array" ref="L2532">sentimentCategory(K2532)</f>
        <v>Positive</v>
      </c>
    </row>
    <row r="2533" spans="1:12" x14ac:dyDescent="0.25">
      <c r="A2533" t="s">
        <v>156</v>
      </c>
      <c r="B2533" t="s">
        <v>2561</v>
      </c>
      <c r="C2533" t="str" cm="1">
        <f t="array" ref="C2533">CleanText(B2533)</f>
        <v>ryan colising is ken how</v>
      </c>
      <c r="D2533">
        <v>0</v>
      </c>
      <c r="E2533">
        <v>0</v>
      </c>
      <c r="F2533" t="s">
        <v>10</v>
      </c>
      <c r="G2533" t="str" cm="1">
        <f t="array" ref="G2533">FindCountryName(F2533)</f>
        <v>None</v>
      </c>
      <c r="H2533" s="3">
        <v>45163.403819444444</v>
      </c>
      <c r="I2533" s="3">
        <v>45163.403819444444</v>
      </c>
      <c r="J2533" s="3">
        <v>44996.20040509259</v>
      </c>
      <c r="K2533" cm="1">
        <f t="array" ref="K2533">sentimentCalc(C2533)</f>
        <v>0</v>
      </c>
      <c r="L2533" t="str" cm="1">
        <f t="array" ref="L2533">sentimentCategory(K2533)</f>
        <v>Neutral</v>
      </c>
    </row>
    <row r="2534" spans="1:12" x14ac:dyDescent="0.25">
      <c r="A2534" t="s">
        <v>94</v>
      </c>
      <c r="B2534" t="s">
        <v>436</v>
      </c>
      <c r="C2534" t="str" cm="1">
        <f t="array" ref="C2534">CleanText(B2534)</f>
        <v>ryan gosling as ken is all i need in life</v>
      </c>
      <c r="D2534">
        <v>0</v>
      </c>
      <c r="E2534">
        <v>0</v>
      </c>
      <c r="F2534" t="s">
        <v>10</v>
      </c>
      <c r="G2534" t="str" cm="1">
        <f t="array" ref="G2534">FindCountryName(F2534)</f>
        <v>None</v>
      </c>
      <c r="H2534" s="3">
        <v>45322.271597222221</v>
      </c>
      <c r="I2534" s="3">
        <v>45322.271597222221</v>
      </c>
      <c r="J2534" s="3">
        <v>42742.390474537038</v>
      </c>
      <c r="K2534" cm="1">
        <f t="array" ref="K2534">sentimentCalc(C2534)</f>
        <v>0</v>
      </c>
      <c r="L2534" t="str" cm="1">
        <f t="array" ref="L2534">sentimentCategory(K2534)</f>
        <v>Neutral</v>
      </c>
    </row>
    <row r="2535" spans="1:12" x14ac:dyDescent="0.25">
      <c r="A2535" t="s">
        <v>385</v>
      </c>
      <c r="B2535" t="s">
        <v>1700</v>
      </c>
      <c r="C2535" t="str" cm="1">
        <f t="array" ref="C2535">CleanText(B2535)</f>
        <v>ryan gosling as ken is the greatest casting choice of all time</v>
      </c>
      <c r="D2535">
        <v>0</v>
      </c>
      <c r="E2535">
        <v>0</v>
      </c>
      <c r="F2535" t="s">
        <v>845</v>
      </c>
      <c r="G2535" t="str" cm="1">
        <f t="array" ref="G2535">FindCountryName(F2535)</f>
        <v>Australia</v>
      </c>
      <c r="H2535" s="3">
        <v>45201.171759259261</v>
      </c>
      <c r="I2535" s="3">
        <v>45201.171759259261</v>
      </c>
      <c r="J2535" s="3">
        <v>44472.338437500002</v>
      </c>
      <c r="K2535" cm="1">
        <f t="array" ref="K2535">sentimentCalc(C2535)</f>
        <v>3</v>
      </c>
      <c r="L2535" t="str" cm="1">
        <f t="array" ref="L2535">sentimentCategory(K2535)</f>
        <v>Positive</v>
      </c>
    </row>
    <row r="2536" spans="1:12" x14ac:dyDescent="0.25">
      <c r="A2536" t="s">
        <v>866</v>
      </c>
      <c r="B2536" t="s">
        <v>1318</v>
      </c>
      <c r="C2536" t="str" cm="1">
        <f t="array" ref="C2536">CleanText(B2536)</f>
        <v>ryan gosling carried the movie would have been boring and meh without him</v>
      </c>
      <c r="D2536">
        <v>1</v>
      </c>
      <c r="E2536">
        <v>0</v>
      </c>
      <c r="F2536" t="s">
        <v>227</v>
      </c>
      <c r="G2536" t="str" cm="1">
        <f t="array" ref="G2536">FindCountryName(F2536)</f>
        <v>United States of America (the)</v>
      </c>
      <c r="H2536" s="3">
        <v>45246.132627314815</v>
      </c>
      <c r="I2536" s="3">
        <v>45246.132627314815</v>
      </c>
      <c r="J2536" s="3">
        <v>40987.767789351848</v>
      </c>
      <c r="K2536" cm="1">
        <f t="array" ref="K2536">sentimentCalc(C2536)</f>
        <v>-3</v>
      </c>
      <c r="L2536" t="str" cm="1">
        <f t="array" ref="L2536">sentimentCategory(K2536)</f>
        <v>Negative</v>
      </c>
    </row>
    <row r="2537" spans="1:12" x14ac:dyDescent="0.25">
      <c r="A2537" t="s">
        <v>620</v>
      </c>
      <c r="B2537" t="s">
        <v>4100</v>
      </c>
      <c r="C2537" t="str" cm="1">
        <f t="array" ref="C2537">CleanText(B2537)</f>
        <v>ryan gosling did amazing he was the real star of barbie and margot robbie was mediocre</v>
      </c>
      <c r="D2537">
        <v>3</v>
      </c>
      <c r="E2537">
        <v>3</v>
      </c>
      <c r="F2537" t="s">
        <v>10</v>
      </c>
      <c r="G2537" t="str" cm="1">
        <f t="array" ref="G2537">FindCountryName(F2537)</f>
        <v>None</v>
      </c>
      <c r="H2537" s="3">
        <v>45142.895787037036</v>
      </c>
      <c r="I2537" s="3">
        <v>45142.895787037036</v>
      </c>
      <c r="J2537" s="3">
        <v>44691.592777777776</v>
      </c>
      <c r="K2537" cm="1">
        <f t="array" ref="K2537">sentimentCalc(C2537)</f>
        <v>4</v>
      </c>
      <c r="L2537" t="str" cm="1">
        <f t="array" ref="L2537">sentimentCategory(K2537)</f>
        <v>Positive</v>
      </c>
    </row>
    <row r="2538" spans="1:12" x14ac:dyDescent="0.25">
      <c r="A2538" t="s">
        <v>3063</v>
      </c>
      <c r="B2538" t="s">
        <v>4333</v>
      </c>
      <c r="C2538" t="str" cm="1">
        <f t="array" ref="C2538">CleanText(B2538)</f>
        <v>ryan gosling does not look blonde or look like ken yall did a garbage with the ken actor</v>
      </c>
      <c r="D2538">
        <v>0</v>
      </c>
      <c r="E2538">
        <v>0</v>
      </c>
      <c r="F2538" t="s">
        <v>10</v>
      </c>
      <c r="G2538" t="str" cm="1">
        <f t="array" ref="G2538">FindCountryName(F2538)</f>
        <v>None</v>
      </c>
      <c r="H2538" s="3">
        <v>45140.881608796299</v>
      </c>
      <c r="I2538" s="3">
        <v>45140.881608796299</v>
      </c>
      <c r="J2538" s="3">
        <v>44076.077060185184</v>
      </c>
      <c r="K2538" cm="1">
        <f t="array" ref="K2538">sentimentCalc(C2538)</f>
        <v>2</v>
      </c>
      <c r="L2538" t="str" cm="1">
        <f t="array" ref="L2538">sentimentCategory(K2538)</f>
        <v>Positive</v>
      </c>
    </row>
    <row r="2539" spans="1:12" x14ac:dyDescent="0.25">
      <c r="A2539" t="s">
        <v>2988</v>
      </c>
      <c r="B2539" t="s">
        <v>2989</v>
      </c>
      <c r="C2539" t="str" cm="1">
        <f t="array" ref="C2539">CleanText(B2539)</f>
        <v>ryan gosling had me in hysterics</v>
      </c>
      <c r="D2539">
        <v>0</v>
      </c>
      <c r="E2539">
        <v>0</v>
      </c>
      <c r="F2539" t="s">
        <v>10</v>
      </c>
      <c r="G2539" t="str" cm="1">
        <f t="array" ref="G2539">FindCountryName(F2539)</f>
        <v>None</v>
      </c>
      <c r="H2539" s="3">
        <v>45154.727905092594</v>
      </c>
      <c r="I2539" s="3">
        <v>45154.727905092594</v>
      </c>
      <c r="J2539" s="3">
        <v>39194.194641203707</v>
      </c>
      <c r="K2539" cm="1">
        <f t="array" ref="K2539">sentimentCalc(C2539)</f>
        <v>-3</v>
      </c>
      <c r="L2539" t="str" cm="1">
        <f t="array" ref="L2539">sentimentCategory(K2539)</f>
        <v>Negative</v>
      </c>
    </row>
    <row r="2540" spans="1:12" x14ac:dyDescent="0.25">
      <c r="A2540" t="s">
        <v>62</v>
      </c>
      <c r="B2540" t="s">
        <v>4364</v>
      </c>
      <c r="C2540" t="str" cm="1">
        <f t="array" ref="C2540">CleanText(B2540)</f>
        <v>ryan gosling has made the part of ken cool</v>
      </c>
      <c r="D2540">
        <v>0</v>
      </c>
      <c r="E2540">
        <v>0</v>
      </c>
      <c r="F2540" t="s">
        <v>10</v>
      </c>
      <c r="G2540" t="str" cm="1">
        <f t="array" ref="G2540">FindCountryName(F2540)</f>
        <v>None</v>
      </c>
      <c r="H2540" s="3">
        <v>45140.660833333335</v>
      </c>
      <c r="I2540" s="3">
        <v>45140.660833333335</v>
      </c>
      <c r="J2540" s="3">
        <v>42688.654583333337</v>
      </c>
      <c r="K2540" cm="1">
        <f t="array" ref="K2540">sentimentCalc(C2540)</f>
        <v>1</v>
      </c>
      <c r="L2540" t="str" cm="1">
        <f t="array" ref="L2540">sentimentCategory(K2540)</f>
        <v>Positive</v>
      </c>
    </row>
    <row r="2541" spans="1:12" x14ac:dyDescent="0.25">
      <c r="A2541" t="s">
        <v>804</v>
      </c>
      <c r="B2541" t="s">
        <v>805</v>
      </c>
      <c r="C2541" t="str" cm="1">
        <f t="array" ref="C2541">CleanText(B2541)</f>
        <v>ryan gosling is hilarious</v>
      </c>
      <c r="D2541">
        <v>2</v>
      </c>
      <c r="E2541">
        <v>0</v>
      </c>
      <c r="F2541" t="s">
        <v>10</v>
      </c>
      <c r="G2541" t="str" cm="1">
        <f t="array" ref="G2541">FindCountryName(F2541)</f>
        <v>None</v>
      </c>
      <c r="H2541" s="3">
        <v>45306.659560185188</v>
      </c>
      <c r="I2541" s="3">
        <v>45306.659560185188</v>
      </c>
      <c r="J2541" s="3">
        <v>41394.816655092596</v>
      </c>
      <c r="K2541" cm="1">
        <f t="array" ref="K2541">sentimentCalc(C2541)</f>
        <v>2</v>
      </c>
      <c r="L2541" t="str" cm="1">
        <f t="array" ref="L2541">sentimentCategory(K2541)</f>
        <v>Positive</v>
      </c>
    </row>
    <row r="2542" spans="1:12" x14ac:dyDescent="0.25">
      <c r="A2542" t="s">
        <v>4085</v>
      </c>
      <c r="B2542" t="s">
        <v>4086</v>
      </c>
      <c r="C2542" t="str" cm="1">
        <f t="array" ref="C2542">CleanText(B2542)</f>
        <v>ryan gosling is so over rated reynolds is better tbh</v>
      </c>
      <c r="D2542">
        <v>0</v>
      </c>
      <c r="E2542">
        <v>2</v>
      </c>
      <c r="F2542" t="s">
        <v>10</v>
      </c>
      <c r="G2542" t="str" cm="1">
        <f t="array" ref="G2542">FindCountryName(F2542)</f>
        <v>None</v>
      </c>
      <c r="H2542" s="3">
        <v>45143.008530092593</v>
      </c>
      <c r="I2542" s="3">
        <v>45143.008530092593</v>
      </c>
      <c r="J2542" s="3">
        <v>44826.181863425925</v>
      </c>
      <c r="K2542" cm="1">
        <f t="array" ref="K2542">sentimentCalc(C2542)</f>
        <v>2</v>
      </c>
      <c r="L2542" t="str" cm="1">
        <f t="array" ref="L2542">sentimentCategory(K2542)</f>
        <v>Positive</v>
      </c>
    </row>
    <row r="2543" spans="1:12" x14ac:dyDescent="0.25">
      <c r="A2543" t="s">
        <v>2001</v>
      </c>
      <c r="B2543" t="s">
        <v>2002</v>
      </c>
      <c r="C2543" t="str" cm="1">
        <f t="array" ref="C2543">CleanText(B2543)</f>
        <v>ryan gosling is way too old to play ken just think  ken with wrinkles</v>
      </c>
      <c r="D2543">
        <v>0</v>
      </c>
      <c r="E2543">
        <v>0</v>
      </c>
      <c r="F2543" t="s">
        <v>10</v>
      </c>
      <c r="G2543" t="str" cm="1">
        <f t="array" ref="G2543">FindCountryName(F2543)</f>
        <v>None</v>
      </c>
      <c r="H2543" s="3">
        <v>45184.927118055559</v>
      </c>
      <c r="I2543" s="3">
        <v>45184.927118055559</v>
      </c>
      <c r="J2543" s="3">
        <v>41531.819652777776</v>
      </c>
      <c r="K2543" cm="1">
        <f t="array" ref="K2543">sentimentCalc(C2543)</f>
        <v>0</v>
      </c>
      <c r="L2543" t="str" cm="1">
        <f t="array" ref="L2543">sentimentCategory(K2543)</f>
        <v>Neutral</v>
      </c>
    </row>
    <row r="2544" spans="1:12" x14ac:dyDescent="0.25">
      <c r="A2544" t="s">
        <v>112</v>
      </c>
      <c r="B2544" t="s">
        <v>1029</v>
      </c>
      <c r="C2544" t="str" cm="1">
        <f t="array" ref="C2544">CleanText(B2544)</f>
        <v>ryan gosling soo good actor</v>
      </c>
      <c r="D2544">
        <v>0</v>
      </c>
      <c r="E2544">
        <v>0</v>
      </c>
      <c r="F2544" t="s">
        <v>10</v>
      </c>
      <c r="G2544" t="str" cm="1">
        <f t="array" ref="G2544">FindCountryName(F2544)</f>
        <v>None</v>
      </c>
      <c r="H2544" s="3">
        <v>45299.250358796293</v>
      </c>
      <c r="I2544" s="3">
        <v>45299.250358796293</v>
      </c>
      <c r="J2544" s="3">
        <v>41406.048206018517</v>
      </c>
      <c r="K2544" cm="1">
        <f t="array" ref="K2544">sentimentCalc(C2544)</f>
        <v>3</v>
      </c>
      <c r="L2544" t="str" cm="1">
        <f t="array" ref="L2544">sentimentCategory(K2544)</f>
        <v>Positive</v>
      </c>
    </row>
    <row r="2545" spans="1:12" x14ac:dyDescent="0.25">
      <c r="A2545" t="s">
        <v>3686</v>
      </c>
      <c r="B2545" t="s">
        <v>4240</v>
      </c>
      <c r="C2545" t="str" cm="1">
        <f t="array" ref="C2545">CleanText(B2545)</f>
        <v>ryan gosling talking so much in a movie is un real for me</v>
      </c>
      <c r="D2545">
        <v>0</v>
      </c>
      <c r="E2545">
        <v>0</v>
      </c>
      <c r="F2545" t="s">
        <v>10</v>
      </c>
      <c r="G2545" t="str" cm="1">
        <f t="array" ref="G2545">FindCountryName(F2545)</f>
        <v>None</v>
      </c>
      <c r="H2545" s="3">
        <v>45141.526041666664</v>
      </c>
      <c r="I2545" s="3">
        <v>45141.526041666664</v>
      </c>
      <c r="J2545" s="3">
        <v>45125.661504629628</v>
      </c>
      <c r="K2545" cm="1">
        <f t="array" ref="K2545">sentimentCalc(C2545)</f>
        <v>0</v>
      </c>
      <c r="L2545" t="str" cm="1">
        <f t="array" ref="L2545">sentimentCategory(K2545)</f>
        <v>Neutral</v>
      </c>
    </row>
    <row r="2546" spans="1:12" x14ac:dyDescent="0.25">
      <c r="A2546" t="s">
        <v>3109</v>
      </c>
      <c r="B2546" t="s">
        <v>3110</v>
      </c>
      <c r="C2546" t="str" cm="1">
        <f t="array" ref="C2546">CleanText(B2546)</f>
        <v>ryan gosling too good</v>
      </c>
      <c r="D2546">
        <v>0</v>
      </c>
      <c r="E2546">
        <v>0</v>
      </c>
      <c r="F2546" t="s">
        <v>10</v>
      </c>
      <c r="G2546" t="str" cm="1">
        <f t="array" ref="G2546">FindCountryName(F2546)</f>
        <v>None</v>
      </c>
      <c r="H2546" s="3">
        <v>45153.321053240739</v>
      </c>
      <c r="I2546" s="3">
        <v>45153.321053240739</v>
      </c>
      <c r="J2546" s="3">
        <v>41399.03628472222</v>
      </c>
      <c r="K2546" cm="1">
        <f t="array" ref="K2546">sentimentCalc(C2546)</f>
        <v>3</v>
      </c>
      <c r="L2546" t="str" cm="1">
        <f t="array" ref="L2546">sentimentCategory(K2546)</f>
        <v>Positive</v>
      </c>
    </row>
    <row r="2547" spans="1:12" x14ac:dyDescent="0.25">
      <c r="A2547" t="s">
        <v>986</v>
      </c>
      <c r="B2547" t="s">
        <v>987</v>
      </c>
      <c r="C2547" t="str" cm="1">
        <f t="array" ref="C2547">CleanText(B2547)</f>
        <v>ryan goslingden bakas oynayamazm keni performans iyiydi</v>
      </c>
      <c r="D2547">
        <v>0</v>
      </c>
      <c r="E2547">
        <v>0</v>
      </c>
      <c r="F2547" t="s">
        <v>10</v>
      </c>
      <c r="G2547" t="str" cm="1">
        <f t="array" ref="G2547">FindCountryName(F2547)</f>
        <v>None</v>
      </c>
      <c r="H2547" s="3">
        <v>45299.253020833334</v>
      </c>
      <c r="I2547" s="3">
        <v>45299.253020833334</v>
      </c>
      <c r="J2547" s="3">
        <v>44571.522361111114</v>
      </c>
      <c r="K2547" cm="1">
        <f t="array" ref="K2547">sentimentCalc(C2547)</f>
        <v>0</v>
      </c>
      <c r="L2547" t="str" cm="1">
        <f t="array" ref="L2547">sentimentCategory(K2547)</f>
        <v>Neutral</v>
      </c>
    </row>
    <row r="2548" spans="1:12" x14ac:dyDescent="0.25">
      <c r="A2548" t="s">
        <v>694</v>
      </c>
      <c r="B2548" t="s">
        <v>695</v>
      </c>
      <c r="C2548" t="str" cm="1">
        <f t="array" ref="C2548">CleanText(B2548)</f>
        <v>ryan goslings godlike acting was mindblowing this parody is so genious in showing narcisism of the barbie and the emotional breakdown and manipulation of ken is d chess as an older type of male i was avoiding shallow holywood propaganda for many years and did not want to watch this movie at all only watched it because my cousin persuaded me to give it a try but i shall never ever judge book by its cover aggain ryan you should get an oscar for this</v>
      </c>
      <c r="D2548">
        <v>0</v>
      </c>
      <c r="E2548">
        <v>0</v>
      </c>
      <c r="F2548" t="s">
        <v>10</v>
      </c>
      <c r="G2548" t="str" cm="1">
        <f t="array" ref="G2548">FindCountryName(F2548)</f>
        <v>None</v>
      </c>
      <c r="H2548" s="3">
        <v>45313.67769675926</v>
      </c>
      <c r="I2548" s="3">
        <v>45313.67863425926</v>
      </c>
      <c r="J2548" s="3">
        <v>39057.457002314812</v>
      </c>
      <c r="K2548" cm="1">
        <f t="array" ref="K2548">sentimentCalc(C2548)</f>
        <v>-2</v>
      </c>
      <c r="L2548" t="str" cm="1">
        <f t="array" ref="L2548">sentimentCategory(K2548)</f>
        <v>Negative</v>
      </c>
    </row>
    <row r="2549" spans="1:12" x14ac:dyDescent="0.25">
      <c r="A2549" t="s">
        <v>1142</v>
      </c>
      <c r="B2549" t="s">
        <v>1143</v>
      </c>
      <c r="C2549" t="str" cm="1">
        <f t="array" ref="C2549">CleanText(B2549)</f>
        <v>ryan goslings worst movie ever down playing his acting skills to portray the image of a patriarchal man and everything he liked that was considered patriarchal are things i like and im a woman but at least we watched it at home and didnt spend money on it</v>
      </c>
      <c r="D2549">
        <v>1</v>
      </c>
      <c r="E2549">
        <v>1</v>
      </c>
      <c r="F2549" t="s">
        <v>10</v>
      </c>
      <c r="G2549" t="str" cm="1">
        <f t="array" ref="G2549">FindCountryName(F2549)</f>
        <v>None</v>
      </c>
      <c r="H2549" s="3">
        <v>45283.720717592594</v>
      </c>
      <c r="I2549" s="3">
        <v>45283.720949074072</v>
      </c>
      <c r="J2549" s="3">
        <v>40970.004189814812</v>
      </c>
      <c r="K2549" cm="1">
        <f t="array" ref="K2549">sentimentCalc(C2549)</f>
        <v>1</v>
      </c>
      <c r="L2549" t="str" cm="1">
        <f t="array" ref="L2549">sentimentCategory(K2549)</f>
        <v>Positive</v>
      </c>
    </row>
    <row r="2550" spans="1:12" x14ac:dyDescent="0.25">
      <c r="A2550" t="s">
        <v>3648</v>
      </c>
      <c r="B2550" t="s">
        <v>3649</v>
      </c>
      <c r="C2550" t="str" cm="1">
        <f t="array" ref="C2550">CleanText(B2550)</f>
        <v>ryan gossling in this movie has to be one of the oddest casting choices in recent memory for all the progressiveness of this movie its ironic that it still falls into the old hollywood age gap trap where for some reason its not creepy to have a male lead who is significantly older than the female lead why not the other way around this time</v>
      </c>
      <c r="D2550">
        <v>0</v>
      </c>
      <c r="E2550">
        <v>0</v>
      </c>
      <c r="F2550" t="s">
        <v>10</v>
      </c>
      <c r="G2550" t="str" cm="1">
        <f t="array" ref="G2550">FindCountryName(F2550)</f>
        <v>None</v>
      </c>
      <c r="H2550" s="3">
        <v>45146.799386574072</v>
      </c>
      <c r="I2550" s="3">
        <v>45146.799386574072</v>
      </c>
      <c r="J2550" s="3">
        <v>40800.760185185187</v>
      </c>
      <c r="K2550" cm="1">
        <f t="array" ref="K2550">sentimentCalc(C2550)</f>
        <v>-2</v>
      </c>
      <c r="L2550" t="str" cm="1">
        <f t="array" ref="L2550">sentimentCategory(K2550)</f>
        <v>Negative</v>
      </c>
    </row>
    <row r="2551" spans="1:12" x14ac:dyDescent="0.25">
      <c r="A2551" t="s">
        <v>3636</v>
      </c>
      <c r="B2551" t="s">
        <v>3637</v>
      </c>
      <c r="C2551" t="str" cm="1">
        <f t="array" ref="C2551">CleanText(B2551)</f>
        <v>ryan would of been good for this part yrs ago looking a little bit old in this especially next to margot</v>
      </c>
      <c r="D2551">
        <v>1</v>
      </c>
      <c r="E2551">
        <v>0</v>
      </c>
      <c r="F2551" t="s">
        <v>10</v>
      </c>
      <c r="G2551" t="str" cm="1">
        <f t="array" ref="G2551">FindCountryName(F2551)</f>
        <v>None</v>
      </c>
      <c r="H2551" s="3">
        <v>45146.955300925925</v>
      </c>
      <c r="I2551" s="3">
        <v>45146.955300925925</v>
      </c>
      <c r="J2551" s="3">
        <v>42390.186620370368</v>
      </c>
      <c r="K2551" cm="1">
        <f t="array" ref="K2551">sentimentCalc(C2551)</f>
        <v>3</v>
      </c>
      <c r="L2551" t="str" cm="1">
        <f t="array" ref="L2551">sentimentCategory(K2551)</f>
        <v>Positive</v>
      </c>
    </row>
    <row r="2552" spans="1:12" x14ac:dyDescent="0.25">
      <c r="A2552" t="s">
        <v>38</v>
      </c>
      <c r="B2552" t="s">
        <v>3779</v>
      </c>
      <c r="C2552" t="str" cm="1">
        <f t="array" ref="C2552">CleanText(B2552)</f>
        <v>s t u i d movie</v>
      </c>
      <c r="D2552">
        <v>3</v>
      </c>
      <c r="E2552">
        <v>0</v>
      </c>
      <c r="F2552" t="s">
        <v>10</v>
      </c>
      <c r="G2552" t="str" cm="1">
        <f t="array" ref="G2552">FindCountryName(F2552)</f>
        <v>None</v>
      </c>
      <c r="H2552" s="3">
        <v>45145.557638888888</v>
      </c>
      <c r="I2552" s="3">
        <v>45145.557638888888</v>
      </c>
      <c r="J2552" s="3">
        <v>44491.887337962966</v>
      </c>
      <c r="K2552" cm="1">
        <f t="array" ref="K2552">sentimentCalc(C2552)</f>
        <v>0</v>
      </c>
      <c r="L2552" t="str" cm="1">
        <f t="array" ref="L2552">sentimentCategory(K2552)</f>
        <v>Neutral</v>
      </c>
    </row>
    <row r="2553" spans="1:12" x14ac:dyDescent="0.25">
      <c r="A2553" t="s">
        <v>434</v>
      </c>
      <c r="B2553" t="s">
        <v>435</v>
      </c>
      <c r="C2553" t="str" cm="1">
        <f t="array" ref="C2553">CleanText(B2553)</f>
        <v>srad film</v>
      </c>
      <c r="D2553">
        <v>0</v>
      </c>
      <c r="E2553">
        <v>0</v>
      </c>
      <c r="F2553" t="s">
        <v>10</v>
      </c>
      <c r="G2553" t="str" cm="1">
        <f t="array" ref="G2553">FindCountryName(F2553)</f>
        <v>None</v>
      </c>
      <c r="H2553" s="3">
        <v>45322.271608796298</v>
      </c>
      <c r="I2553" s="3">
        <v>45322.271608796298</v>
      </c>
      <c r="J2553" s="3">
        <v>44895.438587962963</v>
      </c>
      <c r="K2553" cm="1">
        <f t="array" ref="K2553">sentimentCalc(C2553)</f>
        <v>0</v>
      </c>
      <c r="L2553" t="str" cm="1">
        <f t="array" ref="L2553">sentimentCategory(K2553)</f>
        <v>Neutral</v>
      </c>
    </row>
    <row r="2554" spans="1:12" x14ac:dyDescent="0.25">
      <c r="A2554" t="s">
        <v>417</v>
      </c>
      <c r="B2554" t="s">
        <v>548</v>
      </c>
      <c r="C2554" t="str" cm="1">
        <f t="array" ref="C2554">CleanText(B2554)</f>
        <v>sper</v>
      </c>
      <c r="D2554">
        <v>0</v>
      </c>
      <c r="E2554">
        <v>0</v>
      </c>
      <c r="F2554" t="s">
        <v>10</v>
      </c>
      <c r="G2554" t="str" cm="1">
        <f t="array" ref="G2554">FindCountryName(F2554)</f>
        <v>None</v>
      </c>
      <c r="H2554" s="3">
        <v>45317.275173611109</v>
      </c>
      <c r="I2554" s="3">
        <v>45317.275173611109</v>
      </c>
      <c r="J2554" s="3">
        <v>41471.917002314818</v>
      </c>
      <c r="K2554" cm="1">
        <f t="array" ref="K2554">sentimentCalc(C2554)</f>
        <v>0</v>
      </c>
      <c r="L2554" t="str" cm="1">
        <f t="array" ref="L2554">sentimentCategory(K2554)</f>
        <v>Neutral</v>
      </c>
    </row>
    <row r="2555" spans="1:12" x14ac:dyDescent="0.25">
      <c r="A2555" t="s">
        <v>609</v>
      </c>
      <c r="B2555" t="s">
        <v>900</v>
      </c>
      <c r="C2555" t="str" cm="1">
        <f t="array" ref="C2555">CleanText(B2555)</f>
        <v>sper ok ho ar beendim izlemek iin sabrszlanyorum</v>
      </c>
      <c r="D2555">
        <v>1</v>
      </c>
      <c r="E2555">
        <v>0</v>
      </c>
      <c r="F2555" t="s">
        <v>10</v>
      </c>
      <c r="G2555" t="str" cm="1">
        <f t="array" ref="G2555">FindCountryName(F2555)</f>
        <v>None</v>
      </c>
      <c r="H2555" s="3">
        <v>45299.306250000001</v>
      </c>
      <c r="I2555" s="3">
        <v>45299.306250000001</v>
      </c>
      <c r="J2555" s="3">
        <v>43405.522349537037</v>
      </c>
      <c r="K2555" cm="1">
        <f t="array" ref="K2555">sentimentCalc(C2555)</f>
        <v>0</v>
      </c>
      <c r="L2555" t="str" cm="1">
        <f t="array" ref="L2555">sentimentCategory(K2555)</f>
        <v>Neutral</v>
      </c>
    </row>
    <row r="2556" spans="1:12" x14ac:dyDescent="0.25">
      <c r="A2556" t="s">
        <v>96</v>
      </c>
      <c r="B2556" t="s">
        <v>97</v>
      </c>
      <c r="C2556" t="str" cm="1">
        <f t="array" ref="C2556">CleanText(B2556)</f>
        <v>sper bir film</v>
      </c>
      <c r="D2556">
        <v>0</v>
      </c>
      <c r="E2556">
        <v>0</v>
      </c>
      <c r="F2556" t="s">
        <v>10</v>
      </c>
      <c r="G2556" t="str" cm="1">
        <f t="array" ref="G2556">FindCountryName(F2556)</f>
        <v>None</v>
      </c>
      <c r="H2556" s="3">
        <v>45338.087222222224</v>
      </c>
      <c r="I2556" s="3">
        <v>45338.087222222224</v>
      </c>
      <c r="J2556" s="3">
        <v>45287.330648148149</v>
      </c>
      <c r="K2556" cm="1">
        <f t="array" ref="K2556">sentimentCalc(C2556)</f>
        <v>0</v>
      </c>
      <c r="L2556" t="str" cm="1">
        <f t="array" ref="L2556">sentimentCategory(K2556)</f>
        <v>Neutral</v>
      </c>
    </row>
    <row r="2557" spans="1:12" x14ac:dyDescent="0.25">
      <c r="A2557" t="s">
        <v>118</v>
      </c>
      <c r="B2557" t="s">
        <v>666</v>
      </c>
      <c r="C2557" t="str" cm="1">
        <f t="array" ref="C2557">CleanText(B2557)</f>
        <v>sper bir film barbie baylyorum sana ken ok tatlsn</v>
      </c>
      <c r="D2557">
        <v>0</v>
      </c>
      <c r="E2557">
        <v>0</v>
      </c>
      <c r="F2557" t="s">
        <v>10</v>
      </c>
      <c r="G2557" t="str" cm="1">
        <f t="array" ref="G2557">FindCountryName(F2557)</f>
        <v>None</v>
      </c>
      <c r="H2557" s="3">
        <v>45314.273726851854</v>
      </c>
      <c r="I2557" s="3">
        <v>45314.273726851854</v>
      </c>
      <c r="J2557" s="3">
        <v>43943.465949074074</v>
      </c>
      <c r="K2557" cm="1">
        <f t="array" ref="K2557">sentimentCalc(C2557)</f>
        <v>0</v>
      </c>
      <c r="L2557" t="str" cm="1">
        <f t="array" ref="L2557">sentimentCategory(K2557)</f>
        <v>Neutral</v>
      </c>
    </row>
    <row r="2558" spans="1:12" x14ac:dyDescent="0.25">
      <c r="A2558" t="s">
        <v>447</v>
      </c>
      <c r="B2558" t="s">
        <v>448</v>
      </c>
      <c r="C2558" t="str" cm="1">
        <f t="array" ref="C2558">CleanText(B2558)</f>
        <v>sper</v>
      </c>
      <c r="D2558">
        <v>0</v>
      </c>
      <c r="E2558">
        <v>0</v>
      </c>
      <c r="F2558" t="s">
        <v>10</v>
      </c>
      <c r="G2558" t="str" cm="1">
        <f t="array" ref="G2558">FindCountryName(F2558)</f>
        <v>None</v>
      </c>
      <c r="H2558" s="3">
        <v>45322.271354166667</v>
      </c>
      <c r="I2558" s="3">
        <v>45322.271354166667</v>
      </c>
      <c r="J2558" s="3">
        <v>41954.588379629633</v>
      </c>
      <c r="K2558" cm="1">
        <f t="array" ref="K2558">sentimentCalc(C2558)</f>
        <v>0</v>
      </c>
      <c r="L2558" t="str" cm="1">
        <f t="array" ref="L2558">sentimentCategory(K2558)</f>
        <v>Neutral</v>
      </c>
    </row>
    <row r="2559" spans="1:12" x14ac:dyDescent="0.25">
      <c r="A2559" t="s">
        <v>780</v>
      </c>
      <c r="B2559" t="s">
        <v>781</v>
      </c>
      <c r="C2559" t="str" cm="1">
        <f t="array" ref="C2559">CleanText(B2559)</f>
        <v>sper</v>
      </c>
      <c r="D2559">
        <v>0</v>
      </c>
      <c r="E2559">
        <v>0</v>
      </c>
      <c r="F2559" t="s">
        <v>10</v>
      </c>
      <c r="G2559" t="str" cm="1">
        <f t="array" ref="G2559">FindCountryName(F2559)</f>
        <v>None</v>
      </c>
      <c r="H2559" s="3">
        <v>45308.313946759263</v>
      </c>
      <c r="I2559" s="3">
        <v>45308.313946759263</v>
      </c>
      <c r="J2559" s="3">
        <v>41007.103958333333</v>
      </c>
      <c r="K2559" cm="1">
        <f t="array" ref="K2559">sentimentCalc(C2559)</f>
        <v>0</v>
      </c>
      <c r="L2559" t="str" cm="1">
        <f t="array" ref="L2559">sentimentCategory(K2559)</f>
        <v>Neutral</v>
      </c>
    </row>
    <row r="2560" spans="1:12" x14ac:dyDescent="0.25">
      <c r="A2560" t="s">
        <v>405</v>
      </c>
      <c r="B2560" t="s">
        <v>406</v>
      </c>
      <c r="C2560" t="str" cm="1">
        <f t="array" ref="C2560">CleanText(B2560)</f>
        <v>sper kendimi sinema salonunda hissetdim ok rahatlatc beendim</v>
      </c>
      <c r="D2560">
        <v>0</v>
      </c>
      <c r="E2560">
        <v>0</v>
      </c>
      <c r="F2560" t="s">
        <v>10</v>
      </c>
      <c r="G2560" t="str" cm="1">
        <f t="array" ref="G2560">FindCountryName(F2560)</f>
        <v>None</v>
      </c>
      <c r="H2560" s="3">
        <v>45322.272488425922</v>
      </c>
      <c r="I2560" s="3">
        <v>45322.272488425922</v>
      </c>
      <c r="J2560" s="3">
        <v>45322.252569444441</v>
      </c>
      <c r="K2560" cm="1">
        <f t="array" ref="K2560">sentimentCalc(C2560)</f>
        <v>0</v>
      </c>
      <c r="L2560" t="str" cm="1">
        <f t="array" ref="L2560">sentimentCategory(K2560)</f>
        <v>Neutral</v>
      </c>
    </row>
    <row r="2561" spans="1:12" x14ac:dyDescent="0.25">
      <c r="A2561" t="s">
        <v>442</v>
      </c>
      <c r="B2561" t="s">
        <v>443</v>
      </c>
      <c r="C2561" t="str" cm="1">
        <f t="array" ref="C2561">CleanText(B2561)</f>
        <v>sper</v>
      </c>
      <c r="D2561">
        <v>0</v>
      </c>
      <c r="E2561">
        <v>0</v>
      </c>
      <c r="F2561" t="s">
        <v>10</v>
      </c>
      <c r="G2561" t="str" cm="1">
        <f t="array" ref="G2561">FindCountryName(F2561)</f>
        <v>None</v>
      </c>
      <c r="H2561" s="3">
        <v>45322.271458333336</v>
      </c>
      <c r="I2561" s="3">
        <v>45322.271458333336</v>
      </c>
      <c r="J2561" s="3">
        <v>42704.70988425926</v>
      </c>
      <c r="K2561" cm="1">
        <f t="array" ref="K2561">sentimentCalc(C2561)</f>
        <v>0</v>
      </c>
      <c r="L2561" t="str" cm="1">
        <f t="array" ref="L2561">sentimentCategory(K2561)</f>
        <v>Neutral</v>
      </c>
    </row>
    <row r="2562" spans="1:12" x14ac:dyDescent="0.25">
      <c r="A2562" t="s">
        <v>315</v>
      </c>
      <c r="B2562" t="s">
        <v>1014</v>
      </c>
      <c r="C2562" t="str" cm="1">
        <f t="array" ref="C2562">CleanText(B2562)</f>
        <v>sper</v>
      </c>
      <c r="D2562">
        <v>0</v>
      </c>
      <c r="E2562">
        <v>0</v>
      </c>
      <c r="F2562" t="s">
        <v>10</v>
      </c>
      <c r="G2562" t="str" cm="1">
        <f t="array" ref="G2562">FindCountryName(F2562)</f>
        <v>None</v>
      </c>
      <c r="H2562" s="3">
        <v>45299.251747685186</v>
      </c>
      <c r="I2562" s="3">
        <v>45299.251747685186</v>
      </c>
      <c r="J2562" s="3">
        <v>40826.199074074073</v>
      </c>
      <c r="K2562" cm="1">
        <f t="array" ref="K2562">sentimentCalc(C2562)</f>
        <v>0</v>
      </c>
      <c r="L2562" t="str" cm="1">
        <f t="array" ref="L2562">sentimentCategory(K2562)</f>
        <v>Neutral</v>
      </c>
    </row>
    <row r="2563" spans="1:12" x14ac:dyDescent="0.25">
      <c r="A2563" t="s">
        <v>1065</v>
      </c>
      <c r="B2563" t="s">
        <v>1464</v>
      </c>
      <c r="C2563" t="str" cm="1">
        <f t="array" ref="C2563">CleanText(B2563)</f>
        <v>s ouro esse filme tom msm</v>
      </c>
      <c r="D2563">
        <v>0</v>
      </c>
      <c r="E2563">
        <v>0</v>
      </c>
      <c r="F2563" t="s">
        <v>10</v>
      </c>
      <c r="G2563" t="str" cm="1">
        <f t="array" ref="G2563">FindCountryName(F2563)</f>
        <v>None</v>
      </c>
      <c r="H2563" s="3">
        <v>45226.387071759258</v>
      </c>
      <c r="I2563" s="3">
        <v>45226.387071759258</v>
      </c>
      <c r="J2563" s="3">
        <v>41845.640787037039</v>
      </c>
      <c r="K2563" cm="1">
        <f t="array" ref="K2563">sentimentCalc(C2563)</f>
        <v>0</v>
      </c>
      <c r="L2563" t="str" cm="1">
        <f t="array" ref="L2563">sentimentCategory(K2563)</f>
        <v>Neutral</v>
      </c>
    </row>
    <row r="2564" spans="1:12" x14ac:dyDescent="0.25">
      <c r="A2564" t="s">
        <v>322</v>
      </c>
      <c r="B2564" t="s">
        <v>3222</v>
      </c>
      <c r="C2564" t="str" cm="1">
        <f t="array" ref="C2564">CleanText(B2564)</f>
        <v>saa</v>
      </c>
      <c r="D2564">
        <v>0</v>
      </c>
      <c r="E2564">
        <v>0</v>
      </c>
      <c r="F2564" t="s">
        <v>10</v>
      </c>
      <c r="G2564" t="str" cm="1">
        <f t="array" ref="G2564">FindCountryName(F2564)</f>
        <v>None</v>
      </c>
      <c r="H2564" s="3">
        <v>45151.636643518519</v>
      </c>
      <c r="I2564" s="3">
        <v>45151.636631944442</v>
      </c>
      <c r="J2564" s="3">
        <v>39297.108182870368</v>
      </c>
      <c r="K2564" cm="1">
        <f t="array" ref="K2564">sentimentCalc(C2564)</f>
        <v>0</v>
      </c>
      <c r="L2564" t="str" cm="1">
        <f t="array" ref="L2564">sentimentCategory(K2564)</f>
        <v>Neutral</v>
      </c>
    </row>
    <row r="2565" spans="1:12" x14ac:dyDescent="0.25">
      <c r="A2565" t="s">
        <v>3684</v>
      </c>
      <c r="B2565" t="s">
        <v>3685</v>
      </c>
      <c r="C2565" t="str" cm="1">
        <f t="array" ref="C2565">CleanText(B2565)</f>
        <v>sama sapan ocuk filmi</v>
      </c>
      <c r="D2565">
        <v>0</v>
      </c>
      <c r="E2565">
        <v>0</v>
      </c>
      <c r="F2565" t="s">
        <v>10</v>
      </c>
      <c r="G2565" t="str" cm="1">
        <f t="array" ref="G2565">FindCountryName(F2565)</f>
        <v>None</v>
      </c>
      <c r="H2565" s="3">
        <v>45146.428263888891</v>
      </c>
      <c r="I2565" s="3">
        <v>45146.428263888891</v>
      </c>
      <c r="J2565" s="3">
        <v>41695.745115740741</v>
      </c>
      <c r="K2565" cm="1">
        <f t="array" ref="K2565">sentimentCalc(C2565)</f>
        <v>0</v>
      </c>
      <c r="L2565" t="str" cm="1">
        <f t="array" ref="L2565">sentimentCategory(K2565)</f>
        <v>Neutral</v>
      </c>
    </row>
    <row r="2566" spans="1:12" x14ac:dyDescent="0.25">
      <c r="A2566" t="s">
        <v>594</v>
      </c>
      <c r="B2566" t="s">
        <v>595</v>
      </c>
      <c r="C2566" t="str" cm="1">
        <f t="array" ref="C2566">CleanText(B2566)</f>
        <v>sabrszlkla bekliyoruz ok gzel bir projeye benziyor</v>
      </c>
      <c r="D2566">
        <v>0</v>
      </c>
      <c r="E2566">
        <v>0</v>
      </c>
      <c r="F2566" t="s">
        <v>10</v>
      </c>
      <c r="G2566" t="str" cm="1">
        <f t="array" ref="G2566">FindCountryName(F2566)</f>
        <v>None</v>
      </c>
      <c r="H2566" s="3">
        <v>45317.27076388889</v>
      </c>
      <c r="I2566" s="3">
        <v>45317.27076388889</v>
      </c>
      <c r="J2566" s="3">
        <v>41996.30128472222</v>
      </c>
      <c r="K2566" cm="1">
        <f t="array" ref="K2566">sentimentCalc(C2566)</f>
        <v>0</v>
      </c>
      <c r="L2566" t="str" cm="1">
        <f t="array" ref="L2566">sentimentCategory(K2566)</f>
        <v>Neutral</v>
      </c>
    </row>
    <row r="2567" spans="1:12" x14ac:dyDescent="0.25">
      <c r="A2567" t="s">
        <v>280</v>
      </c>
      <c r="B2567" t="s">
        <v>281</v>
      </c>
      <c r="C2567" t="str" cm="1">
        <f t="array" ref="C2567">CleanText(B2567)</f>
        <v>sadece fragmani gorunce bile heyecanlandigim bir film mukemmel</v>
      </c>
      <c r="D2567">
        <v>0</v>
      </c>
      <c r="E2567">
        <v>0</v>
      </c>
      <c r="F2567" t="s">
        <v>10</v>
      </c>
      <c r="G2567" t="str" cm="1">
        <f t="array" ref="G2567">FindCountryName(F2567)</f>
        <v>None</v>
      </c>
      <c r="H2567" s="3">
        <v>45322.507002314815</v>
      </c>
      <c r="I2567" s="3">
        <v>45322.507002314815</v>
      </c>
      <c r="J2567" s="3">
        <v>45165.201319444444</v>
      </c>
      <c r="K2567" cm="1">
        <f t="array" ref="K2567">sentimentCalc(C2567)</f>
        <v>0</v>
      </c>
      <c r="L2567" t="str" cm="1">
        <f t="array" ref="L2567">sentimentCategory(K2567)</f>
        <v>Neutral</v>
      </c>
    </row>
    <row r="2568" spans="1:12" x14ac:dyDescent="0.25">
      <c r="A2568" t="s">
        <v>215</v>
      </c>
      <c r="B2568" t="s">
        <v>216</v>
      </c>
      <c r="C2568" t="str" cm="1">
        <f t="array" ref="C2568">CleanText(B2568)</f>
        <v>safe to say margot robbies feet was the star of the movie honry world we live in</v>
      </c>
      <c r="D2568">
        <v>0</v>
      </c>
      <c r="E2568">
        <v>0</v>
      </c>
      <c r="F2568" t="s">
        <v>10</v>
      </c>
      <c r="G2568" t="str" cm="1">
        <f t="array" ref="G2568">FindCountryName(F2568)</f>
        <v>None</v>
      </c>
      <c r="H2568" s="3">
        <v>45332.393807870372</v>
      </c>
      <c r="I2568" s="3">
        <v>45332.393807870372</v>
      </c>
      <c r="J2568" s="3">
        <v>43932.692395833335</v>
      </c>
      <c r="K2568" cm="1">
        <f t="array" ref="K2568">sentimentCalc(C2568)</f>
        <v>1</v>
      </c>
      <c r="L2568" t="str" cm="1">
        <f t="array" ref="L2568">sentimentCategory(K2568)</f>
        <v>Positive</v>
      </c>
    </row>
    <row r="2569" spans="1:12" x14ac:dyDescent="0.25">
      <c r="A2569" t="s">
        <v>213</v>
      </c>
      <c r="B2569" t="s">
        <v>4270</v>
      </c>
      <c r="C2569" t="str" cm="1">
        <f t="array" ref="C2569">CleanText(B2569)</f>
        <v>sala pura pink pink bak madharchod</v>
      </c>
      <c r="D2569">
        <v>1</v>
      </c>
      <c r="E2569">
        <v>0</v>
      </c>
      <c r="F2569" t="s">
        <v>10</v>
      </c>
      <c r="G2569" t="str" cm="1">
        <f t="array" ref="G2569">FindCountryName(F2569)</f>
        <v>None</v>
      </c>
      <c r="H2569" s="3">
        <v>45141.334236111114</v>
      </c>
      <c r="I2569" s="3">
        <v>45141.334236111114</v>
      </c>
      <c r="J2569" s="3">
        <v>42116.045532407406</v>
      </c>
      <c r="K2569" cm="1">
        <f t="array" ref="K2569">sentimentCalc(C2569)</f>
        <v>0</v>
      </c>
      <c r="L2569" t="str" cm="1">
        <f t="array" ref="L2569">sentimentCategory(K2569)</f>
        <v>Neutral</v>
      </c>
    </row>
    <row r="2570" spans="1:12" x14ac:dyDescent="0.25">
      <c r="A2570" t="s">
        <v>1031</v>
      </c>
      <c r="B2570" t="s">
        <v>1490</v>
      </c>
      <c r="C2570" t="str" cm="1">
        <f t="array" ref="C2570">CleanText(B2570)</f>
        <v>san quelo</v>
      </c>
      <c r="D2570">
        <v>0</v>
      </c>
      <c r="E2570">
        <v>0</v>
      </c>
      <c r="F2570" t="s">
        <v>10</v>
      </c>
      <c r="G2570" t="str" cm="1">
        <f t="array" ref="G2570">FindCountryName(F2570)</f>
        <v>None</v>
      </c>
      <c r="H2570" s="3">
        <v>45220.769143518519</v>
      </c>
      <c r="I2570" s="3">
        <v>45220.769143518519</v>
      </c>
      <c r="J2570" s="3">
        <v>45197.749328703707</v>
      </c>
      <c r="K2570" cm="1">
        <f t="array" ref="K2570">sentimentCalc(C2570)</f>
        <v>0</v>
      </c>
      <c r="L2570" t="str" cm="1">
        <f t="array" ref="L2570">sentimentCategory(K2570)</f>
        <v>Neutral</v>
      </c>
    </row>
    <row r="2571" spans="1:12" x14ac:dyDescent="0.25">
      <c r="A2571" t="s">
        <v>205</v>
      </c>
      <c r="B2571" t="s">
        <v>394</v>
      </c>
      <c r="C2571" t="str" cm="1">
        <f t="array" ref="C2571">CleanText(B2571)</f>
        <v>sanrm kzmn en ok sevdii filim</v>
      </c>
      <c r="D2571">
        <v>0</v>
      </c>
      <c r="E2571">
        <v>0</v>
      </c>
      <c r="F2571" t="s">
        <v>10</v>
      </c>
      <c r="G2571" t="str" cm="1">
        <f t="array" ref="G2571">FindCountryName(F2571)</f>
        <v>None</v>
      </c>
      <c r="H2571" s="3">
        <v>45322.272696759261</v>
      </c>
      <c r="I2571" s="3">
        <v>45322.272696759261</v>
      </c>
      <c r="J2571" s="3">
        <v>42027.109409722223</v>
      </c>
      <c r="K2571" cm="1">
        <f t="array" ref="K2571">sentimentCalc(C2571)</f>
        <v>0</v>
      </c>
      <c r="L2571" t="str" cm="1">
        <f t="array" ref="L2571">sentimentCategory(K2571)</f>
        <v>Neutral</v>
      </c>
    </row>
    <row r="2572" spans="1:12" x14ac:dyDescent="0.25">
      <c r="A2572" t="s">
        <v>296</v>
      </c>
      <c r="B2572" t="s">
        <v>3117</v>
      </c>
      <c r="C2572" t="str" cm="1">
        <f t="array" ref="C2572">CleanText(B2572)</f>
        <v>satanic</v>
      </c>
      <c r="D2572">
        <v>5</v>
      </c>
      <c r="E2572">
        <v>3</v>
      </c>
      <c r="F2572" t="s">
        <v>10</v>
      </c>
      <c r="G2572" t="str" cm="1">
        <f t="array" ref="G2572">FindCountryName(F2572)</f>
        <v>None</v>
      </c>
      <c r="H2572" s="3">
        <v>45153.175335648149</v>
      </c>
      <c r="I2572" s="3">
        <v>45153.175335648149</v>
      </c>
      <c r="J2572" s="3">
        <v>45130.468101851853</v>
      </c>
      <c r="K2572" cm="1">
        <f t="array" ref="K2572">sentimentCalc(C2572)</f>
        <v>0</v>
      </c>
      <c r="L2572" t="str" cm="1">
        <f t="array" ref="L2572">sentimentCategory(K2572)</f>
        <v>Neutral</v>
      </c>
    </row>
    <row r="2573" spans="1:12" x14ac:dyDescent="0.25">
      <c r="A2573" t="s">
        <v>3440</v>
      </c>
      <c r="B2573" t="s">
        <v>3441</v>
      </c>
      <c r="C2573" t="str" cm="1">
        <f t="array" ref="C2573">CleanText(B2573)</f>
        <v>satanic movie</v>
      </c>
      <c r="D2573">
        <v>6</v>
      </c>
      <c r="E2573">
        <v>0</v>
      </c>
      <c r="F2573" t="s">
        <v>10</v>
      </c>
      <c r="G2573" t="str" cm="1">
        <f t="array" ref="G2573">FindCountryName(F2573)</f>
        <v>None</v>
      </c>
      <c r="H2573" s="3">
        <v>45148.895856481482</v>
      </c>
      <c r="I2573" s="3">
        <v>45148.895844907405</v>
      </c>
      <c r="J2573" s="3">
        <v>42388.558391203704</v>
      </c>
      <c r="K2573" cm="1">
        <f t="array" ref="K2573">sentimentCalc(C2573)</f>
        <v>0</v>
      </c>
      <c r="L2573" t="str" cm="1">
        <f t="array" ref="L2573">sentimentCategory(K2573)</f>
        <v>Neutral</v>
      </c>
    </row>
    <row r="2574" spans="1:12" x14ac:dyDescent="0.25">
      <c r="A2574" t="s">
        <v>360</v>
      </c>
      <c r="B2574" t="s">
        <v>1089</v>
      </c>
      <c r="C2574" t="str" cm="1">
        <f t="array" ref="C2574">CleanText(B2574)</f>
        <v>satanism as its finest repulsive offensive and revoltingif any parent allows their children to watch this they are extremely irresponsible and a society cancer this movie is tragic and a menace to society it is seriously meant to destroy the mind and the well being of children and many adults as well</v>
      </c>
      <c r="D2574">
        <v>2</v>
      </c>
      <c r="E2574">
        <v>8</v>
      </c>
      <c r="F2574" t="s">
        <v>10</v>
      </c>
      <c r="G2574" t="str" cm="1">
        <f t="array" ref="G2574">FindCountryName(F2574)</f>
        <v>None</v>
      </c>
      <c r="H2574" s="3">
        <v>45290.955648148149</v>
      </c>
      <c r="I2574" s="3">
        <v>45290.955648148149</v>
      </c>
      <c r="J2574" s="3">
        <v>39623.722071759257</v>
      </c>
      <c r="K2574" cm="1">
        <f t="array" ref="K2574">sentimentCalc(C2574)</f>
        <v>-6</v>
      </c>
      <c r="L2574" t="str" cm="1">
        <f t="array" ref="L2574">sentimentCategory(K2574)</f>
        <v>Negative</v>
      </c>
    </row>
    <row r="2575" spans="1:12" x14ac:dyDescent="0.25">
      <c r="A2575" t="s">
        <v>3161</v>
      </c>
      <c r="B2575" t="s">
        <v>3163</v>
      </c>
      <c r="C2575" t="str" cm="1">
        <f t="array" ref="C2575">CleanText(B2575)</f>
        <v>save your money its too woke and not worth seeing</v>
      </c>
      <c r="D2575">
        <v>6</v>
      </c>
      <c r="E2575">
        <v>0</v>
      </c>
      <c r="F2575" t="s">
        <v>10</v>
      </c>
      <c r="G2575" t="str" cm="1">
        <f t="array" ref="G2575">FindCountryName(F2575)</f>
        <v>None</v>
      </c>
      <c r="H2575" s="3">
        <v>45152.538599537038</v>
      </c>
      <c r="I2575" s="3">
        <v>45152.538599537038</v>
      </c>
      <c r="J2575" s="3">
        <v>38961.941284722219</v>
      </c>
      <c r="K2575" cm="1">
        <f t="array" ref="K2575">sentimentCalc(C2575)</f>
        <v>4</v>
      </c>
      <c r="L2575" t="str" cm="1">
        <f t="array" ref="L2575">sentimentCategory(K2575)</f>
        <v>Positive</v>
      </c>
    </row>
    <row r="2576" spans="1:12" x14ac:dyDescent="0.25">
      <c r="A2576" t="s">
        <v>555</v>
      </c>
      <c r="B2576" t="s">
        <v>3580</v>
      </c>
      <c r="C2576" t="str" cm="1">
        <f t="array" ref="C2576">CleanText(B2576)</f>
        <v>saw it on the cinema loved it best film i ever saw hope it gains all the popularity and becomes a superhit</v>
      </c>
      <c r="D2576">
        <v>3</v>
      </c>
      <c r="E2576">
        <v>1</v>
      </c>
      <c r="F2576" t="s">
        <v>1151</v>
      </c>
      <c r="G2576" t="str" cm="1">
        <f t="array" ref="G2576">FindCountryName(F2576)</f>
        <v>United Kingdom of Great Britain and Northern Ireland (the)</v>
      </c>
      <c r="H2576" s="3">
        <v>45147.442094907405</v>
      </c>
      <c r="I2576" s="3">
        <v>45147.442094907405</v>
      </c>
      <c r="J2576" s="3">
        <v>42979.728738425925</v>
      </c>
      <c r="K2576" cm="1">
        <f t="array" ref="K2576">sentimentCalc(C2576)</f>
        <v>10</v>
      </c>
      <c r="L2576" t="str" cm="1">
        <f t="array" ref="L2576">sentimentCategory(K2576)</f>
        <v>Positive</v>
      </c>
    </row>
    <row r="2577" spans="1:12" x14ac:dyDescent="0.25">
      <c r="A2577" t="s">
        <v>4331</v>
      </c>
      <c r="B2577" t="s">
        <v>4332</v>
      </c>
      <c r="C2577" t="str" cm="1">
        <f t="array" ref="C2577">CleanText(B2577)</f>
        <v>saw it today and had greta gerwig been caught up with the news about barbie dolls the movie would have seen historical figure ones like sally ride bessie coleman billie jean king and naomi osaka</v>
      </c>
      <c r="D2577">
        <v>1</v>
      </c>
      <c r="E2577">
        <v>0</v>
      </c>
      <c r="F2577" t="s">
        <v>10</v>
      </c>
      <c r="G2577" t="str" cm="1">
        <f t="array" ref="G2577">FindCountryName(F2577)</f>
        <v>None</v>
      </c>
      <c r="H2577" s="3">
        <v>45140.897268518522</v>
      </c>
      <c r="I2577" s="3">
        <v>45140.897268518522</v>
      </c>
      <c r="J2577" s="3">
        <v>40327.533263888887</v>
      </c>
      <c r="K2577" cm="1">
        <f t="array" ref="K2577">sentimentCalc(C2577)</f>
        <v>2</v>
      </c>
      <c r="L2577" t="str" cm="1">
        <f t="array" ref="L2577">sentimentCategory(K2577)</f>
        <v>Positive</v>
      </c>
    </row>
    <row r="2578" spans="1:12" x14ac:dyDescent="0.25">
      <c r="A2578" t="s">
        <v>838</v>
      </c>
      <c r="B2578" t="s">
        <v>4000</v>
      </c>
      <c r="C2578" t="str" cm="1">
        <f t="array" ref="C2578">CleanText(B2578)</f>
        <v>saw it it is complete trash</v>
      </c>
      <c r="D2578">
        <v>4</v>
      </c>
      <c r="E2578">
        <v>0</v>
      </c>
      <c r="F2578" t="s">
        <v>10</v>
      </c>
      <c r="G2578" t="str" cm="1">
        <f t="array" ref="G2578">FindCountryName(F2578)</f>
        <v>None</v>
      </c>
      <c r="H2578" s="3">
        <v>45143.828680555554</v>
      </c>
      <c r="I2578" s="3">
        <v>45143.828680555554</v>
      </c>
      <c r="J2578" s="3">
        <v>41948.803530092591</v>
      </c>
      <c r="K2578" cm="1">
        <f t="array" ref="K2578">sentimentCalc(C2578)</f>
        <v>0</v>
      </c>
      <c r="L2578" t="str" cm="1">
        <f t="array" ref="L2578">sentimentCategory(K2578)</f>
        <v>Neutral</v>
      </c>
    </row>
    <row r="2579" spans="1:12" x14ac:dyDescent="0.25">
      <c r="A2579" t="s">
        <v>112</v>
      </c>
      <c r="B2579" t="s">
        <v>4027</v>
      </c>
      <c r="C2579" t="str" cm="1">
        <f t="array" ref="C2579">CleanText(B2579)</f>
        <v>saw the movie twice and is one of my fav movies the message was really good and loved im just ken</v>
      </c>
      <c r="D2579">
        <v>4</v>
      </c>
      <c r="E2579">
        <v>1</v>
      </c>
      <c r="F2579" t="s">
        <v>10</v>
      </c>
      <c r="G2579" t="str" cm="1">
        <f t="array" ref="G2579">FindCountryName(F2579)</f>
        <v>None</v>
      </c>
      <c r="H2579" s="3">
        <v>45143.595729166664</v>
      </c>
      <c r="I2579" s="3">
        <v>45143.595729166664</v>
      </c>
      <c r="J2579" s="3">
        <v>43406.367372685185</v>
      </c>
      <c r="K2579" cm="1">
        <f t="array" ref="K2579">sentimentCalc(C2579)</f>
        <v>6</v>
      </c>
      <c r="L2579" t="str" cm="1">
        <f t="array" ref="L2579">sentimentCategory(K2579)</f>
        <v>Positive</v>
      </c>
    </row>
    <row r="2580" spans="1:12" x14ac:dyDescent="0.25">
      <c r="A2580" t="s">
        <v>1405</v>
      </c>
      <c r="B2580" t="s">
        <v>2961</v>
      </c>
      <c r="C2580" t="str" cm="1">
        <f t="array" ref="C2580">CleanText(B2580)</f>
        <v>saw this movie  times and would see it for the fourth time</v>
      </c>
      <c r="D2580">
        <v>2</v>
      </c>
      <c r="E2580">
        <v>0</v>
      </c>
      <c r="F2580" t="s">
        <v>10</v>
      </c>
      <c r="G2580" t="str" cm="1">
        <f t="array" ref="G2580">FindCountryName(F2580)</f>
        <v>None</v>
      </c>
      <c r="H2580" s="3">
        <v>45155.417002314818</v>
      </c>
      <c r="I2580" s="3">
        <v>45155.417002314818</v>
      </c>
      <c r="J2580" s="3">
        <v>42428.93482638889</v>
      </c>
      <c r="K2580" cm="1">
        <f t="array" ref="K2580">sentimentCalc(C2580)</f>
        <v>0</v>
      </c>
      <c r="L2580" t="str" cm="1">
        <f t="array" ref="L2580">sentimentCategory(K2580)</f>
        <v>Neutral</v>
      </c>
    </row>
    <row r="2581" spans="1:12" x14ac:dyDescent="0.25">
      <c r="A2581" t="s">
        <v>4256</v>
      </c>
      <c r="B2581" t="s">
        <v>4257</v>
      </c>
      <c r="C2581" t="str" cm="1">
        <f t="array" ref="C2581">CleanText(B2581)</f>
        <v>saw this movie felt awkward and left the theatre thinking my money got wasted then saw theres another movie screening in another audi in  mins bought a ticket in the last moment cried and felt relieved till the end that movie was oppenheimer</v>
      </c>
      <c r="D2581">
        <v>2</v>
      </c>
      <c r="E2581">
        <v>0</v>
      </c>
      <c r="F2581" t="s">
        <v>10</v>
      </c>
      <c r="G2581" t="str" cm="1">
        <f t="array" ref="G2581">FindCountryName(F2581)</f>
        <v>None</v>
      </c>
      <c r="H2581" s="3">
        <v>45141.440740740742</v>
      </c>
      <c r="I2581" s="3">
        <v>45141.440740740742</v>
      </c>
      <c r="J2581" s="3">
        <v>41338.519861111112</v>
      </c>
      <c r="K2581" cm="1">
        <f t="array" ref="K2581">sentimentCalc(C2581)</f>
        <v>-4</v>
      </c>
      <c r="L2581" t="str" cm="1">
        <f t="array" ref="L2581">sentimentCategory(K2581)</f>
        <v>Negative</v>
      </c>
    </row>
    <row r="2582" spans="1:12" x14ac:dyDescent="0.25">
      <c r="A2582" t="s">
        <v>2496</v>
      </c>
      <c r="B2582" t="s">
        <v>2833</v>
      </c>
      <c r="C2582" t="str" cm="1">
        <f t="array" ref="C2582">CleanText(B2582)</f>
        <v>saw today reccomend best so far my fav barbie was the werid barbie she was rlly funny</v>
      </c>
      <c r="D2582">
        <v>3</v>
      </c>
      <c r="E2582">
        <v>0</v>
      </c>
      <c r="F2582" t="s">
        <v>10</v>
      </c>
      <c r="G2582" t="str" cm="1">
        <f t="array" ref="G2582">FindCountryName(F2582)</f>
        <v>None</v>
      </c>
      <c r="H2582" s="3">
        <v>45157.003842592596</v>
      </c>
      <c r="I2582" s="3">
        <v>45157.003842592596</v>
      </c>
      <c r="J2582" s="3">
        <v>45099.221192129633</v>
      </c>
      <c r="K2582" cm="1">
        <f t="array" ref="K2582">sentimentCalc(C2582)</f>
        <v>7</v>
      </c>
      <c r="L2582" t="str" cm="1">
        <f t="array" ref="L2582">sentimentCategory(K2582)</f>
        <v>Positive</v>
      </c>
    </row>
    <row r="2583" spans="1:12" x14ac:dyDescent="0.25">
      <c r="A2583" t="s">
        <v>2888</v>
      </c>
      <c r="B2583" t="s">
        <v>2889</v>
      </c>
      <c r="C2583" t="str" cm="1">
        <f t="array" ref="C2583">CleanText(B2583)</f>
        <v>say what you want aqua got robbed for their comeback nicki might have claimed to be barbie aqua was the first to sing about barbie</v>
      </c>
      <c r="D2583">
        <v>0</v>
      </c>
      <c r="E2583">
        <v>0</v>
      </c>
      <c r="F2583" t="s">
        <v>10</v>
      </c>
      <c r="G2583" t="str" cm="1">
        <f t="array" ref="G2583">FindCountryName(F2583)</f>
        <v>None</v>
      </c>
      <c r="H2583" s="3">
        <v>45156.384791666664</v>
      </c>
      <c r="I2583" s="3">
        <v>45156.384791666664</v>
      </c>
      <c r="J2583" s="3">
        <v>41234.749016203707</v>
      </c>
      <c r="K2583" cm="1">
        <f t="array" ref="K2583">sentimentCalc(C2583)</f>
        <v>1</v>
      </c>
      <c r="L2583" t="str" cm="1">
        <f t="array" ref="L2583">sentimentCategory(K2583)</f>
        <v>Positive</v>
      </c>
    </row>
    <row r="2584" spans="1:12" x14ac:dyDescent="0.25">
      <c r="A2584" t="s">
        <v>133</v>
      </c>
      <c r="B2584" t="s">
        <v>4090</v>
      </c>
      <c r="C2584" t="str" cm="1">
        <f t="array" ref="C2584">CleanText(B2584)</f>
        <v>schmutz</v>
      </c>
      <c r="D2584">
        <v>0</v>
      </c>
      <c r="E2584">
        <v>0</v>
      </c>
      <c r="F2584" t="s">
        <v>10</v>
      </c>
      <c r="G2584" t="str" cm="1">
        <f t="array" ref="G2584">FindCountryName(F2584)</f>
        <v>None</v>
      </c>
      <c r="H2584" s="3">
        <v>45142.980497685188</v>
      </c>
      <c r="I2584" s="3">
        <v>45142.980497685188</v>
      </c>
      <c r="J2584" s="3">
        <v>45142.980486111112</v>
      </c>
      <c r="K2584" cm="1">
        <f t="array" ref="K2584">sentimentCalc(C2584)</f>
        <v>0</v>
      </c>
      <c r="L2584" t="str" cm="1">
        <f t="array" ref="L2584">sentimentCategory(K2584)</f>
        <v>Neutral</v>
      </c>
    </row>
    <row r="2585" spans="1:12" x14ac:dyDescent="0.25">
      <c r="A2585" t="s">
        <v>92</v>
      </c>
      <c r="B2585" t="s">
        <v>2886</v>
      </c>
      <c r="C2585" t="str" cm="1">
        <f t="array" ref="C2585">CleanText(B2585)</f>
        <v>scream queen  and the other one kens cheating with vintage barbie with fashion fever barbie paris hilton you r turning this dream house  into a nightmare house  wait till i tell gem  shell think this is truly outrageous these videos r on utube just type in snl barbie theyre freaking hilarious im gonna go watch them right now</v>
      </c>
      <c r="D2585">
        <v>1</v>
      </c>
      <c r="E2585">
        <v>0</v>
      </c>
      <c r="F2585" t="s">
        <v>10</v>
      </c>
      <c r="G2585" t="str" cm="1">
        <f t="array" ref="G2585">FindCountryName(F2585)</f>
        <v>None</v>
      </c>
      <c r="H2585" s="3">
        <v>45156.418252314812</v>
      </c>
      <c r="I2585" s="3">
        <v>45156.418252314812</v>
      </c>
      <c r="J2585" s="3">
        <v>44341.792685185188</v>
      </c>
      <c r="K2585" cm="1">
        <f t="array" ref="K2585">sentimentCalc(C2585)</f>
        <v>1</v>
      </c>
      <c r="L2585" t="str" cm="1">
        <f t="array" ref="L2585">sentimentCategory(K2585)</f>
        <v>Positive</v>
      </c>
    </row>
    <row r="2586" spans="1:12" x14ac:dyDescent="0.25">
      <c r="A2586" t="s">
        <v>525</v>
      </c>
      <c r="B2586" t="s">
        <v>4460</v>
      </c>
      <c r="C2586" t="str" cm="1">
        <f t="array" ref="C2586">CleanText(B2586)</f>
        <v>seeing a mattel logo i wouldnt be surprised if there was a cameo of the hotwheels line in the movie</v>
      </c>
      <c r="D2586">
        <v>0</v>
      </c>
      <c r="E2586">
        <v>0</v>
      </c>
      <c r="F2586" t="s">
        <v>10</v>
      </c>
      <c r="G2586" t="str" cm="1">
        <f t="array" ref="G2586">FindCountryName(F2586)</f>
        <v>None</v>
      </c>
      <c r="H2586" s="3">
        <v>45140.144768518519</v>
      </c>
      <c r="I2586" s="3">
        <v>45140.144872685189</v>
      </c>
      <c r="J2586" s="3">
        <v>42197.970347222225</v>
      </c>
      <c r="K2586" cm="1">
        <f t="array" ref="K2586">sentimentCalc(C2586)</f>
        <v>0</v>
      </c>
      <c r="L2586" t="str" cm="1">
        <f t="array" ref="L2586">sentimentCategory(K2586)</f>
        <v>Neutral</v>
      </c>
    </row>
    <row r="2587" spans="1:12" x14ac:dyDescent="0.25">
      <c r="A2587" t="s">
        <v>118</v>
      </c>
      <c r="B2587" t="s">
        <v>3635</v>
      </c>
      <c r="C2587" t="str" cm="1">
        <f t="array" ref="C2587">CleanText(B2587)</f>
        <v>seeing the movie next tuesday cant wait biggest barbie fan</v>
      </c>
      <c r="D2587">
        <v>0</v>
      </c>
      <c r="E2587">
        <v>0</v>
      </c>
      <c r="F2587" t="s">
        <v>10</v>
      </c>
      <c r="G2587" t="str" cm="1">
        <f t="array" ref="G2587">FindCountryName(F2587)</f>
        <v>None</v>
      </c>
      <c r="H2587" s="3">
        <v>45146.962581018517</v>
      </c>
      <c r="I2587" s="3">
        <v>45146.962581018517</v>
      </c>
      <c r="J2587" s="3">
        <v>42244.701354166667</v>
      </c>
      <c r="K2587" cm="1">
        <f t="array" ref="K2587">sentimentCalc(C2587)</f>
        <v>3</v>
      </c>
      <c r="L2587" t="str" cm="1">
        <f t="array" ref="L2587">sentimentCategory(K2587)</f>
        <v>Positive</v>
      </c>
    </row>
    <row r="2588" spans="1:12" x14ac:dyDescent="0.25">
      <c r="A2588" t="s">
        <v>336</v>
      </c>
      <c r="B2588" t="s">
        <v>4206</v>
      </c>
      <c r="C2588" t="str" cm="1">
        <f t="array" ref="C2588">CleanText(B2588)</f>
        <v>seems not exciting to watch</v>
      </c>
      <c r="D2588">
        <v>1</v>
      </c>
      <c r="E2588">
        <v>1</v>
      </c>
      <c r="F2588" t="s">
        <v>10</v>
      </c>
      <c r="G2588" t="str" cm="1">
        <f t="array" ref="G2588">FindCountryName(F2588)</f>
        <v>None</v>
      </c>
      <c r="H2588" s="3">
        <v>45141.935034722221</v>
      </c>
      <c r="I2588" s="3">
        <v>45141.935034722221</v>
      </c>
      <c r="J2588" s="3">
        <v>40948.149085648147</v>
      </c>
      <c r="K2588" cm="1">
        <f t="array" ref="K2588">sentimentCalc(C2588)</f>
        <v>3</v>
      </c>
      <c r="L2588" t="str" cm="1">
        <f t="array" ref="L2588">sentimentCategory(K2588)</f>
        <v>Positive</v>
      </c>
    </row>
    <row r="2589" spans="1:12" x14ac:dyDescent="0.25">
      <c r="A2589" t="s">
        <v>1512</v>
      </c>
      <c r="B2589" t="s">
        <v>1513</v>
      </c>
      <c r="C2589" t="str" cm="1">
        <f t="array" ref="C2589">CleanText(B2589)</f>
        <v>sensacional esse filme j assisti umas x</v>
      </c>
      <c r="D2589">
        <v>0</v>
      </c>
      <c r="E2589">
        <v>0</v>
      </c>
      <c r="F2589" t="s">
        <v>10</v>
      </c>
      <c r="G2589" t="str" cm="1">
        <f t="array" ref="G2589">FindCountryName(F2589)</f>
        <v>None</v>
      </c>
      <c r="H2589" s="3">
        <v>45218.578831018516</v>
      </c>
      <c r="I2589" s="3">
        <v>45218.578831018516</v>
      </c>
      <c r="J2589" s="3">
        <v>42039.882569444446</v>
      </c>
      <c r="K2589" cm="1">
        <f t="array" ref="K2589">sentimentCalc(C2589)</f>
        <v>0</v>
      </c>
      <c r="L2589" t="str" cm="1">
        <f t="array" ref="L2589">sentimentCategory(K2589)</f>
        <v>Neutral</v>
      </c>
    </row>
    <row r="2590" spans="1:12" x14ac:dyDescent="0.25">
      <c r="A2590" t="s">
        <v>81</v>
      </c>
      <c r="B2590" t="s">
        <v>82</v>
      </c>
      <c r="C2590" t="str" cm="1">
        <f t="array" ref="C2590">CleanText(B2590)</f>
        <v>seriously people love this movie ken was the only fun part the rest was complete blah costumes were good too</v>
      </c>
      <c r="D2590">
        <v>1</v>
      </c>
      <c r="E2590">
        <v>8</v>
      </c>
      <c r="F2590" t="s">
        <v>10</v>
      </c>
      <c r="G2590" t="str" cm="1">
        <f t="array" ref="G2590">FindCountryName(F2590)</f>
        <v>None</v>
      </c>
      <c r="H2590" s="3">
        <v>45338.578587962962</v>
      </c>
      <c r="I2590" s="3">
        <v>45338.578587962962</v>
      </c>
      <c r="J2590" s="3">
        <v>42342.328298611108</v>
      </c>
      <c r="K2590" cm="1">
        <f t="array" ref="K2590">sentimentCalc(C2590)</f>
        <v>8</v>
      </c>
      <c r="L2590" t="str" cm="1">
        <f t="array" ref="L2590">sentimentCategory(K2590)</f>
        <v>Positive</v>
      </c>
    </row>
    <row r="2591" spans="1:12" x14ac:dyDescent="0.25">
      <c r="A2591" t="s">
        <v>36</v>
      </c>
      <c r="B2591" t="s">
        <v>4244</v>
      </c>
      <c r="C2591" t="str" cm="1">
        <f t="array" ref="C2591">CleanText(B2591)</f>
        <v>seriously this bs movie watchedmore than oppenheimer lmao clown world</v>
      </c>
      <c r="D2591">
        <v>2</v>
      </c>
      <c r="E2591">
        <v>0</v>
      </c>
      <c r="F2591" t="s">
        <v>10</v>
      </c>
      <c r="G2591" t="str" cm="1">
        <f t="array" ref="G2591">FindCountryName(F2591)</f>
        <v>None</v>
      </c>
      <c r="H2591" s="3">
        <v>45141.513321759259</v>
      </c>
      <c r="I2591" s="3">
        <v>45141.513321759259</v>
      </c>
      <c r="J2591" s="3">
        <v>44694.071226851855</v>
      </c>
      <c r="K2591" cm="1">
        <f t="array" ref="K2591">sentimentCalc(C2591)</f>
        <v>0</v>
      </c>
      <c r="L2591" t="str" cm="1">
        <f t="array" ref="L2591">sentimentCategory(K2591)</f>
        <v>Neutral</v>
      </c>
    </row>
    <row r="2592" spans="1:12" x14ac:dyDescent="0.25">
      <c r="A2592" t="s">
        <v>886</v>
      </c>
      <c r="B2592" t="s">
        <v>887</v>
      </c>
      <c r="C2592" t="str" cm="1">
        <f t="array" ref="C2592">CleanText(B2592)</f>
        <v>sevgiler</v>
      </c>
      <c r="D2592">
        <v>1</v>
      </c>
      <c r="E2592">
        <v>0</v>
      </c>
      <c r="F2592" t="s">
        <v>10</v>
      </c>
      <c r="G2592" t="str" cm="1">
        <f t="array" ref="G2592">FindCountryName(F2592)</f>
        <v>None</v>
      </c>
      <c r="H2592" s="3">
        <v>45299.325173611112</v>
      </c>
      <c r="I2592" s="3">
        <v>45299.325173611112</v>
      </c>
      <c r="J2592" s="3">
        <v>45187.822789351849</v>
      </c>
      <c r="K2592" cm="1">
        <f t="array" ref="K2592">sentimentCalc(C2592)</f>
        <v>0</v>
      </c>
      <c r="L2592" t="str" cm="1">
        <f t="array" ref="L2592">sentimentCategory(K2592)</f>
        <v>Neutral</v>
      </c>
    </row>
    <row r="2593" spans="1:12" x14ac:dyDescent="0.25">
      <c r="A2593" t="s">
        <v>3237</v>
      </c>
      <c r="B2593" t="s">
        <v>3238</v>
      </c>
      <c r="C2593" t="str" cm="1">
        <f t="array" ref="C2593">CleanText(B2593)</f>
        <v>she didnt even play with barbies when she was a child</v>
      </c>
      <c r="D2593">
        <v>0</v>
      </c>
      <c r="E2593">
        <v>0</v>
      </c>
      <c r="F2593" t="s">
        <v>10</v>
      </c>
      <c r="G2593" t="str" cm="1">
        <f t="array" ref="G2593">FindCountryName(F2593)</f>
        <v>None</v>
      </c>
      <c r="H2593" s="3">
        <v>45151.467557870368</v>
      </c>
      <c r="I2593" s="3">
        <v>45151.467557870368</v>
      </c>
      <c r="J2593" s="3">
        <v>40445.481759259259</v>
      </c>
      <c r="K2593" cm="1">
        <f t="array" ref="K2593">sentimentCalc(C2593)</f>
        <v>0</v>
      </c>
      <c r="L2593" t="str" cm="1">
        <f t="array" ref="L2593">sentimentCategory(K2593)</f>
        <v>Neutral</v>
      </c>
    </row>
    <row r="2594" spans="1:12" x14ac:dyDescent="0.25">
      <c r="A2594" t="s">
        <v>60</v>
      </c>
      <c r="B2594" t="s">
        <v>2268</v>
      </c>
      <c r="C2594" t="str" cm="1">
        <f t="array" ref="C2594">CleanText(B2594)</f>
        <v>she is joker from sucide squad movie</v>
      </c>
      <c r="D2594">
        <v>2</v>
      </c>
      <c r="E2594">
        <v>2</v>
      </c>
      <c r="F2594" t="s">
        <v>10</v>
      </c>
      <c r="G2594" t="str" cm="1">
        <f t="array" ref="G2594">FindCountryName(F2594)</f>
        <v>None</v>
      </c>
      <c r="H2594" s="3">
        <v>45173.210694444446</v>
      </c>
      <c r="I2594" s="3">
        <v>45173.210694444446</v>
      </c>
      <c r="J2594" s="3">
        <v>43072.94604166667</v>
      </c>
      <c r="K2594" cm="1">
        <f t="array" ref="K2594">sentimentCalc(C2594)</f>
        <v>0</v>
      </c>
      <c r="L2594" t="str" cm="1">
        <f t="array" ref="L2594">sentimentCategory(K2594)</f>
        <v>Neutral</v>
      </c>
    </row>
    <row r="2595" spans="1:12" x14ac:dyDescent="0.25">
      <c r="A2595" t="s">
        <v>30</v>
      </c>
      <c r="B2595" t="s">
        <v>2959</v>
      </c>
      <c r="C2595" t="str" cm="1">
        <f t="array" ref="C2595">CleanText(B2595)</f>
        <v>she is not at all atractive enough to be barbie how ridiculous</v>
      </c>
      <c r="D2595">
        <v>0</v>
      </c>
      <c r="E2595">
        <v>1</v>
      </c>
      <c r="F2595" t="s">
        <v>10</v>
      </c>
      <c r="G2595" t="str" cm="1">
        <f t="array" ref="G2595">FindCountryName(F2595)</f>
        <v>None</v>
      </c>
      <c r="H2595" s="3">
        <v>45155.460555555554</v>
      </c>
      <c r="I2595" s="3">
        <v>45155.460555555554</v>
      </c>
      <c r="J2595" s="3">
        <v>38877.514120370368</v>
      </c>
      <c r="K2595" cm="1">
        <f t="array" ref="K2595">sentimentCalc(C2595)</f>
        <v>-3</v>
      </c>
      <c r="L2595" t="str" cm="1">
        <f t="array" ref="L2595">sentimentCategory(K2595)</f>
        <v>Negative</v>
      </c>
    </row>
    <row r="2596" spans="1:12" x14ac:dyDescent="0.25">
      <c r="A2596" t="s">
        <v>1776</v>
      </c>
      <c r="B2596" t="s">
        <v>1777</v>
      </c>
      <c r="C2596" t="str" cm="1">
        <f t="array" ref="C2596">CleanText(B2596)</f>
        <v>she is so cut</v>
      </c>
      <c r="D2596">
        <v>2</v>
      </c>
      <c r="E2596">
        <v>0</v>
      </c>
      <c r="F2596" t="s">
        <v>10</v>
      </c>
      <c r="G2596" t="str" cm="1">
        <f t="array" ref="G2596">FindCountryName(F2596)</f>
        <v>None</v>
      </c>
      <c r="H2596" s="3">
        <v>45195.713379629633</v>
      </c>
      <c r="I2596" s="3">
        <v>45195.713379629633</v>
      </c>
      <c r="J2596" s="3">
        <v>42307.879166666666</v>
      </c>
      <c r="K2596" cm="1">
        <f t="array" ref="K2596">sentimentCalc(C2596)</f>
        <v>-1</v>
      </c>
      <c r="L2596" t="str" cm="1">
        <f t="array" ref="L2596">sentimentCategory(K2596)</f>
        <v>Negative</v>
      </c>
    </row>
    <row r="2597" spans="1:12" x14ac:dyDescent="0.25">
      <c r="A2597" t="s">
        <v>2713</v>
      </c>
      <c r="B2597" t="s">
        <v>2714</v>
      </c>
      <c r="C2597" t="str" cm="1">
        <f t="array" ref="C2597">CleanText(B2597)</f>
        <v>she looks like hailey quinn</v>
      </c>
      <c r="D2597">
        <v>0</v>
      </c>
      <c r="E2597">
        <v>0</v>
      </c>
      <c r="F2597" t="s">
        <v>10</v>
      </c>
      <c r="G2597" t="str" cm="1">
        <f t="array" ref="G2597">FindCountryName(F2597)</f>
        <v>None</v>
      </c>
      <c r="H2597" s="3">
        <v>45159.435810185183</v>
      </c>
      <c r="I2597" s="3">
        <v>45159.435810185183</v>
      </c>
      <c r="J2597" s="3">
        <v>44905.831805555557</v>
      </c>
      <c r="K2597" cm="1">
        <f t="array" ref="K2597">sentimentCalc(C2597)</f>
        <v>2</v>
      </c>
      <c r="L2597" t="str" cm="1">
        <f t="array" ref="L2597">sentimentCategory(K2597)</f>
        <v>Positive</v>
      </c>
    </row>
    <row r="2598" spans="1:12" x14ac:dyDescent="0.25">
      <c r="A2598" t="s">
        <v>3156</v>
      </c>
      <c r="B2598" t="s">
        <v>3157</v>
      </c>
      <c r="C2598" t="str" cm="1">
        <f t="array" ref="C2598">CleanText(B2598)</f>
        <v>she want to drive him through the night down the hills well go all all all night longshes gonna tell him something he doesnt want to hear well go all all all night longshe gonna show him where its dark but have no fear well go all all all night long</v>
      </c>
      <c r="D2598">
        <v>0</v>
      </c>
      <c r="E2598">
        <v>0</v>
      </c>
      <c r="F2598" t="s">
        <v>227</v>
      </c>
      <c r="G2598" t="str" cm="1">
        <f t="array" ref="G2598">FindCountryName(F2598)</f>
        <v>United States of America (the)</v>
      </c>
      <c r="H2598" s="3">
        <v>45152.588414351849</v>
      </c>
      <c r="I2598" s="3">
        <v>45152.588414351849</v>
      </c>
      <c r="J2598" s="3">
        <v>41209.740416666667</v>
      </c>
      <c r="K2598" cm="1">
        <f t="array" ref="K2598">sentimentCalc(C2598)</f>
        <v>-1</v>
      </c>
      <c r="L2598" t="str" cm="1">
        <f t="array" ref="L2598">sentimentCategory(K2598)</f>
        <v>Negative</v>
      </c>
    </row>
    <row r="2599" spans="1:12" x14ac:dyDescent="0.25">
      <c r="A2599" t="s">
        <v>1433</v>
      </c>
      <c r="B2599" t="s">
        <v>1552</v>
      </c>
      <c r="C2599" t="str" cm="1">
        <f t="array" ref="C2599">CleanText(B2599)</f>
        <v>she won</v>
      </c>
      <c r="D2599">
        <v>0</v>
      </c>
      <c r="E2599">
        <v>0</v>
      </c>
      <c r="F2599" t="s">
        <v>10</v>
      </c>
      <c r="G2599" t="str" cm="1">
        <f t="array" ref="G2599">FindCountryName(F2599)</f>
        <v>None</v>
      </c>
      <c r="H2599" s="3">
        <v>45214.455578703702</v>
      </c>
      <c r="I2599" s="3">
        <v>45214.455578703702</v>
      </c>
      <c r="J2599" s="3">
        <v>40867.074155092596</v>
      </c>
      <c r="K2599" cm="1">
        <f t="array" ref="K2599">sentimentCalc(C2599)</f>
        <v>3</v>
      </c>
      <c r="L2599" t="str" cm="1">
        <f t="array" ref="L2599">sentimentCategory(K2599)</f>
        <v>Positive</v>
      </c>
    </row>
    <row r="2600" spans="1:12" x14ac:dyDescent="0.25">
      <c r="A2600" t="s">
        <v>4285</v>
      </c>
      <c r="B2600" t="s">
        <v>4286</v>
      </c>
      <c r="C2600" t="str" cm="1">
        <f t="array" ref="C2600">CleanText(B2600)</f>
        <v>shes mid</v>
      </c>
      <c r="D2600">
        <v>0</v>
      </c>
      <c r="E2600">
        <v>0</v>
      </c>
      <c r="F2600" t="s">
        <v>10</v>
      </c>
      <c r="G2600" t="str" cm="1">
        <f t="array" ref="G2600">FindCountryName(F2600)</f>
        <v>None</v>
      </c>
      <c r="H2600" s="3">
        <v>45141.228819444441</v>
      </c>
      <c r="I2600" s="3">
        <v>45141.228819444441</v>
      </c>
      <c r="J2600" s="3">
        <v>39432.986087962963</v>
      </c>
      <c r="K2600" cm="1">
        <f t="array" ref="K2600">sentimentCalc(C2600)</f>
        <v>0</v>
      </c>
      <c r="L2600" t="str" cm="1">
        <f t="array" ref="L2600">sentimentCategory(K2600)</f>
        <v>Neutral</v>
      </c>
    </row>
    <row r="2601" spans="1:12" x14ac:dyDescent="0.25">
      <c r="A2601" t="s">
        <v>143</v>
      </c>
      <c r="B2601" t="s">
        <v>3244</v>
      </c>
      <c r="C2601" t="str" cm="1">
        <f t="array" ref="C2601">CleanText(B2601)</f>
        <v>shesfresh</v>
      </c>
      <c r="D2601">
        <v>0</v>
      </c>
      <c r="E2601">
        <v>0</v>
      </c>
      <c r="F2601" t="s">
        <v>10</v>
      </c>
      <c r="G2601" t="str" cm="1">
        <f t="array" ref="G2601">FindCountryName(F2601)</f>
        <v>None</v>
      </c>
      <c r="H2601" s="3">
        <v>45151.399247685185</v>
      </c>
      <c r="I2601" s="3">
        <v>45151.399247685185</v>
      </c>
      <c r="J2601" s="3">
        <v>42606.485671296294</v>
      </c>
      <c r="K2601" cm="1">
        <f t="array" ref="K2601">sentimentCalc(C2601)</f>
        <v>0</v>
      </c>
      <c r="L2601" t="str" cm="1">
        <f t="array" ref="L2601">sentimentCategory(K2601)</f>
        <v>Neutral</v>
      </c>
    </row>
    <row r="2602" spans="1:12" x14ac:dyDescent="0.25">
      <c r="A2602" t="s">
        <v>122</v>
      </c>
      <c r="B2602" t="s">
        <v>2953</v>
      </c>
      <c r="C2602" t="str" cm="1">
        <f t="array" ref="C2602">CleanText(B2602)</f>
        <v>should have got nicolette shea to play barbie</v>
      </c>
      <c r="D2602">
        <v>0</v>
      </c>
      <c r="E2602">
        <v>0</v>
      </c>
      <c r="F2602" t="s">
        <v>10</v>
      </c>
      <c r="G2602" t="str" cm="1">
        <f t="array" ref="G2602">FindCountryName(F2602)</f>
        <v>None</v>
      </c>
      <c r="H2602" s="3">
        <v>45155.509201388886</v>
      </c>
      <c r="I2602" s="3">
        <v>45155.509201388886</v>
      </c>
      <c r="J2602" s="3">
        <v>43651.051724537036</v>
      </c>
      <c r="K2602" cm="1">
        <f t="array" ref="K2602">sentimentCalc(C2602)</f>
        <v>0</v>
      </c>
      <c r="L2602" t="str" cm="1">
        <f t="array" ref="L2602">sentimentCategory(K2602)</f>
        <v>Neutral</v>
      </c>
    </row>
    <row r="2603" spans="1:12" x14ac:dyDescent="0.25">
      <c r="A2603" t="s">
        <v>434</v>
      </c>
      <c r="B2603" t="s">
        <v>3894</v>
      </c>
      <c r="C2603" t="str" cm="1">
        <f t="array" ref="C2603">CleanText(B2603)</f>
        <v>shouldnt barbie and ken be like yrs younger than these actors</v>
      </c>
      <c r="D2603">
        <v>1</v>
      </c>
      <c r="E2603">
        <v>1</v>
      </c>
      <c r="F2603" t="s">
        <v>10</v>
      </c>
      <c r="G2603" t="str" cm="1">
        <f t="array" ref="G2603">FindCountryName(F2603)</f>
        <v>None</v>
      </c>
      <c r="H2603" s="3">
        <v>45144.667268518519</v>
      </c>
      <c r="I2603" s="3">
        <v>45144.667268518519</v>
      </c>
      <c r="J2603" s="3">
        <v>39078.30877314815</v>
      </c>
      <c r="K2603" cm="1">
        <f t="array" ref="K2603">sentimentCalc(C2603)</f>
        <v>2</v>
      </c>
      <c r="L2603" t="str" cm="1">
        <f t="array" ref="L2603">sentimentCategory(K2603)</f>
        <v>Positive</v>
      </c>
    </row>
    <row r="2604" spans="1:12" x14ac:dyDescent="0.25">
      <c r="A2604" t="s">
        <v>921</v>
      </c>
      <c r="B2604" t="s">
        <v>2055</v>
      </c>
      <c r="C2604" t="str" cm="1">
        <f t="array" ref="C2604">CleanText(B2604)</f>
        <v>show</v>
      </c>
      <c r="D2604">
        <v>0</v>
      </c>
      <c r="E2604">
        <v>0</v>
      </c>
      <c r="F2604" t="s">
        <v>10</v>
      </c>
      <c r="G2604" t="str" cm="1">
        <f t="array" ref="G2604">FindCountryName(F2604)</f>
        <v>None</v>
      </c>
      <c r="H2604" s="3">
        <v>45182.535960648151</v>
      </c>
      <c r="I2604" s="3">
        <v>45182.535960648151</v>
      </c>
      <c r="J2604" s="3">
        <v>40819.369687500002</v>
      </c>
      <c r="K2604" cm="1">
        <f t="array" ref="K2604">sentimentCalc(C2604)</f>
        <v>0</v>
      </c>
      <c r="L2604" t="str" cm="1">
        <f t="array" ref="L2604">sentimentCategory(K2604)</f>
        <v>Neutral</v>
      </c>
    </row>
    <row r="2605" spans="1:12" x14ac:dyDescent="0.25">
      <c r="A2605" t="s">
        <v>213</v>
      </c>
      <c r="B2605" t="s">
        <v>1339</v>
      </c>
      <c r="C2605" t="str" cm="1">
        <f t="array" ref="C2605">CleanText(B2605)</f>
        <v>show todo o filme</v>
      </c>
      <c r="D2605">
        <v>1</v>
      </c>
      <c r="E2605">
        <v>0</v>
      </c>
      <c r="F2605" t="s">
        <v>10</v>
      </c>
      <c r="G2605" t="str" cm="1">
        <f t="array" ref="G2605">FindCountryName(F2605)</f>
        <v>None</v>
      </c>
      <c r="H2605" s="3">
        <v>45242.669861111113</v>
      </c>
      <c r="I2605" s="3">
        <v>45242.669861111113</v>
      </c>
      <c r="J2605" s="3">
        <v>42054.770115740743</v>
      </c>
      <c r="K2605" cm="1">
        <f t="array" ref="K2605">sentimentCalc(C2605)</f>
        <v>0</v>
      </c>
      <c r="L2605" t="str" cm="1">
        <f t="array" ref="L2605">sentimentCategory(K2605)</f>
        <v>Neutral</v>
      </c>
    </row>
    <row r="2606" spans="1:12" x14ac:dyDescent="0.25">
      <c r="A2606" t="s">
        <v>737</v>
      </c>
      <c r="B2606" t="s">
        <v>2037</v>
      </c>
      <c r="C2606" t="str" cm="1">
        <f t="array" ref="C2606">CleanText(B2606)</f>
        <v>show</v>
      </c>
      <c r="D2606">
        <v>0</v>
      </c>
      <c r="E2606">
        <v>0</v>
      </c>
      <c r="F2606" t="s">
        <v>10</v>
      </c>
      <c r="G2606" t="str" cm="1">
        <f t="array" ref="G2606">FindCountryName(F2606)</f>
        <v>None</v>
      </c>
      <c r="H2606" s="3">
        <v>45183.354212962964</v>
      </c>
      <c r="I2606" s="3">
        <v>45183.354212962964</v>
      </c>
      <c r="J2606" s="3">
        <v>45182.661064814813</v>
      </c>
      <c r="K2606" cm="1">
        <f t="array" ref="K2606">sentimentCalc(C2606)</f>
        <v>0</v>
      </c>
      <c r="L2606" t="str" cm="1">
        <f t="array" ref="L2606">sentimentCategory(K2606)</f>
        <v>Neutral</v>
      </c>
    </row>
    <row r="2607" spans="1:12" x14ac:dyDescent="0.25">
      <c r="A2607" t="s">
        <v>178</v>
      </c>
      <c r="B2607" t="s">
        <v>2747</v>
      </c>
      <c r="C2607" t="str" cm="1">
        <f t="array" ref="C2607">CleanText(B2607)</f>
        <v>shows kids the real world very informative of the patriarchy</v>
      </c>
      <c r="D2607">
        <v>1</v>
      </c>
      <c r="E2607">
        <v>1</v>
      </c>
      <c r="F2607" t="s">
        <v>10</v>
      </c>
      <c r="G2607" t="str" cm="1">
        <f t="array" ref="G2607">FindCountryName(F2607)</f>
        <v>None</v>
      </c>
      <c r="H2607" s="3">
        <v>45158.705023148148</v>
      </c>
      <c r="I2607" s="3">
        <v>45158.705023148148</v>
      </c>
      <c r="J2607" s="3">
        <v>41966.174907407411</v>
      </c>
      <c r="K2607" cm="1">
        <f t="array" ref="K2607">sentimentCalc(C2607)</f>
        <v>0</v>
      </c>
      <c r="L2607" t="str" cm="1">
        <f t="array" ref="L2607">sentimentCategory(K2607)</f>
        <v>Neutral</v>
      </c>
    </row>
    <row r="2608" spans="1:12" x14ac:dyDescent="0.25">
      <c r="A2608" t="s">
        <v>228</v>
      </c>
      <c r="B2608" t="s">
        <v>2554</v>
      </c>
      <c r="C2608" t="str" cm="1">
        <f t="array" ref="C2608">CleanText(B2608)</f>
        <v>shut up i love the barbie movie</v>
      </c>
      <c r="D2608">
        <v>0</v>
      </c>
      <c r="E2608">
        <v>0</v>
      </c>
      <c r="F2608" t="s">
        <v>10</v>
      </c>
      <c r="G2608" t="str" cm="1">
        <f t="array" ref="G2608">FindCountryName(F2608)</f>
        <v>None</v>
      </c>
      <c r="H2608" s="3">
        <v>45163.531817129631</v>
      </c>
      <c r="I2608" s="3">
        <v>45163.531817129631</v>
      </c>
      <c r="J2608" s="3">
        <v>45108.183333333334</v>
      </c>
      <c r="K2608" cm="1">
        <f t="array" ref="K2608">sentimentCalc(C2608)</f>
        <v>3</v>
      </c>
      <c r="L2608" t="str" cm="1">
        <f t="array" ref="L2608">sentimentCategory(K2608)</f>
        <v>Positive</v>
      </c>
    </row>
    <row r="2609" spans="1:12" x14ac:dyDescent="0.25">
      <c r="A2609" t="s">
        <v>114</v>
      </c>
      <c r="B2609" t="s">
        <v>4329</v>
      </c>
      <c r="C2609" t="str" cm="1">
        <f t="array" ref="C2609">CleanText(B2609)</f>
        <v>silly stuipid movie waste of time</v>
      </c>
      <c r="D2609">
        <v>3</v>
      </c>
      <c r="E2609">
        <v>0</v>
      </c>
      <c r="F2609" t="s">
        <v>10</v>
      </c>
      <c r="G2609" t="str" cm="1">
        <f t="array" ref="G2609">FindCountryName(F2609)</f>
        <v>None</v>
      </c>
      <c r="H2609" s="3">
        <v>45140.924143518518</v>
      </c>
      <c r="I2609" s="3">
        <v>45142.638912037037</v>
      </c>
      <c r="J2609" s="3">
        <v>39746.170694444445</v>
      </c>
      <c r="K2609" cm="1">
        <f t="array" ref="K2609">sentimentCalc(C2609)</f>
        <v>-2</v>
      </c>
      <c r="L2609" t="str" cm="1">
        <f t="array" ref="L2609">sentimentCategory(K2609)</f>
        <v>Negative</v>
      </c>
    </row>
    <row r="2610" spans="1:12" x14ac:dyDescent="0.25">
      <c r="A2610" t="s">
        <v>207</v>
      </c>
      <c r="B2610" t="s">
        <v>1538</v>
      </c>
      <c r="C2610" t="str" cm="1">
        <f t="array" ref="C2610">CleanText(B2610)</f>
        <v>simplesmente maravilhoso super indico</v>
      </c>
      <c r="D2610">
        <v>1</v>
      </c>
      <c r="E2610">
        <v>0</v>
      </c>
      <c r="F2610" t="s">
        <v>1350</v>
      </c>
      <c r="G2610" t="str" cm="1">
        <f t="array" ref="G2610">FindCountryName(F2610)</f>
        <v>Brazil</v>
      </c>
      <c r="H2610" s="3">
        <v>45214.872893518521</v>
      </c>
      <c r="I2610" s="3">
        <v>45214.872893518521</v>
      </c>
      <c r="J2610" s="3">
        <v>41366.498749999999</v>
      </c>
      <c r="K2610" cm="1">
        <f t="array" ref="K2610">sentimentCalc(C2610)</f>
        <v>3</v>
      </c>
      <c r="L2610" t="str" cm="1">
        <f t="array" ref="L2610">sentimentCategory(K2610)</f>
        <v>Positive</v>
      </c>
    </row>
    <row r="2611" spans="1:12" x14ac:dyDescent="0.25">
      <c r="A2611" t="s">
        <v>122</v>
      </c>
      <c r="B2611" t="s">
        <v>2329</v>
      </c>
      <c r="C2611" t="str" cm="1">
        <f t="array" ref="C2611">CleanText(B2611)</f>
        <v>simply stupidjust by watching the trailer my iq dropped  points</v>
      </c>
      <c r="D2611">
        <v>3</v>
      </c>
      <c r="E2611">
        <v>4</v>
      </c>
      <c r="F2611" t="s">
        <v>10</v>
      </c>
      <c r="G2611" t="str" cm="1">
        <f t="array" ref="G2611">FindCountryName(F2611)</f>
        <v>None</v>
      </c>
      <c r="H2611" s="3">
        <v>45171.874444444446</v>
      </c>
      <c r="I2611" s="3">
        <v>45171.874444444446</v>
      </c>
      <c r="J2611" s="3">
        <v>40828.897476851853</v>
      </c>
      <c r="K2611" cm="1">
        <f t="array" ref="K2611">sentimentCalc(C2611)</f>
        <v>0</v>
      </c>
      <c r="L2611" t="str" cm="1">
        <f t="array" ref="L2611">sentimentCategory(K2611)</f>
        <v>Neutral</v>
      </c>
    </row>
    <row r="2612" spans="1:12" x14ac:dyDescent="0.25">
      <c r="A2612" t="s">
        <v>192</v>
      </c>
      <c r="B2612" t="s">
        <v>3949</v>
      </c>
      <c r="C2612" t="str" cm="1">
        <f t="array" ref="C2612">CleanText(B2612)</f>
        <v>sinamasina gidicem</v>
      </c>
      <c r="D2612">
        <v>0</v>
      </c>
      <c r="E2612">
        <v>0</v>
      </c>
      <c r="F2612" t="s">
        <v>10</v>
      </c>
      <c r="G2612" t="str" cm="1">
        <f t="array" ref="G2612">FindCountryName(F2612)</f>
        <v>None</v>
      </c>
      <c r="H2612" s="3">
        <v>45144.273009259261</v>
      </c>
      <c r="I2612" s="3">
        <v>45144.273009259261</v>
      </c>
      <c r="J2612" s="3">
        <v>45144.191678240742</v>
      </c>
      <c r="K2612" cm="1">
        <f t="array" ref="K2612">sentimentCalc(C2612)</f>
        <v>0</v>
      </c>
      <c r="L2612" t="str" cm="1">
        <f t="array" ref="L2612">sentimentCategory(K2612)</f>
        <v>Neutral</v>
      </c>
    </row>
    <row r="2613" spans="1:12" x14ac:dyDescent="0.25">
      <c r="A2613" t="s">
        <v>1181</v>
      </c>
      <c r="B2613" t="s">
        <v>1182</v>
      </c>
      <c r="C2613" t="str" cm="1">
        <f t="array" ref="C2613">CleanText(B2613)</f>
        <v>since brazil and zardoz i havent seen such a stupid film</v>
      </c>
      <c r="D2613">
        <v>0</v>
      </c>
      <c r="E2613">
        <v>0</v>
      </c>
      <c r="F2613" t="s">
        <v>1183</v>
      </c>
      <c r="G2613" t="str" cm="1">
        <f t="array" ref="G2613">FindCountryName(F2613)</f>
        <v>Serbia</v>
      </c>
      <c r="H2613" s="3">
        <v>45279.497152777774</v>
      </c>
      <c r="I2613" s="3">
        <v>45279.497152777774</v>
      </c>
      <c r="J2613" s="3">
        <v>40103.950474537036</v>
      </c>
      <c r="K2613" cm="1">
        <f t="array" ref="K2613">sentimentCalc(C2613)</f>
        <v>-2</v>
      </c>
      <c r="L2613" t="str" cm="1">
        <f t="array" ref="L2613">sentimentCategory(K2613)</f>
        <v>Negative</v>
      </c>
    </row>
    <row r="2614" spans="1:12" x14ac:dyDescent="0.25">
      <c r="A2614" t="s">
        <v>830</v>
      </c>
      <c r="B2614" t="s">
        <v>2611</v>
      </c>
      <c r="C2614" t="str" cm="1">
        <f t="array" ref="C2614">CleanText(B2614)</f>
        <v>since i am confused whether to love or hate barbie is this film for me</v>
      </c>
      <c r="D2614">
        <v>1</v>
      </c>
      <c r="E2614">
        <v>1</v>
      </c>
      <c r="F2614" t="s">
        <v>10</v>
      </c>
      <c r="G2614" t="str" cm="1">
        <f t="array" ref="G2614">FindCountryName(F2614)</f>
        <v>None</v>
      </c>
      <c r="H2614" s="3">
        <v>45161.890983796293</v>
      </c>
      <c r="I2614" s="3">
        <v>45161.890983796293</v>
      </c>
      <c r="J2614" s="3">
        <v>39410.332384259258</v>
      </c>
      <c r="K2614" cm="1">
        <f t="array" ref="K2614">sentimentCalc(C2614)</f>
        <v>-2</v>
      </c>
      <c r="L2614" t="str" cm="1">
        <f t="array" ref="L2614">sentimentCategory(K2614)</f>
        <v>Negative</v>
      </c>
    </row>
    <row r="2615" spans="1:12" x14ac:dyDescent="0.25">
      <c r="A2615" t="s">
        <v>970</v>
      </c>
      <c r="B2615" t="s">
        <v>971</v>
      </c>
      <c r="C2615" t="str" cm="1">
        <f t="array" ref="C2615">CleanText(B2615)</f>
        <v>sinemada izledim ok tatl bir filim teekkr ederim</v>
      </c>
      <c r="D2615">
        <v>0</v>
      </c>
      <c r="E2615">
        <v>0</v>
      </c>
      <c r="F2615" t="s">
        <v>10</v>
      </c>
      <c r="G2615" t="str" cm="1">
        <f t="array" ref="G2615">FindCountryName(F2615)</f>
        <v>None</v>
      </c>
      <c r="H2615" s="3">
        <v>45299.254583333335</v>
      </c>
      <c r="I2615" s="3">
        <v>45299.254583333335</v>
      </c>
      <c r="J2615" s="3">
        <v>42858.650775462964</v>
      </c>
      <c r="K2615" cm="1">
        <f t="array" ref="K2615">sentimentCalc(C2615)</f>
        <v>0</v>
      </c>
      <c r="L2615" t="str" cm="1">
        <f t="array" ref="L2615">sentimentCategory(K2615)</f>
        <v>Neutral</v>
      </c>
    </row>
    <row r="2616" spans="1:12" x14ac:dyDescent="0.25">
      <c r="A2616" t="s">
        <v>840</v>
      </c>
      <c r="B2616" t="s">
        <v>1128</v>
      </c>
      <c r="C2616" t="str" cm="1">
        <f t="array" ref="C2616">CleanText(B2616)</f>
        <v>sing and dance together and be joyous but let each one of your be alone</v>
      </c>
      <c r="D2616">
        <v>0</v>
      </c>
      <c r="E2616">
        <v>0</v>
      </c>
      <c r="F2616" t="s">
        <v>227</v>
      </c>
      <c r="G2616" t="str" cm="1">
        <f t="array" ref="G2616">FindCountryName(F2616)</f>
        <v>United States of America (the)</v>
      </c>
      <c r="H2616" s="3">
        <v>45285.586377314816</v>
      </c>
      <c r="I2616" s="3">
        <v>45285.586377314816</v>
      </c>
      <c r="J2616" s="3">
        <v>44935.021087962959</v>
      </c>
      <c r="K2616" cm="1">
        <f t="array" ref="K2616">sentimentCalc(C2616)</f>
        <v>1</v>
      </c>
      <c r="L2616" t="str" cm="1">
        <f t="array" ref="L2616">sentimentCategory(K2616)</f>
        <v>Positive</v>
      </c>
    </row>
    <row r="2617" spans="1:12" x14ac:dyDescent="0.25">
      <c r="A2617" t="s">
        <v>624</v>
      </c>
      <c r="B2617" t="s">
        <v>3860</v>
      </c>
      <c r="C2617" t="str" cm="1">
        <f t="array" ref="C2617">CleanText(B2617)</f>
        <v>slay</v>
      </c>
      <c r="D2617">
        <v>1</v>
      </c>
      <c r="E2617">
        <v>0</v>
      </c>
      <c r="F2617" t="s">
        <v>10</v>
      </c>
      <c r="G2617" t="str" cm="1">
        <f t="array" ref="G2617">FindCountryName(F2617)</f>
        <v>None</v>
      </c>
      <c r="H2617" s="3">
        <v>45144.920254629629</v>
      </c>
      <c r="I2617" s="3">
        <v>45144.920254629629</v>
      </c>
      <c r="J2617" s="3">
        <v>43752.00953703704</v>
      </c>
      <c r="K2617" cm="1">
        <f t="array" ref="K2617">sentimentCalc(C2617)</f>
        <v>0</v>
      </c>
      <c r="L2617" t="str" cm="1">
        <f t="array" ref="L2617">sentimentCategory(K2617)</f>
        <v>Neutral</v>
      </c>
    </row>
    <row r="2618" spans="1:12" x14ac:dyDescent="0.25">
      <c r="A2618" t="s">
        <v>324</v>
      </c>
      <c r="B2618" t="s">
        <v>1985</v>
      </c>
      <c r="C2618" t="str" cm="1">
        <f t="array" ref="C2618">CleanText(B2618)</f>
        <v>slayy barbiehhh</v>
      </c>
      <c r="D2618">
        <v>1</v>
      </c>
      <c r="E2618">
        <v>0</v>
      </c>
      <c r="F2618" t="s">
        <v>10</v>
      </c>
      <c r="G2618" t="str" cm="1">
        <f t="array" ref="G2618">FindCountryName(F2618)</f>
        <v>None</v>
      </c>
      <c r="H2618" s="3">
        <v>45185.416851851849</v>
      </c>
      <c r="I2618" s="3">
        <v>45185.416851851849</v>
      </c>
      <c r="J2618" s="3">
        <v>42342.381805555553</v>
      </c>
      <c r="K2618" cm="1">
        <f t="array" ref="K2618">sentimentCalc(C2618)</f>
        <v>0</v>
      </c>
      <c r="L2618" t="str" cm="1">
        <f t="array" ref="L2618">sentimentCategory(K2618)</f>
        <v>Neutral</v>
      </c>
    </row>
    <row r="2619" spans="1:12" x14ac:dyDescent="0.25">
      <c r="A2619" t="s">
        <v>1428</v>
      </c>
      <c r="B2619" t="s">
        <v>3975</v>
      </c>
      <c r="C2619" t="str" cm="1">
        <f t="array" ref="C2619">CleanText(B2619)</f>
        <v>smash</v>
      </c>
      <c r="D2619">
        <v>0</v>
      </c>
      <c r="E2619">
        <v>1</v>
      </c>
      <c r="F2619" t="s">
        <v>1698</v>
      </c>
      <c r="G2619" t="str" cm="1">
        <f t="array" ref="G2619">FindCountryName(F2619)</f>
        <v>New Zealand</v>
      </c>
      <c r="H2619" s="3">
        <v>45144.109756944446</v>
      </c>
      <c r="I2619" s="3">
        <v>45144.109756944446</v>
      </c>
      <c r="J2619" s="3">
        <v>43135.928564814814</v>
      </c>
      <c r="K2619" cm="1">
        <f t="array" ref="K2619">sentimentCalc(C2619)</f>
        <v>0</v>
      </c>
      <c r="L2619" t="str" cm="1">
        <f t="array" ref="L2619">sentimentCategory(K2619)</f>
        <v>Neutral</v>
      </c>
    </row>
    <row r="2620" spans="1:12" x14ac:dyDescent="0.25">
      <c r="A2620" t="s">
        <v>555</v>
      </c>
      <c r="B2620" t="s">
        <v>2906</v>
      </c>
      <c r="C2620" t="str" cm="1">
        <f t="array" ref="C2620">CleanText(B2620)</f>
        <v>smashing of babies and perceiving a pregnant doll as ugly but a selfish career focused misandric women is the answer to an empty life only filled with the hot air of ego which in effect reflects hurt and insecurity thus the creation of ego the actuality in the duality of emptiness what they articulate is the very opposite thing they try to achieve by creating true cognitive dissonance by a dogmatic subliminal message denying in the process our true inner and existential wholeness  ordained by god himself familythis sentence alone should show how far gone you are if you liked the movie and reflects your broken spirit for compensation is just sad if your blind for that attack on humanity and your existential worth missing the essence of life familyideas breathed into their hurt hearts by the evil one himselfthis happend to men as well i remember a passage in my book in school where a man who would make his family important instead of career was being mockedthe devil came after what first yes marriage why because its the cornerstone of gods intended life for us and men misusing patriarchy and their assignment doesnt mean life wasnt intended that just as much as bad mothers doesnt take away their repsonsibility they dont uphold</v>
      </c>
      <c r="D2620">
        <v>0</v>
      </c>
      <c r="E2620">
        <v>6</v>
      </c>
      <c r="F2620" t="s">
        <v>10</v>
      </c>
      <c r="G2620" t="str" cm="1">
        <f t="array" ref="G2620">FindCountryName(F2620)</f>
        <v>None</v>
      </c>
      <c r="H2620" s="3">
        <v>45156.08965277778</v>
      </c>
      <c r="I2620" s="3">
        <v>45156.089641203704</v>
      </c>
      <c r="J2620" s="3">
        <v>44836.165821759256</v>
      </c>
      <c r="K2620" cm="1">
        <f t="array" ref="K2620">sentimentCalc(C2620)</f>
        <v>-16</v>
      </c>
      <c r="L2620" t="str" cm="1">
        <f t="array" ref="L2620">sentimentCategory(K2620)</f>
        <v>Negative</v>
      </c>
    </row>
    <row r="2621" spans="1:12" x14ac:dyDescent="0.25">
      <c r="A2621" t="s">
        <v>1153</v>
      </c>
      <c r="B2621" t="s">
        <v>1154</v>
      </c>
      <c r="C2621" t="str" cm="1">
        <f t="array" ref="C2621">CleanText(B2621)</f>
        <v>snapshot of our current culture for sure</v>
      </c>
      <c r="D2621">
        <v>1</v>
      </c>
      <c r="E2621">
        <v>0</v>
      </c>
      <c r="F2621" t="s">
        <v>10</v>
      </c>
      <c r="G2621" t="str" cm="1">
        <f t="array" ref="G2621">FindCountryName(F2621)</f>
        <v>None</v>
      </c>
      <c r="H2621" s="3">
        <v>45282.518831018519</v>
      </c>
      <c r="I2621" s="3">
        <v>45282.518831018519</v>
      </c>
      <c r="J2621" s="3">
        <v>45097.732523148145</v>
      </c>
      <c r="K2621" cm="1">
        <f t="array" ref="K2621">sentimentCalc(C2621)</f>
        <v>0</v>
      </c>
      <c r="L2621" t="str" cm="1">
        <f t="array" ref="L2621">sentimentCategory(K2621)</f>
        <v>Neutral</v>
      </c>
    </row>
    <row r="2622" spans="1:12" x14ac:dyDescent="0.25">
      <c r="A2622" t="s">
        <v>1215</v>
      </c>
      <c r="B2622" t="s">
        <v>3214</v>
      </c>
      <c r="C2622" t="str" cm="1">
        <f t="array" ref="C2622">CleanText(B2622)</f>
        <v>so barbie lives in a matriarchy where the kens have no rights and are treated like pets isnt that as bad as a patriarchy what is the message of this movie if you can enforce your will upon someone else its good but if they can enforce their will upon you its bad</v>
      </c>
      <c r="D2622">
        <v>3</v>
      </c>
      <c r="E2622">
        <v>0</v>
      </c>
      <c r="F2622" t="s">
        <v>10</v>
      </c>
      <c r="G2622" t="str" cm="1">
        <f t="array" ref="G2622">FindCountryName(F2622)</f>
        <v>None</v>
      </c>
      <c r="H2622" s="3">
        <v>45151.757638888892</v>
      </c>
      <c r="I2622" s="3">
        <v>45151.757627314815</v>
      </c>
      <c r="J2622" s="3">
        <v>44189.549062500002</v>
      </c>
      <c r="K2622" cm="1">
        <f t="array" ref="K2622">sentimentCalc(C2622)</f>
        <v>-2</v>
      </c>
      <c r="L2622" t="str" cm="1">
        <f t="array" ref="L2622">sentimentCategory(K2622)</f>
        <v>Negative</v>
      </c>
    </row>
    <row r="2623" spans="1:12" x14ac:dyDescent="0.25">
      <c r="A2623" t="s">
        <v>465</v>
      </c>
      <c r="B2623" t="s">
        <v>1701</v>
      </c>
      <c r="C2623" t="str" cm="1">
        <f t="array" ref="C2623">CleanText(B2623)</f>
        <v>so beautiful</v>
      </c>
      <c r="D2623">
        <v>1</v>
      </c>
      <c r="E2623">
        <v>0</v>
      </c>
      <c r="F2623" t="s">
        <v>10</v>
      </c>
      <c r="G2623" t="str" cm="1">
        <f t="array" ref="G2623">FindCountryName(F2623)</f>
        <v>None</v>
      </c>
      <c r="H2623" s="3">
        <v>45201.166284722225</v>
      </c>
      <c r="I2623" s="3">
        <v>45201.166284722225</v>
      </c>
      <c r="J2623" s="3">
        <v>41886.338645833333</v>
      </c>
      <c r="K2623" cm="1">
        <f t="array" ref="K2623">sentimentCalc(C2623)</f>
        <v>3</v>
      </c>
      <c r="L2623" t="str" cm="1">
        <f t="array" ref="L2623">sentimentCategory(K2623)</f>
        <v>Positive</v>
      </c>
    </row>
    <row r="2624" spans="1:12" x14ac:dyDescent="0.25">
      <c r="A2624" t="s">
        <v>1063</v>
      </c>
      <c r="B2624" t="s">
        <v>1064</v>
      </c>
      <c r="C2624" t="str" cm="1">
        <f t="array" ref="C2624">CleanText(B2624)</f>
        <v>so bollywood style is here</v>
      </c>
      <c r="D2624">
        <v>0</v>
      </c>
      <c r="E2624">
        <v>0</v>
      </c>
      <c r="F2624" t="s">
        <v>10</v>
      </c>
      <c r="G2624" t="str" cm="1">
        <f t="array" ref="G2624">FindCountryName(F2624)</f>
        <v>None</v>
      </c>
      <c r="H2624" s="3">
        <v>45295.032233796293</v>
      </c>
      <c r="I2624" s="3">
        <v>45295.032233796293</v>
      </c>
      <c r="J2624" s="3">
        <v>44743.787708333337</v>
      </c>
      <c r="K2624" cm="1">
        <f t="array" ref="K2624">sentimentCalc(C2624)</f>
        <v>0</v>
      </c>
      <c r="L2624" t="str" cm="1">
        <f t="array" ref="L2624">sentimentCategory(K2624)</f>
        <v>Neutral</v>
      </c>
    </row>
    <row r="2625" spans="1:12" x14ac:dyDescent="0.25">
      <c r="A2625" t="s">
        <v>120</v>
      </c>
      <c r="B2625" t="s">
        <v>1844</v>
      </c>
      <c r="C2625" t="str" cm="1">
        <f t="array" ref="C2625">CleanText(B2625)</f>
        <v>so curious to see</v>
      </c>
      <c r="D2625">
        <v>0</v>
      </c>
      <c r="E2625">
        <v>0</v>
      </c>
      <c r="F2625" t="s">
        <v>10</v>
      </c>
      <c r="G2625" t="str" cm="1">
        <f t="array" ref="G2625">FindCountryName(F2625)</f>
        <v>None</v>
      </c>
      <c r="H2625" s="3">
        <v>45191.101377314815</v>
      </c>
      <c r="I2625" s="3">
        <v>45191.101377314815</v>
      </c>
      <c r="J2625" s="3">
        <v>45191.101307870369</v>
      </c>
      <c r="K2625" cm="1">
        <f t="array" ref="K2625">sentimentCalc(C2625)</f>
        <v>1</v>
      </c>
      <c r="L2625" t="str" cm="1">
        <f t="array" ref="L2625">sentimentCategory(K2625)</f>
        <v>Positive</v>
      </c>
    </row>
    <row r="2626" spans="1:12" x14ac:dyDescent="0.25">
      <c r="A2626" t="s">
        <v>955</v>
      </c>
      <c r="B2626" t="s">
        <v>3753</v>
      </c>
      <c r="C2626" t="str" cm="1">
        <f t="array" ref="C2626">CleanText(B2626)</f>
        <v>so disappointed in this film i want my money back</v>
      </c>
      <c r="D2626">
        <v>1</v>
      </c>
      <c r="E2626">
        <v>0</v>
      </c>
      <c r="F2626" t="s">
        <v>10</v>
      </c>
      <c r="G2626" t="str" cm="1">
        <f t="array" ref="G2626">FindCountryName(F2626)</f>
        <v>None</v>
      </c>
      <c r="H2626" s="3">
        <v>45145.722557870373</v>
      </c>
      <c r="I2626" s="3">
        <v>45145.722557870373</v>
      </c>
      <c r="J2626" s="3">
        <v>43941.45207175926</v>
      </c>
      <c r="K2626" cm="1">
        <f t="array" ref="K2626">sentimentCalc(C2626)</f>
        <v>-1</v>
      </c>
      <c r="L2626" t="str" cm="1">
        <f t="array" ref="L2626">sentimentCategory(K2626)</f>
        <v>Negative</v>
      </c>
    </row>
    <row r="2627" spans="1:12" x14ac:dyDescent="0.25">
      <c r="A2627" t="s">
        <v>228</v>
      </c>
      <c r="B2627" t="s">
        <v>670</v>
      </c>
      <c r="C2627" t="str" cm="1">
        <f t="array" ref="C2627">CleanText(B2627)</f>
        <v>so funny</v>
      </c>
      <c r="D2627">
        <v>0</v>
      </c>
      <c r="E2627">
        <v>0</v>
      </c>
      <c r="F2627" t="s">
        <v>10</v>
      </c>
      <c r="G2627" t="str" cm="1">
        <f t="array" ref="G2627">FindCountryName(F2627)</f>
        <v>None</v>
      </c>
      <c r="H2627" s="3">
        <v>45314.272847222222</v>
      </c>
      <c r="I2627" s="3">
        <v>45314.272847222222</v>
      </c>
      <c r="J2627" s="3">
        <v>45313.157847222225</v>
      </c>
      <c r="K2627" cm="1">
        <f t="array" ref="K2627">sentimentCalc(C2627)</f>
        <v>4</v>
      </c>
      <c r="L2627" t="str" cm="1">
        <f t="array" ref="L2627">sentimentCategory(K2627)</f>
        <v>Positive</v>
      </c>
    </row>
    <row r="2628" spans="1:12" x14ac:dyDescent="0.25">
      <c r="A2628" t="s">
        <v>921</v>
      </c>
      <c r="B2628" t="s">
        <v>4169</v>
      </c>
      <c r="C2628" t="str" cm="1">
        <f t="array" ref="C2628">CleanText(B2628)</f>
        <v>so funny barbie how make video she movie i lovee barbie</v>
      </c>
      <c r="D2628">
        <v>0</v>
      </c>
      <c r="E2628">
        <v>0</v>
      </c>
      <c r="F2628" t="s">
        <v>10</v>
      </c>
      <c r="G2628" t="str" cm="1">
        <f t="array" ref="G2628">FindCountryName(F2628)</f>
        <v>None</v>
      </c>
      <c r="H2628" s="3">
        <v>45142.366342592592</v>
      </c>
      <c r="I2628" s="3">
        <v>45142.366342592592</v>
      </c>
      <c r="J2628" s="3">
        <v>41248.258379629631</v>
      </c>
      <c r="K2628" cm="1">
        <f t="array" ref="K2628">sentimentCalc(C2628)</f>
        <v>4</v>
      </c>
      <c r="L2628" t="str" cm="1">
        <f t="array" ref="L2628">sentimentCategory(K2628)</f>
        <v>Positive</v>
      </c>
    </row>
    <row r="2629" spans="1:12" x14ac:dyDescent="0.25">
      <c r="A2629" t="s">
        <v>54</v>
      </c>
      <c r="B2629" t="s">
        <v>4181</v>
      </c>
      <c r="C2629" t="str" cm="1">
        <f t="array" ref="C2629">CleanText(B2629)</f>
        <v>so good oh my god</v>
      </c>
      <c r="D2629">
        <v>0</v>
      </c>
      <c r="E2629">
        <v>0</v>
      </c>
      <c r="F2629" t="s">
        <v>10</v>
      </c>
      <c r="G2629" t="str" cm="1">
        <f t="array" ref="G2629">FindCountryName(F2629)</f>
        <v>None</v>
      </c>
      <c r="H2629" s="3">
        <v>45142.255219907405</v>
      </c>
      <c r="I2629" s="3">
        <v>45142.255219907405</v>
      </c>
      <c r="J2629" s="3">
        <v>44610.295324074075</v>
      </c>
      <c r="K2629" cm="1">
        <f t="array" ref="K2629">sentimentCalc(C2629)</f>
        <v>4</v>
      </c>
      <c r="L2629" t="str" cm="1">
        <f t="array" ref="L2629">sentimentCategory(K2629)</f>
        <v>Positive</v>
      </c>
    </row>
    <row r="2630" spans="1:12" x14ac:dyDescent="0.25">
      <c r="A2630" t="s">
        <v>1587</v>
      </c>
      <c r="B2630" t="s">
        <v>1588</v>
      </c>
      <c r="C2630" t="str" cm="1">
        <f t="array" ref="C2630">CleanText(B2630)</f>
        <v>so good</v>
      </c>
      <c r="D2630">
        <v>1</v>
      </c>
      <c r="E2630">
        <v>0</v>
      </c>
      <c r="F2630" t="s">
        <v>845</v>
      </c>
      <c r="G2630" t="str" cm="1">
        <f t="array" ref="G2630">FindCountryName(F2630)</f>
        <v>Australia</v>
      </c>
      <c r="H2630" s="3">
        <v>45211.951724537037</v>
      </c>
      <c r="I2630" s="3">
        <v>45211.951724537037</v>
      </c>
      <c r="J2630" s="3">
        <v>43500.966238425928</v>
      </c>
      <c r="K2630" cm="1">
        <f t="array" ref="K2630">sentimentCalc(C2630)</f>
        <v>3</v>
      </c>
      <c r="L2630" t="str" cm="1">
        <f t="array" ref="L2630">sentimentCategory(K2630)</f>
        <v>Positive</v>
      </c>
    </row>
    <row r="2631" spans="1:12" x14ac:dyDescent="0.25">
      <c r="A2631" t="s">
        <v>3295</v>
      </c>
      <c r="B2631" t="s">
        <v>4042</v>
      </c>
      <c r="C2631" t="str" cm="1">
        <f t="array" ref="C2631">CleanText(B2631)</f>
        <v>so happy that no blackwashing applied in this movie this was created based on what should have happened</v>
      </c>
      <c r="D2631">
        <v>0</v>
      </c>
      <c r="E2631">
        <v>0</v>
      </c>
      <c r="F2631" t="s">
        <v>10</v>
      </c>
      <c r="G2631" t="str" cm="1">
        <f t="array" ref="G2631">FindCountryName(F2631)</f>
        <v>None</v>
      </c>
      <c r="H2631" s="3">
        <v>45143.449780092589</v>
      </c>
      <c r="I2631" s="3">
        <v>45143.449780092589</v>
      </c>
      <c r="J2631" s="3">
        <v>44599.537129629629</v>
      </c>
      <c r="K2631" cm="1">
        <f t="array" ref="K2631">sentimentCalc(C2631)</f>
        <v>2</v>
      </c>
      <c r="L2631" t="str" cm="1">
        <f t="array" ref="L2631">sentimentCategory(K2631)</f>
        <v>Positive</v>
      </c>
    </row>
    <row r="2632" spans="1:12" x14ac:dyDescent="0.25">
      <c r="A2632" t="s">
        <v>472</v>
      </c>
      <c r="B2632" t="s">
        <v>3132</v>
      </c>
      <c r="C2632" t="str" cm="1">
        <f t="array" ref="C2632">CleanText(B2632)</f>
        <v>so if nsync didnt brake up they would of be allan in the barbie movie make sense would of been great to see them on the barbie movie</v>
      </c>
      <c r="D2632">
        <v>0</v>
      </c>
      <c r="E2632">
        <v>0</v>
      </c>
      <c r="F2632" t="s">
        <v>10</v>
      </c>
      <c r="G2632" t="str" cm="1">
        <f t="array" ref="G2632">FindCountryName(F2632)</f>
        <v>None</v>
      </c>
      <c r="H2632" s="3">
        <v>45152.873240740744</v>
      </c>
      <c r="I2632" s="3">
        <v>45152.873240740744</v>
      </c>
      <c r="J2632" s="3">
        <v>44450.850787037038</v>
      </c>
      <c r="K2632" cm="1">
        <f t="array" ref="K2632">sentimentCalc(C2632)</f>
        <v>3</v>
      </c>
      <c r="L2632" t="str" cm="1">
        <f t="array" ref="L2632">sentimentCategory(K2632)</f>
        <v>Positive</v>
      </c>
    </row>
    <row r="2633" spans="1:12" x14ac:dyDescent="0.25">
      <c r="A2633" t="s">
        <v>2762</v>
      </c>
      <c r="B2633" t="s">
        <v>2763</v>
      </c>
      <c r="C2633" t="str" cm="1">
        <f t="array" ref="C2633">CleanText(B2633)</f>
        <v>so is this just like a feminist truman matrix</v>
      </c>
      <c r="D2633">
        <v>2</v>
      </c>
      <c r="E2633">
        <v>0</v>
      </c>
      <c r="F2633" t="s">
        <v>10</v>
      </c>
      <c r="G2633" t="str" cm="1">
        <f t="array" ref="G2633">FindCountryName(F2633)</f>
        <v>None</v>
      </c>
      <c r="H2633" s="3">
        <v>45158.374409722222</v>
      </c>
      <c r="I2633" s="3">
        <v>45158.374409722222</v>
      </c>
      <c r="J2633" s="3">
        <v>40815.982928240737</v>
      </c>
      <c r="K2633" cm="1">
        <f t="array" ref="K2633">sentimentCalc(C2633)</f>
        <v>2</v>
      </c>
      <c r="L2633" t="str" cm="1">
        <f t="array" ref="L2633">sentimentCategory(K2633)</f>
        <v>Positive</v>
      </c>
    </row>
    <row r="2634" spans="1:12" x14ac:dyDescent="0.25">
      <c r="A2634" t="s">
        <v>365</v>
      </c>
      <c r="B2634" t="s">
        <v>4349</v>
      </c>
      <c r="C2634" t="str" cm="1">
        <f t="array" ref="C2634">CleanText(B2634)</f>
        <v>so it basically matrix for girls</v>
      </c>
      <c r="D2634">
        <v>1</v>
      </c>
      <c r="E2634">
        <v>0</v>
      </c>
      <c r="F2634" t="s">
        <v>1187</v>
      </c>
      <c r="G2634" t="str" cm="1">
        <f t="array" ref="G2634">FindCountryName(F2634)</f>
        <v>Jamaica</v>
      </c>
      <c r="H2634" s="3">
        <v>45140.739120370374</v>
      </c>
      <c r="I2634" s="3">
        <v>45140.739120370374</v>
      </c>
      <c r="J2634" s="3">
        <v>42067.795451388891</v>
      </c>
      <c r="K2634" cm="1">
        <f t="array" ref="K2634">sentimentCalc(C2634)</f>
        <v>0</v>
      </c>
      <c r="L2634" t="str" cm="1">
        <f t="array" ref="L2634">sentimentCategory(K2634)</f>
        <v>Neutral</v>
      </c>
    </row>
    <row r="2635" spans="1:12" x14ac:dyDescent="0.25">
      <c r="A2635" t="s">
        <v>307</v>
      </c>
      <c r="B2635" t="s">
        <v>4112</v>
      </c>
      <c r="C2635" t="str" cm="1">
        <f t="array" ref="C2635">CleanText(B2635)</f>
        <v>so kinda like a way less realistic version of the matrix</v>
      </c>
      <c r="D2635">
        <v>0</v>
      </c>
      <c r="E2635">
        <v>0</v>
      </c>
      <c r="F2635" t="s">
        <v>10</v>
      </c>
      <c r="G2635" t="str" cm="1">
        <f t="array" ref="G2635">FindCountryName(F2635)</f>
        <v>None</v>
      </c>
      <c r="H2635" s="3">
        <v>45142.791412037041</v>
      </c>
      <c r="I2635" s="3">
        <v>45142.791412037041</v>
      </c>
      <c r="J2635" s="3">
        <v>40695.816932870373</v>
      </c>
      <c r="K2635" cm="1">
        <f t="array" ref="K2635">sentimentCalc(C2635)</f>
        <v>2</v>
      </c>
      <c r="L2635" t="str" cm="1">
        <f t="array" ref="L2635">sentimentCategory(K2635)</f>
        <v>Positive</v>
      </c>
    </row>
    <row r="2636" spans="1:12" x14ac:dyDescent="0.25">
      <c r="A2636" t="s">
        <v>986</v>
      </c>
      <c r="B2636" t="s">
        <v>2110</v>
      </c>
      <c r="C2636" t="str" cm="1">
        <f t="array" ref="C2636">CleanText(B2636)</f>
        <v>so let me get this straight it was a piece of crappy plastic just a tomorrows garbage made for girls by women and it had no connection with patriarchy whatsoeverthen as the fourth wave feminists entered academia with all rights guaranteed and had to become creative in revealing patriarchy they falsely accused men to have created barbie as a means of control and they started preaching to little girls how barbie is here to makeem wanna serve men and fulfill mens fantasies and the sales were in a bit of a picklethen matel invested a bit in marketing and the same crappy piece of plastic and a piece of tomorrows garbage sells like crazy only this time all the women are yelling viva feminismand this after the lavigne and the skateboard katniss and archery equipment beer and women brewers in egypt and most famously bernays and women smokingso am i to think it makes sense that what happened to early cavemen in  odyssey only happened to women in mid  as the movie clearly shows</v>
      </c>
      <c r="D2636">
        <v>0</v>
      </c>
      <c r="E2636">
        <v>0</v>
      </c>
      <c r="F2636" t="s">
        <v>10</v>
      </c>
      <c r="G2636" t="str" cm="1">
        <f t="array" ref="G2636">FindCountryName(F2636)</f>
        <v>None</v>
      </c>
      <c r="H2636" s="3">
        <v>45180.267013888886</v>
      </c>
      <c r="I2636" s="3">
        <v>45180.267002314817</v>
      </c>
      <c r="J2636" s="3">
        <v>44276.344282407408</v>
      </c>
      <c r="K2636" cm="1">
        <f t="array" ref="K2636">sentimentCalc(C2636)</f>
        <v>3</v>
      </c>
      <c r="L2636" t="str" cm="1">
        <f t="array" ref="L2636">sentimentCategory(K2636)</f>
        <v>Positive</v>
      </c>
    </row>
    <row r="2637" spans="1:12" x14ac:dyDescent="0.25">
      <c r="A2637" t="s">
        <v>41</v>
      </c>
      <c r="B2637" t="s">
        <v>2125</v>
      </c>
      <c r="C2637" t="str" cm="1">
        <f t="array" ref="C2637">CleanText(B2637)</f>
        <v>so many moves ahead</v>
      </c>
      <c r="D2637">
        <v>0</v>
      </c>
      <c r="E2637">
        <v>0</v>
      </c>
      <c r="F2637" t="s">
        <v>10</v>
      </c>
      <c r="G2637" t="str" cm="1">
        <f t="array" ref="G2637">FindCountryName(F2637)</f>
        <v>None</v>
      </c>
      <c r="H2637" s="3">
        <v>45179.534282407411</v>
      </c>
      <c r="I2637" s="3">
        <v>45179.534282407411</v>
      </c>
      <c r="J2637" s="3">
        <v>45168.441018518519</v>
      </c>
      <c r="K2637" cm="1">
        <f t="array" ref="K2637">sentimentCalc(C2637)</f>
        <v>0</v>
      </c>
      <c r="L2637" t="str" cm="1">
        <f t="array" ref="L2637">sentimentCategory(K2637)</f>
        <v>Neutral</v>
      </c>
    </row>
    <row r="2638" spans="1:12" x14ac:dyDescent="0.25">
      <c r="A2638" t="s">
        <v>1891</v>
      </c>
      <c r="B2638" t="s">
        <v>4127</v>
      </c>
      <c r="C2638" t="str" cm="1">
        <f t="array" ref="C2638">CleanText(B2638)</f>
        <v>so many soy boys in this comment section</v>
      </c>
      <c r="D2638">
        <v>0</v>
      </c>
      <c r="E2638">
        <v>4</v>
      </c>
      <c r="F2638" t="s">
        <v>628</v>
      </c>
      <c r="G2638" t="str" cm="1">
        <f t="array" ref="G2638">FindCountryName(F2638)</f>
        <v>Canada</v>
      </c>
      <c r="H2638" s="3">
        <v>45142.640902777777</v>
      </c>
      <c r="I2638" s="3">
        <v>45142.640902777777</v>
      </c>
      <c r="J2638" s="3">
        <v>44034.539351851854</v>
      </c>
      <c r="K2638" cm="1">
        <f t="array" ref="K2638">sentimentCalc(C2638)</f>
        <v>0</v>
      </c>
      <c r="L2638" t="str" cm="1">
        <f t="array" ref="L2638">sentimentCategory(K2638)</f>
        <v>Neutral</v>
      </c>
    </row>
    <row r="2639" spans="1:12" x14ac:dyDescent="0.25">
      <c r="A2639" t="s">
        <v>1065</v>
      </c>
      <c r="B2639" t="s">
        <v>1066</v>
      </c>
      <c r="C2639" t="str" cm="1">
        <f t="array" ref="C2639">CleanText(B2639)</f>
        <v>so much sexism in this movie its actually sad and an embarrasment</v>
      </c>
      <c r="D2639">
        <v>0</v>
      </c>
      <c r="E2639">
        <v>1</v>
      </c>
      <c r="F2639" t="s">
        <v>10</v>
      </c>
      <c r="G2639" t="str" cm="1">
        <f t="array" ref="G2639">FindCountryName(F2639)</f>
        <v>None</v>
      </c>
      <c r="H2639" s="3">
        <v>45294.907141203701</v>
      </c>
      <c r="I2639" s="3">
        <v>45294.907141203701</v>
      </c>
      <c r="J2639" s="3">
        <v>41508.026365740741</v>
      </c>
      <c r="K2639" cm="1">
        <f t="array" ref="K2639">sentimentCalc(C2639)</f>
        <v>-2</v>
      </c>
      <c r="L2639" t="str" cm="1">
        <f t="array" ref="L2639">sentimentCategory(K2639)</f>
        <v>Negative</v>
      </c>
    </row>
    <row r="2640" spans="1:12" x14ac:dyDescent="0.25">
      <c r="A2640" t="s">
        <v>788</v>
      </c>
      <c r="B2640" t="s">
        <v>1361</v>
      </c>
      <c r="C2640" t="str" cm="1">
        <f t="array" ref="C2640">CleanText(B2640)</f>
        <v>so sad they violentlyunnecessarily had little children hit their baby dolls breaksmash the baby dolls heads in the beginning of the movie this unnecessary violence  cancel culture stuff hating old fashioned baby dolls turned me off to the movie right away and what a poor example to set for young children audiences overall too much hating on the men but some real cute parts  funny scenes some positive messages  music dancing that could have made it a really good movie</v>
      </c>
      <c r="D2640">
        <v>1</v>
      </c>
      <c r="E2640">
        <v>3</v>
      </c>
      <c r="F2640" t="s">
        <v>10</v>
      </c>
      <c r="G2640" t="str" cm="1">
        <f t="array" ref="G2640">FindCountryName(F2640)</f>
        <v>None</v>
      </c>
      <c r="H2640" s="3">
        <v>45240.064884259256</v>
      </c>
      <c r="I2640" s="3">
        <v>45240.065821759257</v>
      </c>
      <c r="J2640" s="3">
        <v>41698.988518518519</v>
      </c>
      <c r="K2640" cm="1">
        <f t="array" ref="K2640">sentimentCalc(C2640)</f>
        <v>-3</v>
      </c>
      <c r="L2640" t="str" cm="1">
        <f t="array" ref="L2640">sentimentCategory(K2640)</f>
        <v>Negative</v>
      </c>
    </row>
    <row r="2641" spans="1:12" x14ac:dyDescent="0.25">
      <c r="A2641" t="s">
        <v>2403</v>
      </c>
      <c r="B2641" t="s">
        <v>3050</v>
      </c>
      <c r="C2641" t="str" cm="1">
        <f t="array" ref="C2641">CleanText(B2641)</f>
        <v>so shame it even got banned in most cinemas doesnt worth your time and money</v>
      </c>
      <c r="D2641">
        <v>1</v>
      </c>
      <c r="E2641">
        <v>0</v>
      </c>
      <c r="F2641" t="s">
        <v>10</v>
      </c>
      <c r="G2641" t="str" cm="1">
        <f t="array" ref="G2641">FindCountryName(F2641)</f>
        <v>None</v>
      </c>
      <c r="H2641" s="3">
        <v>45154.036481481482</v>
      </c>
      <c r="I2641" s="3">
        <v>45154.036481481482</v>
      </c>
      <c r="J2641" s="3">
        <v>40864.71020833333</v>
      </c>
      <c r="K2641" cm="1">
        <f t="array" ref="K2641">sentimentCalc(C2641)</f>
        <v>-2</v>
      </c>
      <c r="L2641" t="str" cm="1">
        <f t="array" ref="L2641">sentimentCategory(K2641)</f>
        <v>Negative</v>
      </c>
    </row>
    <row r="2642" spans="1:12" x14ac:dyDescent="0.25">
      <c r="A2642" t="s">
        <v>197</v>
      </c>
      <c r="B2642" t="s">
        <v>1897</v>
      </c>
      <c r="C2642" t="str" cm="1">
        <f t="array" ref="C2642">CleanText(B2642)</f>
        <v>so stupid i have to do a analysis u hate thius moviee</v>
      </c>
      <c r="D2642">
        <v>0</v>
      </c>
      <c r="E2642">
        <v>0</v>
      </c>
      <c r="F2642" t="s">
        <v>10</v>
      </c>
      <c r="G2642" t="str" cm="1">
        <f t="array" ref="G2642">FindCountryName(F2642)</f>
        <v>None</v>
      </c>
      <c r="H2642" s="3">
        <v>45188.565208333333</v>
      </c>
      <c r="I2642" s="3">
        <v>45188.565208333333</v>
      </c>
      <c r="J2642" s="3">
        <v>43416.3203587963</v>
      </c>
      <c r="K2642" cm="1">
        <f t="array" ref="K2642">sentimentCalc(C2642)</f>
        <v>-5</v>
      </c>
      <c r="L2642" t="str" cm="1">
        <f t="array" ref="L2642">sentimentCategory(K2642)</f>
        <v>Negative</v>
      </c>
    </row>
    <row r="2643" spans="1:12" x14ac:dyDescent="0.25">
      <c r="A2643" t="s">
        <v>3462</v>
      </c>
      <c r="B2643" t="s">
        <v>3463</v>
      </c>
      <c r="C2643" t="str" cm="1">
        <f t="array" ref="C2643">CleanText(B2643)</f>
        <v>so the actor who plays barbie isnt even really blond typical hollyweird she has dark roots but shes blond no she aint blond</v>
      </c>
      <c r="D2643">
        <v>0</v>
      </c>
      <c r="E2643">
        <v>0</v>
      </c>
      <c r="F2643" t="s">
        <v>10</v>
      </c>
      <c r="G2643" t="str" cm="1">
        <f t="array" ref="G2643">FindCountryName(F2643)</f>
        <v>None</v>
      </c>
      <c r="H2643" s="3">
        <v>45148.619097222225</v>
      </c>
      <c r="I2643" s="3">
        <v>45148.619097222225</v>
      </c>
      <c r="J2643" s="3">
        <v>44848.144618055558</v>
      </c>
      <c r="K2643" cm="1">
        <f t="array" ref="K2643">sentimentCalc(C2643)</f>
        <v>-1</v>
      </c>
      <c r="L2643" t="str" cm="1">
        <f t="array" ref="L2643">sentimentCategory(K2643)</f>
        <v>Negative</v>
      </c>
    </row>
    <row r="2644" spans="1:12" x14ac:dyDescent="0.25">
      <c r="A2644" t="s">
        <v>2200</v>
      </c>
      <c r="B2644" t="s">
        <v>3760</v>
      </c>
      <c r="C2644" t="str" cm="1">
        <f t="array" ref="C2644">CleanText(B2644)</f>
        <v>so this is a comedy i guess bits could be funny like ken wanting to do surgery lol but i just dont get the gist of the movie</v>
      </c>
      <c r="D2644">
        <v>0</v>
      </c>
      <c r="E2644">
        <v>0</v>
      </c>
      <c r="F2644" t="s">
        <v>10</v>
      </c>
      <c r="G2644" t="str" cm="1">
        <f t="array" ref="G2644">FindCountryName(F2644)</f>
        <v>None</v>
      </c>
      <c r="H2644" s="3">
        <v>45145.689421296294</v>
      </c>
      <c r="I2644" s="3">
        <v>45145.689421296294</v>
      </c>
      <c r="J2644" s="3">
        <v>39198.31318287037</v>
      </c>
      <c r="K2644" cm="1">
        <f t="array" ref="K2644">sentimentCalc(C2644)</f>
        <v>7</v>
      </c>
      <c r="L2644" t="str" cm="1">
        <f t="array" ref="L2644">sentimentCategory(K2644)</f>
        <v>Positive</v>
      </c>
    </row>
    <row r="2645" spans="1:12" x14ac:dyDescent="0.25">
      <c r="A2645" t="s">
        <v>1835</v>
      </c>
      <c r="B2645" t="s">
        <v>2460</v>
      </c>
      <c r="C2645" t="str" cm="1">
        <f t="array" ref="C2645">CleanText(B2645)</f>
        <v>so this lgbtq people doesnt have any problem with this movie</v>
      </c>
      <c r="D2645">
        <v>0</v>
      </c>
      <c r="E2645">
        <v>1</v>
      </c>
      <c r="F2645" t="s">
        <v>10</v>
      </c>
      <c r="G2645" t="str" cm="1">
        <f t="array" ref="G2645">FindCountryName(F2645)</f>
        <v>None</v>
      </c>
      <c r="H2645" s="3">
        <v>45166.434039351851</v>
      </c>
      <c r="I2645" s="3">
        <v>45166.434039351851</v>
      </c>
      <c r="J2645" s="3">
        <v>42142.519641203704</v>
      </c>
      <c r="K2645" cm="1">
        <f t="array" ref="K2645">sentimentCalc(C2645)</f>
        <v>-2</v>
      </c>
      <c r="L2645" t="str" cm="1">
        <f t="array" ref="L2645">sentimentCategory(K2645)</f>
        <v>Negative</v>
      </c>
    </row>
    <row r="2646" spans="1:12" x14ac:dyDescent="0.25">
      <c r="A2646" t="s">
        <v>3655</v>
      </c>
      <c r="B2646" t="s">
        <v>3656</v>
      </c>
      <c r="C2646" t="str" cm="1">
        <f t="array" ref="C2646">CleanText(B2646)</f>
        <v>so a lot more americans preferred this to oppenheimer</v>
      </c>
      <c r="D2646">
        <v>1</v>
      </c>
      <c r="E2646">
        <v>1</v>
      </c>
      <c r="F2646" t="s">
        <v>10</v>
      </c>
      <c r="G2646" t="str" cm="1">
        <f t="array" ref="G2646">FindCountryName(F2646)</f>
        <v>None</v>
      </c>
      <c r="H2646" s="3">
        <v>45146.702361111114</v>
      </c>
      <c r="I2646" s="3">
        <v>45146.702361111114</v>
      </c>
      <c r="J2646" s="3">
        <v>42791.615706018521</v>
      </c>
      <c r="K2646" cm="1">
        <f t="array" ref="K2646">sentimentCalc(C2646)</f>
        <v>0</v>
      </c>
      <c r="L2646" t="str" cm="1">
        <f t="array" ref="L2646">sentimentCategory(K2646)</f>
        <v>Neutral</v>
      </c>
    </row>
    <row r="2647" spans="1:12" x14ac:dyDescent="0.25">
      <c r="A2647" t="s">
        <v>707</v>
      </c>
      <c r="B2647" t="s">
        <v>709</v>
      </c>
      <c r="C2647" t="str" cm="1">
        <f t="array" ref="C2647">CleanText(B2647)</f>
        <v>some things have been happening that might be related</v>
      </c>
      <c r="D2647">
        <v>0</v>
      </c>
      <c r="E2647">
        <v>0</v>
      </c>
      <c r="F2647" t="s">
        <v>10</v>
      </c>
      <c r="G2647" t="str" cm="1">
        <f t="array" ref="G2647">FindCountryName(F2647)</f>
        <v>None</v>
      </c>
      <c r="H2647" s="3">
        <v>45312.202569444446</v>
      </c>
      <c r="I2647" s="3">
        <v>45312.202569444446</v>
      </c>
      <c r="J2647" s="3">
        <v>44294.050891203704</v>
      </c>
      <c r="K2647" cm="1">
        <f t="array" ref="K2647">sentimentCalc(C2647)</f>
        <v>0</v>
      </c>
      <c r="L2647" t="str" cm="1">
        <f t="array" ref="L2647">sentimentCategory(K2647)</f>
        <v>Neutral</v>
      </c>
    </row>
    <row r="2648" spans="1:12" x14ac:dyDescent="0.25">
      <c r="A2648" t="s">
        <v>1281</v>
      </c>
      <c r="B2648" t="s">
        <v>1282</v>
      </c>
      <c r="C2648" t="str" cm="1">
        <f t="array" ref="C2648">CleanText(B2648)</f>
        <v>some things you cant unsee why ive just watched this  this is the end of internet</v>
      </c>
      <c r="D2648">
        <v>1</v>
      </c>
      <c r="E2648">
        <v>1</v>
      </c>
      <c r="F2648" t="s">
        <v>10</v>
      </c>
      <c r="G2648" t="str" cm="1">
        <f t="array" ref="G2648">FindCountryName(F2648)</f>
        <v>None</v>
      </c>
      <c r="H2648" s="3">
        <v>45258.200925925928</v>
      </c>
      <c r="I2648" s="3">
        <v>45258.200925925928</v>
      </c>
      <c r="J2648" s="3">
        <v>41931.051145833335</v>
      </c>
      <c r="K2648" cm="1">
        <f t="array" ref="K2648">sentimentCalc(C2648)</f>
        <v>0</v>
      </c>
      <c r="L2648" t="str" cm="1">
        <f t="array" ref="L2648">sentimentCategory(K2648)</f>
        <v>Neutral</v>
      </c>
    </row>
    <row r="2649" spans="1:12" x14ac:dyDescent="0.25">
      <c r="A2649" t="s">
        <v>1267</v>
      </c>
      <c r="B2649" t="s">
        <v>3489</v>
      </c>
      <c r="C2649" t="str" cm="1">
        <f t="array" ref="C2649">CleanText(B2649)</f>
        <v>someone know good movie about klaus barbie i went on this one without looking at trailers and got disappointed</v>
      </c>
      <c r="D2649">
        <v>0</v>
      </c>
      <c r="E2649">
        <v>0</v>
      </c>
      <c r="F2649" t="s">
        <v>10</v>
      </c>
      <c r="G2649" t="str" cm="1">
        <f t="array" ref="G2649">FindCountryName(F2649)</f>
        <v>None</v>
      </c>
      <c r="H2649" s="3">
        <v>45148.31177083333</v>
      </c>
      <c r="I2649" s="3">
        <v>45148.31177083333</v>
      </c>
      <c r="J2649" s="3">
        <v>44334.739259259259</v>
      </c>
      <c r="K2649" cm="1">
        <f t="array" ref="K2649">sentimentCalc(C2649)</f>
        <v>1</v>
      </c>
      <c r="L2649" t="str" cm="1">
        <f t="array" ref="L2649">sentimentCategory(K2649)</f>
        <v>Positive</v>
      </c>
    </row>
    <row r="2650" spans="1:12" x14ac:dyDescent="0.25">
      <c r="A2650" t="s">
        <v>671</v>
      </c>
      <c r="B2650" t="s">
        <v>672</v>
      </c>
      <c r="C2650" t="str" cm="1">
        <f t="array" ref="C2650">CleanText(B2650)</f>
        <v>soo amazing</v>
      </c>
      <c r="D2650">
        <v>0</v>
      </c>
      <c r="E2650">
        <v>0</v>
      </c>
      <c r="F2650" t="s">
        <v>10</v>
      </c>
      <c r="G2650" t="str" cm="1">
        <f t="array" ref="G2650">FindCountryName(F2650)</f>
        <v>None</v>
      </c>
      <c r="H2650" s="3">
        <v>45314.272766203707</v>
      </c>
      <c r="I2650" s="3">
        <v>45314.272766203707</v>
      </c>
      <c r="J2650" s="3">
        <v>40629.714120370372</v>
      </c>
      <c r="K2650" cm="1">
        <f t="array" ref="K2650">sentimentCalc(C2650)</f>
        <v>4</v>
      </c>
      <c r="L2650" t="str" cm="1">
        <f t="array" ref="L2650">sentimentCategory(K2650)</f>
        <v>Positive</v>
      </c>
    </row>
    <row r="2651" spans="1:12" x14ac:dyDescent="0.25">
      <c r="A2651" t="s">
        <v>197</v>
      </c>
      <c r="B2651" t="s">
        <v>4153</v>
      </c>
      <c r="C2651" t="str" cm="1">
        <f t="array" ref="C2651">CleanText(B2651)</f>
        <v>soo stupid movie</v>
      </c>
      <c r="D2651">
        <v>6</v>
      </c>
      <c r="E2651">
        <v>0</v>
      </c>
      <c r="F2651" t="s">
        <v>10</v>
      </c>
      <c r="G2651" t="str" cm="1">
        <f t="array" ref="G2651">FindCountryName(F2651)</f>
        <v>None</v>
      </c>
      <c r="H2651" s="3">
        <v>45142.499918981484</v>
      </c>
      <c r="I2651" s="3">
        <v>45142.499918981484</v>
      </c>
      <c r="J2651" s="3">
        <v>44773.311886574076</v>
      </c>
      <c r="K2651" cm="1">
        <f t="array" ref="K2651">sentimentCalc(C2651)</f>
        <v>-2</v>
      </c>
      <c r="L2651" t="str" cm="1">
        <f t="array" ref="L2651">sentimentCategory(K2651)</f>
        <v>Negative</v>
      </c>
    </row>
    <row r="2652" spans="1:12" x14ac:dyDescent="0.25">
      <c r="A2652" t="s">
        <v>1922</v>
      </c>
      <c r="B2652" t="s">
        <v>1923</v>
      </c>
      <c r="C2652" t="str" cm="1">
        <f t="array" ref="C2652">CleanText(B2652)</f>
        <v>sorry but i dont know how people can go to the cinema pay and watch this c out of all the brilliant films i have seen i feel for kids</v>
      </c>
      <c r="D2652">
        <v>1</v>
      </c>
      <c r="E2652">
        <v>1</v>
      </c>
      <c r="F2652" t="s">
        <v>10</v>
      </c>
      <c r="G2652" t="str" cm="1">
        <f t="array" ref="G2652">FindCountryName(F2652)</f>
        <v>None</v>
      </c>
      <c r="H2652" s="3">
        <v>45187.604062500002</v>
      </c>
      <c r="I2652" s="3">
        <v>45187.604803240742</v>
      </c>
      <c r="J2652" s="3">
        <v>40841.755555555559</v>
      </c>
      <c r="K2652" cm="1">
        <f t="array" ref="K2652">sentimentCalc(C2652)</f>
        <v>2</v>
      </c>
      <c r="L2652" t="str" cm="1">
        <f t="array" ref="L2652">sentimentCategory(K2652)</f>
        <v>Positive</v>
      </c>
    </row>
    <row r="2653" spans="1:12" x14ac:dyDescent="0.25">
      <c r="A2653" t="s">
        <v>36</v>
      </c>
      <c r="B2653" t="s">
        <v>4035</v>
      </c>
      <c r="C2653" t="str" cm="1">
        <f t="array" ref="C2653">CleanText(B2653)</f>
        <v>sorry i really dont like barbie</v>
      </c>
      <c r="D2653">
        <v>2</v>
      </c>
      <c r="E2653">
        <v>1</v>
      </c>
      <c r="F2653" t="s">
        <v>147</v>
      </c>
      <c r="G2653" t="str" cm="1">
        <f t="array" ref="G2653">FindCountryName(F2653)</f>
        <v>France</v>
      </c>
      <c r="H2653" s="3">
        <v>45143.498067129629</v>
      </c>
      <c r="I2653" s="3">
        <v>45143.498067129629</v>
      </c>
      <c r="J2653" s="3">
        <v>44510.29928240741</v>
      </c>
      <c r="K2653" cm="1">
        <f t="array" ref="K2653">sentimentCalc(C2653)</f>
        <v>1</v>
      </c>
      <c r="L2653" t="str" cm="1">
        <f t="array" ref="L2653">sentimentCategory(K2653)</f>
        <v>Positive</v>
      </c>
    </row>
    <row r="2654" spans="1:12" x14ac:dyDescent="0.25">
      <c r="A2654" t="s">
        <v>1008</v>
      </c>
      <c r="B2654" t="s">
        <v>2650</v>
      </c>
      <c r="C2654" t="str" cm="1">
        <f t="array" ref="C2654">CleanText(B2654)</f>
        <v>sorry they look nothing like barbie</v>
      </c>
      <c r="D2654">
        <v>0</v>
      </c>
      <c r="E2654">
        <v>0</v>
      </c>
      <c r="F2654" t="s">
        <v>10</v>
      </c>
      <c r="G2654" t="str" cm="1">
        <f t="array" ref="G2654">FindCountryName(F2654)</f>
        <v>None</v>
      </c>
      <c r="H2654" s="3">
        <v>45160.752928240741</v>
      </c>
      <c r="I2654" s="3">
        <v>45160.752928240741</v>
      </c>
      <c r="J2654" s="3">
        <v>41547.594085648147</v>
      </c>
      <c r="K2654" cm="1">
        <f t="array" ref="K2654">sentimentCalc(C2654)</f>
        <v>1</v>
      </c>
      <c r="L2654" t="str" cm="1">
        <f t="array" ref="L2654">sentimentCategory(K2654)</f>
        <v>Positive</v>
      </c>
    </row>
    <row r="2655" spans="1:12" x14ac:dyDescent="0.25">
      <c r="A2655" t="s">
        <v>1100</v>
      </c>
      <c r="B2655" t="s">
        <v>1933</v>
      </c>
      <c r="C2655" t="str" cm="1">
        <f t="array" ref="C2655">CleanText(B2655)</f>
        <v>sorry but this was one of dumbest most useless movies i have ever seen definitely would not recommend it for anyone to sit through two hours  of garbage i just didnt get it</v>
      </c>
      <c r="D2655">
        <v>1</v>
      </c>
      <c r="E2655">
        <v>5</v>
      </c>
      <c r="F2655" t="s">
        <v>10</v>
      </c>
      <c r="G2655" t="str" cm="1">
        <f t="array" ref="G2655">FindCountryName(F2655)</f>
        <v>None</v>
      </c>
      <c r="H2655" s="3">
        <v>45187.469606481478</v>
      </c>
      <c r="I2655" s="3">
        <v>45187.469606481478</v>
      </c>
      <c r="J2655" s="3">
        <v>40843.529513888891</v>
      </c>
      <c r="K2655" cm="1">
        <f t="array" ref="K2655">sentimentCalc(C2655)</f>
        <v>-1</v>
      </c>
      <c r="L2655" t="str" cm="1">
        <f t="array" ref="L2655">sentimentCategory(K2655)</f>
        <v>Negative</v>
      </c>
    </row>
    <row r="2656" spans="1:12" x14ac:dyDescent="0.25">
      <c r="A2656" t="s">
        <v>3424</v>
      </c>
      <c r="B2656" t="s">
        <v>3425</v>
      </c>
      <c r="C2656" t="str" cm="1">
        <f t="array" ref="C2656">CleanText(B2656)</f>
        <v>sound of freedom</v>
      </c>
      <c r="D2656">
        <v>0</v>
      </c>
      <c r="E2656">
        <v>0</v>
      </c>
      <c r="F2656" t="s">
        <v>10</v>
      </c>
      <c r="G2656" t="str" cm="1">
        <f t="array" ref="G2656">FindCountryName(F2656)</f>
        <v>None</v>
      </c>
      <c r="H2656" s="3">
        <v>45149.068703703706</v>
      </c>
      <c r="I2656" s="3">
        <v>45149.068703703706</v>
      </c>
      <c r="J2656" s="3">
        <v>40813.971932870372</v>
      </c>
      <c r="K2656" cm="1">
        <f t="array" ref="K2656">sentimentCalc(C2656)</f>
        <v>2</v>
      </c>
      <c r="L2656" t="str" cm="1">
        <f t="array" ref="L2656">sentimentCategory(K2656)</f>
        <v>Positive</v>
      </c>
    </row>
    <row r="2657" spans="1:12" x14ac:dyDescent="0.25">
      <c r="A2657" t="s">
        <v>838</v>
      </c>
      <c r="B2657" t="s">
        <v>839</v>
      </c>
      <c r="C2657" t="str" cm="1">
        <f t="array" ref="C2657">CleanText(B2657)</f>
        <v>spoiler when ken came to barbieland and remade it in his patriarchal image notice how the men and women for the first time were happy laughing and all getting along great then barbie comes back and sees the world no longer revolves around her shes the only one that doesnt like this new version of barbieland her narcissism and vanity wont allow this happy coexistence where she isnt the sole center of attention so she does a divide and conquer scheme to get everybody bitter and fighting in other words barbie was evil a fallen angel hellbent on inflicting her misery on the world if i cant be happy nobody can its like feminism accidentally told the truth about itself and nobody noticed</v>
      </c>
      <c r="D2657">
        <v>0</v>
      </c>
      <c r="E2657">
        <v>1</v>
      </c>
      <c r="F2657" t="s">
        <v>10</v>
      </c>
      <c r="G2657" t="str" cm="1">
        <f t="array" ref="G2657">FindCountryName(F2657)</f>
        <v>None</v>
      </c>
      <c r="H2657" s="3">
        <v>45301.977627314816</v>
      </c>
      <c r="I2657" s="3">
        <v>45301.977627314816</v>
      </c>
      <c r="J2657" s="3">
        <v>41600.061099537037</v>
      </c>
      <c r="K2657" cm="1">
        <f t="array" ref="K2657">sentimentCalc(C2657)</f>
        <v>6</v>
      </c>
      <c r="L2657" t="str" cm="1">
        <f t="array" ref="L2657">sentimentCategory(K2657)</f>
        <v>Positive</v>
      </c>
    </row>
    <row r="2658" spans="1:12" x14ac:dyDescent="0.25">
      <c r="A2658" t="s">
        <v>1977</v>
      </c>
      <c r="B2658" t="s">
        <v>1978</v>
      </c>
      <c r="C2658" t="str" cm="1">
        <f t="array" ref="C2658">CleanText(B2658)</f>
        <v>still rewatching this trailer because barbie was legit my favorite movie this year</v>
      </c>
      <c r="D2658">
        <v>15</v>
      </c>
      <c r="E2658">
        <v>2</v>
      </c>
      <c r="F2658" t="s">
        <v>10</v>
      </c>
      <c r="G2658" t="str" cm="1">
        <f t="array" ref="G2658">FindCountryName(F2658)</f>
        <v>None</v>
      </c>
      <c r="H2658" s="3">
        <v>45185.544456018521</v>
      </c>
      <c r="I2658" s="3">
        <v>45185.544456018521</v>
      </c>
      <c r="J2658" s="3">
        <v>45141.792928240742</v>
      </c>
      <c r="K2658" cm="1">
        <f t="array" ref="K2658">sentimentCalc(C2658)</f>
        <v>2</v>
      </c>
      <c r="L2658" t="str" cm="1">
        <f t="array" ref="L2658">sentimentCategory(K2658)</f>
        <v>Positive</v>
      </c>
    </row>
    <row r="2659" spans="1:12" x14ac:dyDescent="0.25">
      <c r="A2659" t="s">
        <v>817</v>
      </c>
      <c r="B2659" t="s">
        <v>2176</v>
      </c>
      <c r="C2659" t="str" cm="1">
        <f t="array" ref="C2659">CleanText(B2659)</f>
        <v>still rewatching this trailer because barbie was legit my favorite movie this year it was the perfect amount of fun that you dont see in a lot of movies anymore</v>
      </c>
      <c r="D2659">
        <v>38</v>
      </c>
      <c r="E2659">
        <v>1</v>
      </c>
      <c r="F2659" t="s">
        <v>10</v>
      </c>
      <c r="G2659" t="str" cm="1">
        <f t="array" ref="G2659">FindCountryName(F2659)</f>
        <v>None</v>
      </c>
      <c r="H2659" s="3">
        <v>45176.995034722226</v>
      </c>
      <c r="I2659" s="3">
        <v>45176.995034722226</v>
      </c>
      <c r="J2659" s="3">
        <v>43855.843599537038</v>
      </c>
      <c r="K2659" cm="1">
        <f t="array" ref="K2659">sentimentCalc(C2659)</f>
        <v>9</v>
      </c>
      <c r="L2659" t="str" cm="1">
        <f t="array" ref="L2659">sentimentCategory(K2659)</f>
        <v>Positive</v>
      </c>
    </row>
    <row r="2660" spans="1:12" x14ac:dyDescent="0.25">
      <c r="A2660" t="s">
        <v>186</v>
      </c>
      <c r="B2660" t="s">
        <v>194</v>
      </c>
      <c r="C2660" t="str" cm="1">
        <f t="array" ref="C2660">CleanText(B2660)</f>
        <v>stop asking whos still watchingwe never stop watching to this masterpiece</v>
      </c>
      <c r="D2660">
        <v>15</v>
      </c>
      <c r="E2660">
        <v>0</v>
      </c>
      <c r="F2660" t="s">
        <v>10</v>
      </c>
      <c r="G2660" t="str" cm="1">
        <f t="array" ref="G2660">FindCountryName(F2660)</f>
        <v>None</v>
      </c>
      <c r="H2660" s="3">
        <v>45334.74046296296</v>
      </c>
      <c r="I2660" s="3">
        <v>45334.74046296296</v>
      </c>
      <c r="J2660" s="3">
        <v>41548.737071759257</v>
      </c>
      <c r="K2660" cm="1">
        <f t="array" ref="K2660">sentimentCalc(C2660)</f>
        <v>2</v>
      </c>
      <c r="L2660" t="str" cm="1">
        <f t="array" ref="L2660">sentimentCategory(K2660)</f>
        <v>Positive</v>
      </c>
    </row>
    <row r="2661" spans="1:12" x14ac:dyDescent="0.25">
      <c r="A2661" t="s">
        <v>103</v>
      </c>
      <c r="B2661" t="s">
        <v>3900</v>
      </c>
      <c r="C2661" t="str" cm="1">
        <f t="array" ref="C2661">CleanText(B2661)</f>
        <v>storyline of barbie is so amazing looking forward with this movies</v>
      </c>
      <c r="D2661">
        <v>1</v>
      </c>
      <c r="E2661">
        <v>0</v>
      </c>
      <c r="F2661" t="s">
        <v>10</v>
      </c>
      <c r="G2661" t="str" cm="1">
        <f t="array" ref="G2661">FindCountryName(F2661)</f>
        <v>None</v>
      </c>
      <c r="H2661" s="3">
        <v>45144.613842592589</v>
      </c>
      <c r="I2661" s="3">
        <v>45144.613842592589</v>
      </c>
      <c r="J2661" s="3">
        <v>43168.346967592595</v>
      </c>
      <c r="K2661" cm="1">
        <f t="array" ref="K2661">sentimentCalc(C2661)</f>
        <v>4</v>
      </c>
      <c r="L2661" t="str" cm="1">
        <f t="array" ref="L2661">sentimentCategory(K2661)</f>
        <v>Positive</v>
      </c>
    </row>
    <row r="2662" spans="1:12" x14ac:dyDescent="0.25">
      <c r="A2662" t="s">
        <v>534</v>
      </c>
      <c r="B2662" t="s">
        <v>2693</v>
      </c>
      <c r="C2662" t="str" cm="1">
        <f t="array" ref="C2662">CleanText(B2662)</f>
        <v>stupid</v>
      </c>
      <c r="D2662">
        <v>0</v>
      </c>
      <c r="E2662">
        <v>0</v>
      </c>
      <c r="F2662" t="s">
        <v>10</v>
      </c>
      <c r="G2662" t="str" cm="1">
        <f t="array" ref="G2662">FindCountryName(F2662)</f>
        <v>None</v>
      </c>
      <c r="H2662" s="3">
        <v>45159.869409722225</v>
      </c>
      <c r="I2662" s="3">
        <v>45159.869398148148</v>
      </c>
      <c r="J2662" s="3">
        <v>43049.411874999998</v>
      </c>
      <c r="K2662" cm="1">
        <f t="array" ref="K2662">sentimentCalc(C2662)</f>
        <v>-2</v>
      </c>
      <c r="L2662" t="str" cm="1">
        <f t="array" ref="L2662">sentimentCategory(K2662)</f>
        <v>Negative</v>
      </c>
    </row>
    <row r="2663" spans="1:12" x14ac:dyDescent="0.25">
      <c r="A2663" t="s">
        <v>3812</v>
      </c>
      <c r="B2663" t="s">
        <v>3813</v>
      </c>
      <c r="C2663" t="str" cm="1">
        <f t="array" ref="C2663">CleanText(B2663)</f>
        <v>stupid director and stupid people who watch this movie</v>
      </c>
      <c r="D2663">
        <v>0</v>
      </c>
      <c r="E2663">
        <v>0</v>
      </c>
      <c r="F2663" t="s">
        <v>10</v>
      </c>
      <c r="G2663" t="str" cm="1">
        <f t="array" ref="G2663">FindCountryName(F2663)</f>
        <v>None</v>
      </c>
      <c r="H2663" s="3">
        <v>45145.30840277778</v>
      </c>
      <c r="I2663" s="3">
        <v>45145.30840277778</v>
      </c>
      <c r="J2663" s="3">
        <v>44384.953726851854</v>
      </c>
      <c r="K2663" cm="1">
        <f t="array" ref="K2663">sentimentCalc(C2663)</f>
        <v>-4</v>
      </c>
      <c r="L2663" t="str" cm="1">
        <f t="array" ref="L2663">sentimentCategory(K2663)</f>
        <v>Negative</v>
      </c>
    </row>
    <row r="2664" spans="1:12" x14ac:dyDescent="0.25">
      <c r="A2664" t="s">
        <v>122</v>
      </c>
      <c r="B2664" t="s">
        <v>3322</v>
      </c>
      <c r="C2664" t="str" cm="1">
        <f t="array" ref="C2664">CleanText(B2664)</f>
        <v>stupid feminist movie i better watch the godfather for the th time rather than watching this stupidity</v>
      </c>
      <c r="D2664">
        <v>5</v>
      </c>
      <c r="E2664">
        <v>0</v>
      </c>
      <c r="F2664" t="s">
        <v>10</v>
      </c>
      <c r="G2664" t="str" cm="1">
        <f t="array" ref="G2664">FindCountryName(F2664)</f>
        <v>None</v>
      </c>
      <c r="H2664" s="3">
        <v>45150.354050925926</v>
      </c>
      <c r="I2664" s="3">
        <v>45150.354050925926</v>
      </c>
      <c r="J2664" s="3">
        <v>43108.70103009259</v>
      </c>
      <c r="K2664" cm="1">
        <f t="array" ref="K2664">sentimentCalc(C2664)</f>
        <v>0</v>
      </c>
      <c r="L2664" t="str" cm="1">
        <f t="array" ref="L2664">sentimentCategory(K2664)</f>
        <v>Neutral</v>
      </c>
    </row>
    <row r="2665" spans="1:12" x14ac:dyDescent="0.25">
      <c r="A2665" t="s">
        <v>1602</v>
      </c>
      <c r="B2665" t="s">
        <v>3546</v>
      </c>
      <c r="C2665" t="str" cm="1">
        <f t="array" ref="C2665">CleanText(B2665)</f>
        <v>stupid movie</v>
      </c>
      <c r="D2665">
        <v>2</v>
      </c>
      <c r="E2665">
        <v>0</v>
      </c>
      <c r="F2665" t="s">
        <v>10</v>
      </c>
      <c r="G2665" t="str" cm="1">
        <f t="array" ref="G2665">FindCountryName(F2665)</f>
        <v>None</v>
      </c>
      <c r="H2665" s="3">
        <v>45147.61109953704</v>
      </c>
      <c r="I2665" s="3">
        <v>45147.61109953704</v>
      </c>
      <c r="J2665" s="3">
        <v>43549.718773148146</v>
      </c>
      <c r="K2665" cm="1">
        <f t="array" ref="K2665">sentimentCalc(C2665)</f>
        <v>-2</v>
      </c>
      <c r="L2665" t="str" cm="1">
        <f t="array" ref="L2665">sentimentCategory(K2665)</f>
        <v>Negative</v>
      </c>
    </row>
    <row r="2666" spans="1:12" x14ac:dyDescent="0.25">
      <c r="A2666" t="s">
        <v>549</v>
      </c>
      <c r="B2666" t="s">
        <v>3525</v>
      </c>
      <c r="C2666" t="str" cm="1">
        <f t="array" ref="C2666">CleanText(B2666)</f>
        <v>stupid movie ever waste my money and time</v>
      </c>
      <c r="D2666">
        <v>4</v>
      </c>
      <c r="E2666">
        <v>0</v>
      </c>
      <c r="F2666" t="s">
        <v>10</v>
      </c>
      <c r="G2666" t="str" cm="1">
        <f t="array" ref="G2666">FindCountryName(F2666)</f>
        <v>None</v>
      </c>
      <c r="H2666" s="3">
        <v>45147.821979166663</v>
      </c>
      <c r="I2666" s="3">
        <v>45147.821979166663</v>
      </c>
      <c r="J2666" s="3">
        <v>40695.328333333331</v>
      </c>
      <c r="K2666" cm="1">
        <f t="array" ref="K2666">sentimentCalc(C2666)</f>
        <v>-3</v>
      </c>
      <c r="L2666" t="str" cm="1">
        <f t="array" ref="L2666">sentimentCategory(K2666)</f>
        <v>Negative</v>
      </c>
    </row>
    <row r="2667" spans="1:12" x14ac:dyDescent="0.25">
      <c r="A2667" t="s">
        <v>58</v>
      </c>
      <c r="B2667" t="s">
        <v>2999</v>
      </c>
      <c r="C2667" t="str" cm="1">
        <f t="array" ref="C2667">CleanText(B2667)</f>
        <v>stupid movie its not barbie anymore</v>
      </c>
      <c r="D2667">
        <v>2</v>
      </c>
      <c r="E2667">
        <v>2</v>
      </c>
      <c r="F2667" t="s">
        <v>10</v>
      </c>
      <c r="G2667" t="str" cm="1">
        <f t="array" ref="G2667">FindCountryName(F2667)</f>
        <v>None</v>
      </c>
      <c r="H2667" s="3">
        <v>45154.639780092592</v>
      </c>
      <c r="I2667" s="3">
        <v>45154.639780092592</v>
      </c>
      <c r="J2667" s="3">
        <v>39711.496458333335</v>
      </c>
      <c r="K2667" cm="1">
        <f t="array" ref="K2667">sentimentCalc(C2667)</f>
        <v>-2</v>
      </c>
      <c r="L2667" t="str" cm="1">
        <f t="array" ref="L2667">sentimentCategory(K2667)</f>
        <v>Negative</v>
      </c>
    </row>
    <row r="2668" spans="1:12" x14ac:dyDescent="0.25">
      <c r="A2668" t="s">
        <v>60</v>
      </c>
      <c r="B2668" t="s">
        <v>3450</v>
      </c>
      <c r="C2668" t="str" cm="1">
        <f t="array" ref="C2668">CleanText(B2668)</f>
        <v>stupid movie</v>
      </c>
      <c r="D2668">
        <v>3</v>
      </c>
      <c r="E2668">
        <v>0</v>
      </c>
      <c r="F2668" t="s">
        <v>10</v>
      </c>
      <c r="G2668" t="str" cm="1">
        <f t="array" ref="G2668">FindCountryName(F2668)</f>
        <v>None</v>
      </c>
      <c r="H2668" s="3">
        <v>45148.715405092589</v>
      </c>
      <c r="I2668" s="3">
        <v>45148.715405092589</v>
      </c>
      <c r="J2668" s="3">
        <v>44565.306319444448</v>
      </c>
      <c r="K2668" cm="1">
        <f t="array" ref="K2668">sentimentCalc(C2668)</f>
        <v>-2</v>
      </c>
      <c r="L2668" t="str" cm="1">
        <f t="array" ref="L2668">sentimentCategory(K2668)</f>
        <v>Negative</v>
      </c>
    </row>
    <row r="2669" spans="1:12" x14ac:dyDescent="0.25">
      <c r="A2669" t="s">
        <v>481</v>
      </c>
      <c r="B2669" t="s">
        <v>482</v>
      </c>
      <c r="C2669" t="str" cm="1">
        <f t="array" ref="C2669">CleanText(B2669)</f>
        <v>stupid stupid men in movie are made to look like idiot what all the excitement over idiotic story</v>
      </c>
      <c r="D2669">
        <v>1</v>
      </c>
      <c r="E2669">
        <v>1</v>
      </c>
      <c r="F2669" t="s">
        <v>10</v>
      </c>
      <c r="G2669" t="str" cm="1">
        <f t="array" ref="G2669">FindCountryName(F2669)</f>
        <v>None</v>
      </c>
      <c r="H2669" s="3">
        <v>45320.10628472222</v>
      </c>
      <c r="I2669" s="3">
        <v>45320.10628472222</v>
      </c>
      <c r="J2669" s="3">
        <v>43624.973344907405</v>
      </c>
      <c r="K2669" cm="1">
        <f t="array" ref="K2669">sentimentCalc(C2669)</f>
        <v>-5</v>
      </c>
      <c r="L2669" t="str" cm="1">
        <f t="array" ref="L2669">sentimentCategory(K2669)</f>
        <v>Negative</v>
      </c>
    </row>
    <row r="2670" spans="1:12" x14ac:dyDescent="0.25">
      <c r="A2670" t="s">
        <v>235</v>
      </c>
      <c r="B2670" t="s">
        <v>2427</v>
      </c>
      <c r="C2670" t="str" cm="1">
        <f t="array" ref="C2670">CleanText(B2670)</f>
        <v>stupid</v>
      </c>
      <c r="D2670">
        <v>0</v>
      </c>
      <c r="E2670">
        <v>0</v>
      </c>
      <c r="F2670" t="s">
        <v>10</v>
      </c>
      <c r="G2670" t="str" cm="1">
        <f t="array" ref="G2670">FindCountryName(F2670)</f>
        <v>None</v>
      </c>
      <c r="H2670" s="3">
        <v>45167.733472222222</v>
      </c>
      <c r="I2670" s="3">
        <v>45167.733472222222</v>
      </c>
      <c r="J2670" s="3">
        <v>43970.060057870367</v>
      </c>
      <c r="K2670" cm="1">
        <f t="array" ref="K2670">sentimentCalc(C2670)</f>
        <v>-2</v>
      </c>
      <c r="L2670" t="str" cm="1">
        <f t="array" ref="L2670">sentimentCategory(K2670)</f>
        <v>Negative</v>
      </c>
    </row>
    <row r="2671" spans="1:12" x14ac:dyDescent="0.25">
      <c r="A2671" t="s">
        <v>4075</v>
      </c>
      <c r="B2671" t="s">
        <v>4076</v>
      </c>
      <c r="C2671" t="str" cm="1">
        <f t="array" ref="C2671">CleanText(B2671)</f>
        <v>stupidest movie ever</v>
      </c>
      <c r="D2671">
        <v>7</v>
      </c>
      <c r="E2671">
        <v>0</v>
      </c>
      <c r="F2671" t="s">
        <v>10</v>
      </c>
      <c r="G2671" t="str" cm="1">
        <f t="array" ref="G2671">FindCountryName(F2671)</f>
        <v>None</v>
      </c>
      <c r="H2671" s="3">
        <v>45143.129328703704</v>
      </c>
      <c r="I2671" s="3">
        <v>45143.129328703704</v>
      </c>
      <c r="J2671" s="3">
        <v>40727.621701388889</v>
      </c>
      <c r="K2671" cm="1">
        <f t="array" ref="K2671">sentimentCalc(C2671)</f>
        <v>0</v>
      </c>
      <c r="L2671" t="str" cm="1">
        <f t="array" ref="L2671">sentimentCategory(K2671)</f>
        <v>Neutral</v>
      </c>
    </row>
    <row r="2672" spans="1:12" x14ac:dyDescent="0.25">
      <c r="A2672" t="s">
        <v>3385</v>
      </c>
      <c r="B2672" t="s">
        <v>3386</v>
      </c>
      <c r="C2672" t="str" cm="1">
        <f t="array" ref="C2672">CleanText(B2672)</f>
        <v>stupidest movie ever</v>
      </c>
      <c r="D2672">
        <v>5</v>
      </c>
      <c r="E2672">
        <v>0</v>
      </c>
      <c r="F2672" t="s">
        <v>10</v>
      </c>
      <c r="G2672" t="str" cm="1">
        <f t="array" ref="G2672">FindCountryName(F2672)</f>
        <v>None</v>
      </c>
      <c r="H2672" s="3">
        <v>45149.383483796293</v>
      </c>
      <c r="I2672" s="3">
        <v>45149.383483796293</v>
      </c>
      <c r="J2672" s="3">
        <v>43101.002835648149</v>
      </c>
      <c r="K2672" cm="1">
        <f t="array" ref="K2672">sentimentCalc(C2672)</f>
        <v>0</v>
      </c>
      <c r="L2672" t="str" cm="1">
        <f t="array" ref="L2672">sentimentCategory(K2672)</f>
        <v>Neutral</v>
      </c>
    </row>
    <row r="2673" spans="1:12" x14ac:dyDescent="0.25">
      <c r="A2673" t="s">
        <v>223</v>
      </c>
      <c r="B2673" t="s">
        <v>1340</v>
      </c>
      <c r="C2673" t="str" cm="1">
        <f t="array" ref="C2673">CleanText(B2673)</f>
        <v>sucesso</v>
      </c>
      <c r="D2673">
        <v>1</v>
      </c>
      <c r="E2673">
        <v>0</v>
      </c>
      <c r="F2673" t="s">
        <v>10</v>
      </c>
      <c r="G2673" t="str" cm="1">
        <f t="array" ref="G2673">FindCountryName(F2673)</f>
        <v>None</v>
      </c>
      <c r="H2673" s="3">
        <v>45242.66883101852</v>
      </c>
      <c r="I2673" s="3">
        <v>45242.66883101852</v>
      </c>
      <c r="J2673" s="3">
        <v>42463.54178240741</v>
      </c>
      <c r="K2673" cm="1">
        <f t="array" ref="K2673">sentimentCalc(C2673)</f>
        <v>0</v>
      </c>
      <c r="L2673" t="str" cm="1">
        <f t="array" ref="L2673">sentimentCategory(K2673)</f>
        <v>Neutral</v>
      </c>
    </row>
    <row r="2674" spans="1:12" x14ac:dyDescent="0.25">
      <c r="A2674" t="s">
        <v>1444</v>
      </c>
      <c r="B2674" t="s">
        <v>1445</v>
      </c>
      <c r="C2674" t="str" cm="1">
        <f t="array" ref="C2674">CleanText(B2674)</f>
        <v>sucesso esse filme e retrata realmente a independncia da mulher</v>
      </c>
      <c r="D2674">
        <v>0</v>
      </c>
      <c r="E2674">
        <v>0</v>
      </c>
      <c r="F2674" t="s">
        <v>10</v>
      </c>
      <c r="G2674" t="str" cm="1">
        <f t="array" ref="G2674">FindCountryName(F2674)</f>
        <v>None</v>
      </c>
      <c r="H2674" s="3">
        <v>45226.639317129629</v>
      </c>
      <c r="I2674" s="3">
        <v>45226.639317129629</v>
      </c>
      <c r="J2674" s="3">
        <v>41004.591550925928</v>
      </c>
      <c r="K2674" cm="1">
        <f t="array" ref="K2674">sentimentCalc(C2674)</f>
        <v>0</v>
      </c>
      <c r="L2674" t="str" cm="1">
        <f t="array" ref="L2674">sentimentCategory(K2674)</f>
        <v>Neutral</v>
      </c>
    </row>
    <row r="2675" spans="1:12" x14ac:dyDescent="0.25">
      <c r="A2675" t="s">
        <v>1920</v>
      </c>
      <c r="B2675" t="s">
        <v>1921</v>
      </c>
      <c r="C2675" t="str" cm="1">
        <f t="array" ref="C2675">CleanText(B2675)</f>
        <v>sucesso grande no brasil uma excelente adaptao pro cinema</v>
      </c>
      <c r="D2675">
        <v>3</v>
      </c>
      <c r="E2675">
        <v>1</v>
      </c>
      <c r="F2675" t="s">
        <v>10</v>
      </c>
      <c r="G2675" t="str" cm="1">
        <f t="array" ref="G2675">FindCountryName(F2675)</f>
        <v>None</v>
      </c>
      <c r="H2675" s="3">
        <v>45187.649953703702</v>
      </c>
      <c r="I2675" s="3">
        <v>45187.649953703702</v>
      </c>
      <c r="J2675" s="3">
        <v>41220.692858796298</v>
      </c>
      <c r="K2675" cm="1">
        <f t="array" ref="K2675">sentimentCalc(C2675)</f>
        <v>-1</v>
      </c>
      <c r="L2675" t="str" cm="1">
        <f t="array" ref="L2675">sentimentCategory(K2675)</f>
        <v>Negative</v>
      </c>
    </row>
    <row r="2676" spans="1:12" x14ac:dyDescent="0.25">
      <c r="A2676" t="s">
        <v>1001</v>
      </c>
      <c r="B2676" t="s">
        <v>1972</v>
      </c>
      <c r="C2676" t="str" cm="1">
        <f t="array" ref="C2676">CleanText(B2676)</f>
        <v>such a brilliant movie enjoyed way more than i anticipated</v>
      </c>
      <c r="D2676">
        <v>4</v>
      </c>
      <c r="E2676">
        <v>0</v>
      </c>
      <c r="F2676" t="s">
        <v>10</v>
      </c>
      <c r="G2676" t="str" cm="1">
        <f t="array" ref="G2676">FindCountryName(F2676)</f>
        <v>None</v>
      </c>
      <c r="H2676" s="3">
        <v>45185.809305555558</v>
      </c>
      <c r="I2676" s="3">
        <v>45185.809305555558</v>
      </c>
      <c r="J2676" s="3">
        <v>41811.985092592593</v>
      </c>
      <c r="K2676" cm="1">
        <f t="array" ref="K2676">sentimentCalc(C2676)</f>
        <v>4</v>
      </c>
      <c r="L2676" t="str" cm="1">
        <f t="array" ref="L2676">sentimentCategory(K2676)</f>
        <v>Positive</v>
      </c>
    </row>
    <row r="2677" spans="1:12" x14ac:dyDescent="0.25">
      <c r="A2677" t="s">
        <v>315</v>
      </c>
      <c r="B2677" t="s">
        <v>1146</v>
      </c>
      <c r="C2677" t="str" cm="1">
        <f t="array" ref="C2677">CleanText(B2677)</f>
        <v>such yuck nd gross movie</v>
      </c>
      <c r="D2677">
        <v>1</v>
      </c>
      <c r="E2677">
        <v>1</v>
      </c>
      <c r="F2677" t="s">
        <v>10</v>
      </c>
      <c r="G2677" t="str" cm="1">
        <f t="array" ref="G2677">FindCountryName(F2677)</f>
        <v>None</v>
      </c>
      <c r="H2677" s="3">
        <v>45283.450949074075</v>
      </c>
      <c r="I2677" s="3">
        <v>45283.450949074075</v>
      </c>
      <c r="J2677" s="3">
        <v>41312.588368055556</v>
      </c>
      <c r="K2677" cm="1">
        <f t="array" ref="K2677">sentimentCalc(C2677)</f>
        <v>-2</v>
      </c>
      <c r="L2677" t="str" cm="1">
        <f t="array" ref="L2677">sentimentCategory(K2677)</f>
        <v>Negative</v>
      </c>
    </row>
    <row r="2678" spans="1:12" x14ac:dyDescent="0.25">
      <c r="A2678" t="s">
        <v>336</v>
      </c>
      <c r="B2678" t="s">
        <v>337</v>
      </c>
      <c r="C2678" t="str" cm="1">
        <f t="array" ref="C2678">CleanText(B2678)</f>
        <v>super</v>
      </c>
      <c r="D2678">
        <v>0</v>
      </c>
      <c r="E2678">
        <v>0</v>
      </c>
      <c r="F2678" t="s">
        <v>10</v>
      </c>
      <c r="G2678" t="str" cm="1">
        <f t="array" ref="G2678">FindCountryName(F2678)</f>
        <v>None</v>
      </c>
      <c r="H2678" s="3">
        <v>45322.282731481479</v>
      </c>
      <c r="I2678" s="3">
        <v>45322.282731481479</v>
      </c>
      <c r="J2678" s="3">
        <v>42394.196481481478</v>
      </c>
      <c r="K2678" cm="1">
        <f t="array" ref="K2678">sentimentCalc(C2678)</f>
        <v>3</v>
      </c>
      <c r="L2678" t="str" cm="1">
        <f t="array" ref="L2678">sentimentCategory(K2678)</f>
        <v>Positive</v>
      </c>
    </row>
    <row r="2679" spans="1:12" x14ac:dyDescent="0.25">
      <c r="A2679" t="s">
        <v>87</v>
      </c>
      <c r="B2679" t="s">
        <v>437</v>
      </c>
      <c r="C2679" t="str" cm="1">
        <f t="array" ref="C2679">CleanText(B2679)</f>
        <v>super bir flim izlemeye deer</v>
      </c>
      <c r="D2679">
        <v>0</v>
      </c>
      <c r="E2679">
        <v>0</v>
      </c>
      <c r="F2679" t="s">
        <v>10</v>
      </c>
      <c r="G2679" t="str" cm="1">
        <f t="array" ref="G2679">FindCountryName(F2679)</f>
        <v>None</v>
      </c>
      <c r="H2679" s="3">
        <v>45322.271585648145</v>
      </c>
      <c r="I2679" s="3">
        <v>45322.271585648145</v>
      </c>
      <c r="J2679" s="3">
        <v>42264.482453703706</v>
      </c>
      <c r="K2679" cm="1">
        <f t="array" ref="K2679">sentimentCalc(C2679)</f>
        <v>3</v>
      </c>
      <c r="L2679" t="str" cm="1">
        <f t="array" ref="L2679">sentimentCategory(K2679)</f>
        <v>Positive</v>
      </c>
    </row>
    <row r="2680" spans="1:12" x14ac:dyDescent="0.25">
      <c r="A2680" t="s">
        <v>646</v>
      </c>
      <c r="B2680" t="s">
        <v>647</v>
      </c>
      <c r="C2680" t="str" cm="1">
        <f t="array" ref="C2680">CleanText(B2680)</f>
        <v>super harika</v>
      </c>
      <c r="D2680">
        <v>0</v>
      </c>
      <c r="E2680">
        <v>0</v>
      </c>
      <c r="F2680" t="s">
        <v>10</v>
      </c>
      <c r="G2680" t="str" cm="1">
        <f t="array" ref="G2680">FindCountryName(F2680)</f>
        <v>None</v>
      </c>
      <c r="H2680" s="3">
        <v>45314.291747685187</v>
      </c>
      <c r="I2680" s="3">
        <v>45314.291747685187</v>
      </c>
      <c r="J2680" s="3">
        <v>42025.447268518517</v>
      </c>
      <c r="K2680" cm="1">
        <f t="array" ref="K2680">sentimentCalc(C2680)</f>
        <v>3</v>
      </c>
      <c r="L2680" t="str" cm="1">
        <f t="array" ref="L2680">sentimentCategory(K2680)</f>
        <v>Positive</v>
      </c>
    </row>
    <row r="2681" spans="1:12" x14ac:dyDescent="0.25">
      <c r="A2681" t="s">
        <v>90</v>
      </c>
      <c r="B2681" t="s">
        <v>1412</v>
      </c>
      <c r="C2681" t="str" cm="1">
        <f t="array" ref="C2681">CleanText(B2681)</f>
        <v>super indico</v>
      </c>
      <c r="D2681">
        <v>0</v>
      </c>
      <c r="E2681">
        <v>0</v>
      </c>
      <c r="F2681" t="s">
        <v>1350</v>
      </c>
      <c r="G2681" t="str" cm="1">
        <f t="array" ref="G2681">FindCountryName(F2681)</f>
        <v>Brazil</v>
      </c>
      <c r="H2681" s="3">
        <v>45233.432939814818</v>
      </c>
      <c r="I2681" s="3">
        <v>45233.432939814818</v>
      </c>
      <c r="J2681" s="3">
        <v>44739.526331018518</v>
      </c>
      <c r="K2681" cm="1">
        <f t="array" ref="K2681">sentimentCalc(C2681)</f>
        <v>3</v>
      </c>
      <c r="L2681" t="str" cm="1">
        <f t="array" ref="L2681">sentimentCategory(K2681)</f>
        <v>Positive</v>
      </c>
    </row>
    <row r="2682" spans="1:12" x14ac:dyDescent="0.25">
      <c r="A2682" t="s">
        <v>486</v>
      </c>
      <c r="B2682" t="s">
        <v>487</v>
      </c>
      <c r="C2682" t="str" cm="1">
        <f t="array" ref="C2682">CleanText(B2682)</f>
        <v>super story</v>
      </c>
      <c r="D2682">
        <v>0</v>
      </c>
      <c r="E2682">
        <v>0</v>
      </c>
      <c r="F2682" t="s">
        <v>10</v>
      </c>
      <c r="G2682" t="str" cm="1">
        <f t="array" ref="G2682">FindCountryName(F2682)</f>
        <v>None</v>
      </c>
      <c r="H2682" s="3">
        <v>45319.503472222219</v>
      </c>
      <c r="I2682" s="3">
        <v>45319.503472222219</v>
      </c>
      <c r="J2682" s="3">
        <v>44410.566342592596</v>
      </c>
      <c r="K2682" cm="1">
        <f t="array" ref="K2682">sentimentCalc(C2682)</f>
        <v>3</v>
      </c>
      <c r="L2682" t="str" cm="1">
        <f t="array" ref="L2682">sentimentCategory(K2682)</f>
        <v>Positive</v>
      </c>
    </row>
    <row r="2683" spans="1:12" x14ac:dyDescent="0.25">
      <c r="A2683" t="s">
        <v>826</v>
      </c>
      <c r="B2683" t="s">
        <v>827</v>
      </c>
      <c r="C2683" t="str" cm="1">
        <f t="array" ref="C2683">CleanText(B2683)</f>
        <v>surprisingly deep movie with real and strong message i was very positively surprise</v>
      </c>
      <c r="D2683">
        <v>0</v>
      </c>
      <c r="E2683">
        <v>0</v>
      </c>
      <c r="F2683" t="s">
        <v>10</v>
      </c>
      <c r="G2683" t="str" cm="1">
        <f t="array" ref="G2683">FindCountryName(F2683)</f>
        <v>None</v>
      </c>
      <c r="H2683" s="3">
        <v>45304.215833333335</v>
      </c>
      <c r="I2683" s="3">
        <v>45304.21603009259</v>
      </c>
      <c r="J2683" s="3">
        <v>41622.408750000002</v>
      </c>
      <c r="K2683" cm="1">
        <f t="array" ref="K2683">sentimentCalc(C2683)</f>
        <v>4</v>
      </c>
      <c r="L2683" t="str" cm="1">
        <f t="array" ref="L2683">sentimentCategory(K2683)</f>
        <v>Positive</v>
      </c>
    </row>
    <row r="2684" spans="1:12" x14ac:dyDescent="0.25">
      <c r="A2684" t="s">
        <v>1296</v>
      </c>
      <c r="B2684" t="s">
        <v>1297</v>
      </c>
      <c r="C2684" t="str" cm="1">
        <f t="array" ref="C2684">CleanText(B2684)</f>
        <v>svhch</v>
      </c>
      <c r="D2684">
        <v>1</v>
      </c>
      <c r="E2684">
        <v>3</v>
      </c>
      <c r="F2684" t="s">
        <v>10</v>
      </c>
      <c r="G2684" t="str" cm="1">
        <f t="array" ref="G2684">FindCountryName(F2684)</f>
        <v>None</v>
      </c>
      <c r="H2684" s="3">
        <v>45256.154814814814</v>
      </c>
      <c r="I2684" s="3">
        <v>45256.154814814814</v>
      </c>
      <c r="J2684" s="3">
        <v>45015.383125</v>
      </c>
      <c r="K2684" cm="1">
        <f t="array" ref="K2684">sentimentCalc(C2684)</f>
        <v>0</v>
      </c>
      <c r="L2684" t="str" cm="1">
        <f t="array" ref="L2684">sentimentCategory(K2684)</f>
        <v>Neutral</v>
      </c>
    </row>
    <row r="2685" spans="1:12" x14ac:dyDescent="0.25">
      <c r="A2685" t="s">
        <v>557</v>
      </c>
      <c r="B2685" t="s">
        <v>585</v>
      </c>
      <c r="C2685" t="str" cm="1">
        <f t="array" ref="C2685">CleanText(B2685)</f>
        <v>sweet</v>
      </c>
      <c r="D2685">
        <v>0</v>
      </c>
      <c r="E2685">
        <v>0</v>
      </c>
      <c r="F2685" t="s">
        <v>10</v>
      </c>
      <c r="G2685" t="str" cm="1">
        <f t="array" ref="G2685">FindCountryName(F2685)</f>
        <v>None</v>
      </c>
      <c r="H2685" s="3">
        <v>45317.272199074076</v>
      </c>
      <c r="I2685" s="3">
        <v>45317.272199074076</v>
      </c>
      <c r="J2685" s="3">
        <v>41036.144120370373</v>
      </c>
      <c r="K2685" cm="1">
        <f t="array" ref="K2685">sentimentCalc(C2685)</f>
        <v>2</v>
      </c>
      <c r="L2685" t="str" cm="1">
        <f t="array" ref="L2685">sentimentCategory(K2685)</f>
        <v>Positive</v>
      </c>
    </row>
    <row r="2686" spans="1:12" x14ac:dyDescent="0.25">
      <c r="A2686" t="s">
        <v>557</v>
      </c>
      <c r="B2686" t="s">
        <v>558</v>
      </c>
      <c r="C2686" t="str" cm="1">
        <f t="array" ref="C2686">CleanText(B2686)</f>
        <v>sweet for all words childs</v>
      </c>
      <c r="D2686">
        <v>0</v>
      </c>
      <c r="E2686">
        <v>0</v>
      </c>
      <c r="F2686" t="s">
        <v>10</v>
      </c>
      <c r="G2686" t="str" cm="1">
        <f t="array" ref="G2686">FindCountryName(F2686)</f>
        <v>None</v>
      </c>
      <c r="H2686" s="3">
        <v>45317.274201388886</v>
      </c>
      <c r="I2686" s="3">
        <v>45317.274201388886</v>
      </c>
      <c r="J2686" s="3">
        <v>41036.144120370373</v>
      </c>
      <c r="K2686" cm="1">
        <f t="array" ref="K2686">sentimentCalc(C2686)</f>
        <v>2</v>
      </c>
      <c r="L2686" t="str" cm="1">
        <f t="array" ref="L2686">sentimentCategory(K2686)</f>
        <v>Positive</v>
      </c>
    </row>
    <row r="2687" spans="1:12" x14ac:dyDescent="0.25">
      <c r="A2687" t="s">
        <v>205</v>
      </c>
      <c r="B2687" t="s">
        <v>2181</v>
      </c>
      <c r="C2687" t="str" cm="1">
        <f t="array" ref="C2687">CleanText(B2687)</f>
        <v>sydney sweeney should have been barbie shes riotously prettier and more talented than robbie</v>
      </c>
      <c r="D2687">
        <v>0</v>
      </c>
      <c r="E2687">
        <v>0</v>
      </c>
      <c r="F2687" t="s">
        <v>227</v>
      </c>
      <c r="G2687" t="str" cm="1">
        <f t="array" ref="G2687">FindCountryName(F2687)</f>
        <v>United States of America (the)</v>
      </c>
      <c r="H2687" s="3">
        <v>45176.704131944447</v>
      </c>
      <c r="I2687" s="3">
        <v>45176.70412037037</v>
      </c>
      <c r="J2687" s="3">
        <v>40654.832662037035</v>
      </c>
      <c r="K2687" cm="1">
        <f t="array" ref="K2687">sentimentCalc(C2687)</f>
        <v>0</v>
      </c>
      <c r="L2687" t="str" cm="1">
        <f t="array" ref="L2687">sentimentCategory(K2687)</f>
        <v>Neutral</v>
      </c>
    </row>
    <row r="2688" spans="1:12" x14ac:dyDescent="0.25">
      <c r="A2688" t="s">
        <v>2822</v>
      </c>
      <c r="B2688" t="s">
        <v>2823</v>
      </c>
      <c r="C2688" t="str" cm="1">
        <f t="array" ref="C2688">CleanText(B2688)</f>
        <v>szmira jakich mao  najbardziej zmarnowane h ycia</v>
      </c>
      <c r="D2688">
        <v>0</v>
      </c>
      <c r="E2688">
        <v>0</v>
      </c>
      <c r="F2688" t="s">
        <v>10</v>
      </c>
      <c r="G2688" t="str" cm="1">
        <f t="array" ref="G2688">FindCountryName(F2688)</f>
        <v>None</v>
      </c>
      <c r="H2688" s="3">
        <v>45157.314398148148</v>
      </c>
      <c r="I2688" s="3">
        <v>45157.314398148148</v>
      </c>
      <c r="J2688" s="3">
        <v>41013.814722222225</v>
      </c>
      <c r="K2688" cm="1">
        <f t="array" ref="K2688">sentimentCalc(C2688)</f>
        <v>0</v>
      </c>
      <c r="L2688" t="str" cm="1">
        <f t="array" ref="L2688">sentimentCategory(K2688)</f>
        <v>Neutral</v>
      </c>
    </row>
    <row r="2689" spans="1:12" x14ac:dyDescent="0.25">
      <c r="A2689" t="s">
        <v>349</v>
      </c>
      <c r="B2689" t="s">
        <v>652</v>
      </c>
      <c r="C2689" t="str" cm="1">
        <f t="array" ref="C2689">CleanText(B2689)</f>
        <v>tm insanlar iin izlenmesi ve ders alnmas gereken bir film</v>
      </c>
      <c r="D2689">
        <v>0</v>
      </c>
      <c r="E2689">
        <v>0</v>
      </c>
      <c r="F2689" t="s">
        <v>10</v>
      </c>
      <c r="G2689" t="str" cm="1">
        <f t="array" ref="G2689">FindCountryName(F2689)</f>
        <v>None</v>
      </c>
      <c r="H2689" s="3">
        <v>45314.277615740742</v>
      </c>
      <c r="I2689" s="3">
        <v>45314.277615740742</v>
      </c>
      <c r="J2689" s="3">
        <v>44743.771238425928</v>
      </c>
      <c r="K2689" cm="1">
        <f t="array" ref="K2689">sentimentCalc(C2689)</f>
        <v>0</v>
      </c>
      <c r="L2689" t="str" cm="1">
        <f t="array" ref="L2689">sentimentCategory(K2689)</f>
        <v>Neutral</v>
      </c>
    </row>
    <row r="2690" spans="1:12" x14ac:dyDescent="0.25">
      <c r="A2690" t="s">
        <v>1031</v>
      </c>
      <c r="B2690" t="s">
        <v>2525</v>
      </c>
      <c r="C2690" t="str" cm="1">
        <f t="array" ref="C2690">CleanText(B2690)</f>
        <v>trk yok mu</v>
      </c>
      <c r="D2690">
        <v>0</v>
      </c>
      <c r="E2690">
        <v>0</v>
      </c>
      <c r="F2690" t="s">
        <v>10</v>
      </c>
      <c r="G2690" t="str" cm="1">
        <f t="array" ref="G2690">FindCountryName(F2690)</f>
        <v>None</v>
      </c>
      <c r="H2690" s="3">
        <v>45164.337118055555</v>
      </c>
      <c r="I2690" s="3">
        <v>45164.337118055555</v>
      </c>
      <c r="J2690" s="3">
        <v>45067.417129629626</v>
      </c>
      <c r="K2690" cm="1">
        <f t="array" ref="K2690">sentimentCalc(C2690)</f>
        <v>0</v>
      </c>
      <c r="L2690" t="str" cm="1">
        <f t="array" ref="L2690">sentimentCategory(K2690)</f>
        <v>Neutral</v>
      </c>
    </row>
    <row r="2691" spans="1:12" x14ac:dyDescent="0.25">
      <c r="A2691" t="s">
        <v>3462</v>
      </c>
      <c r="B2691" t="s">
        <v>3939</v>
      </c>
      <c r="C2691" t="str" cm="1">
        <f t="array" ref="C2691">CleanText(B2691)</f>
        <v>takes me back to when we were on the computers in year  age  and my friend suggested we go on the barbie website i was like eh because of our age but she insisted it was boss so we just went on the barbie website and the boys were laughing at us but we just didnt care</v>
      </c>
      <c r="D2691">
        <v>0</v>
      </c>
      <c r="E2691">
        <v>0</v>
      </c>
      <c r="F2691" t="s">
        <v>10</v>
      </c>
      <c r="G2691" t="str" cm="1">
        <f t="array" ref="G2691">FindCountryName(F2691)</f>
        <v>None</v>
      </c>
      <c r="H2691" s="3">
        <v>45144.380578703705</v>
      </c>
      <c r="I2691" s="3">
        <v>45144.380578703705</v>
      </c>
      <c r="J2691" s="3">
        <v>38917.37777777778</v>
      </c>
      <c r="K2691" cm="1">
        <f t="array" ref="K2691">sentimentCalc(C2691)</f>
        <v>5</v>
      </c>
      <c r="L2691" t="str" cm="1">
        <f t="array" ref="L2691">sentimentCategory(K2691)</f>
        <v>Positive</v>
      </c>
    </row>
    <row r="2692" spans="1:12" x14ac:dyDescent="0.25">
      <c r="A2692" t="s">
        <v>256</v>
      </c>
      <c r="B2692" t="s">
        <v>901</v>
      </c>
      <c r="C2692" t="str" cm="1">
        <f t="array" ref="C2692">CleanText(B2692)</f>
        <v>tam bir aile filmi gerekten ok gzel</v>
      </c>
      <c r="D2692">
        <v>1</v>
      </c>
      <c r="E2692">
        <v>0</v>
      </c>
      <c r="F2692" t="s">
        <v>10</v>
      </c>
      <c r="G2692" t="str" cm="1">
        <f t="array" ref="G2692">FindCountryName(F2692)</f>
        <v>None</v>
      </c>
      <c r="H2692" s="3">
        <v>45299.305104166669</v>
      </c>
      <c r="I2692" s="3">
        <v>45299.305104166669</v>
      </c>
      <c r="J2692" s="3">
        <v>41632.380868055552</v>
      </c>
      <c r="K2692" cm="1">
        <f t="array" ref="K2692">sentimentCalc(C2692)</f>
        <v>0</v>
      </c>
      <c r="L2692" t="str" cm="1">
        <f t="array" ref="L2692">sentimentCategory(K2692)</f>
        <v>Neutral</v>
      </c>
    </row>
    <row r="2693" spans="1:12" x14ac:dyDescent="0.25">
      <c r="A2693" t="s">
        <v>130</v>
      </c>
      <c r="B2693" t="s">
        <v>531</v>
      </c>
      <c r="C2693" t="str" cm="1">
        <f t="array" ref="C2693">CleanText(B2693)</f>
        <v>tam bir barby</v>
      </c>
      <c r="D2693">
        <v>1</v>
      </c>
      <c r="E2693">
        <v>0</v>
      </c>
      <c r="F2693" t="s">
        <v>10</v>
      </c>
      <c r="G2693" t="str" cm="1">
        <f t="array" ref="G2693">FindCountryName(F2693)</f>
        <v>None</v>
      </c>
      <c r="H2693" s="3">
        <v>45317.28534722222</v>
      </c>
      <c r="I2693" s="3">
        <v>45317.28534722222</v>
      </c>
      <c r="J2693" s="3">
        <v>45317.255462962959</v>
      </c>
      <c r="K2693" cm="1">
        <f t="array" ref="K2693">sentimentCalc(C2693)</f>
        <v>0</v>
      </c>
      <c r="L2693" t="str" cm="1">
        <f t="array" ref="L2693">sentimentCategory(K2693)</f>
        <v>Neutral</v>
      </c>
    </row>
    <row r="2694" spans="1:12" x14ac:dyDescent="0.25">
      <c r="A2694" t="s">
        <v>1210</v>
      </c>
      <c r="B2694" t="s">
        <v>1211</v>
      </c>
      <c r="C2694" t="str" cm="1">
        <f t="array" ref="C2694">CleanText(B2694)</f>
        <v>tarantinogif</v>
      </c>
      <c r="D2694">
        <v>0</v>
      </c>
      <c r="E2694">
        <v>0</v>
      </c>
      <c r="F2694" t="s">
        <v>10</v>
      </c>
      <c r="G2694" t="str" cm="1">
        <f t="array" ref="G2694">FindCountryName(F2694)</f>
        <v>None</v>
      </c>
      <c r="H2694" s="3">
        <v>45276.094224537039</v>
      </c>
      <c r="I2694" s="3">
        <v>45276.094224537039</v>
      </c>
      <c r="J2694" s="3">
        <v>39608.2658912037</v>
      </c>
      <c r="K2694" cm="1">
        <f t="array" ref="K2694">sentimentCalc(C2694)</f>
        <v>0</v>
      </c>
      <c r="L2694" t="str" cm="1">
        <f t="array" ref="L2694">sentimentCategory(K2694)</f>
        <v>Neutral</v>
      </c>
    </row>
    <row r="2695" spans="1:12" x14ac:dyDescent="0.25">
      <c r="A2695" t="s">
        <v>895</v>
      </c>
      <c r="B2695" t="s">
        <v>1911</v>
      </c>
      <c r="C2695" t="str" cm="1">
        <f t="array" ref="C2695">CleanText(B2695)</f>
        <v>tava ansioso para assistir super recomendo muito top</v>
      </c>
      <c r="D2695">
        <v>1</v>
      </c>
      <c r="E2695">
        <v>0</v>
      </c>
      <c r="F2695" t="s">
        <v>10</v>
      </c>
      <c r="G2695" t="str" cm="1">
        <f t="array" ref="G2695">FindCountryName(F2695)</f>
        <v>None</v>
      </c>
      <c r="H2695" s="3">
        <v>45188.285266203704</v>
      </c>
      <c r="I2695" s="3">
        <v>45188.285266203704</v>
      </c>
      <c r="J2695" s="3">
        <v>42869.325162037036</v>
      </c>
      <c r="K2695" cm="1">
        <f t="array" ref="K2695">sentimentCalc(C2695)</f>
        <v>5</v>
      </c>
      <c r="L2695" t="str" cm="1">
        <f t="array" ref="L2695">sentimentCategory(K2695)</f>
        <v>Positive</v>
      </c>
    </row>
    <row r="2696" spans="1:12" x14ac:dyDescent="0.25">
      <c r="A2696" t="s">
        <v>225</v>
      </c>
      <c r="B2696" t="s">
        <v>937</v>
      </c>
      <c r="C2696" t="str" cm="1">
        <f t="array" ref="C2696">CleanText(B2696)</f>
        <v>tavsiye ederim gzel bir film cok houma gitt</v>
      </c>
      <c r="D2696">
        <v>0</v>
      </c>
      <c r="E2696">
        <v>0</v>
      </c>
      <c r="F2696" t="s">
        <v>10</v>
      </c>
      <c r="G2696" t="str" cm="1">
        <f t="array" ref="G2696">FindCountryName(F2696)</f>
        <v>None</v>
      </c>
      <c r="H2696" s="3">
        <v>45299.262048611112</v>
      </c>
      <c r="I2696" s="3">
        <v>45299.262048611112</v>
      </c>
      <c r="J2696" s="3">
        <v>44082.234189814815</v>
      </c>
      <c r="K2696" cm="1">
        <f t="array" ref="K2696">sentimentCalc(C2696)</f>
        <v>0</v>
      </c>
      <c r="L2696" t="str" cm="1">
        <f t="array" ref="L2696">sentimentCategory(K2696)</f>
        <v>Neutral</v>
      </c>
    </row>
    <row r="2697" spans="1:12" x14ac:dyDescent="0.25">
      <c r="A2697" t="s">
        <v>197</v>
      </c>
      <c r="B2697" t="s">
        <v>2054</v>
      </c>
      <c r="C2697" t="str" cm="1">
        <f t="array" ref="C2697">CleanText(B2697)</f>
        <v>tbh i hated it</v>
      </c>
      <c r="D2697">
        <v>3</v>
      </c>
      <c r="E2697">
        <v>1</v>
      </c>
      <c r="F2697" t="s">
        <v>10</v>
      </c>
      <c r="G2697" t="str" cm="1">
        <f t="array" ref="G2697">FindCountryName(F2697)</f>
        <v>None</v>
      </c>
      <c r="H2697" s="3">
        <v>45182.58021990741</v>
      </c>
      <c r="I2697" s="3">
        <v>45182.58021990741</v>
      </c>
      <c r="J2697" s="3">
        <v>44794.650567129633</v>
      </c>
      <c r="K2697" cm="1">
        <f t="array" ref="K2697">sentimentCalc(C2697)</f>
        <v>-3</v>
      </c>
      <c r="L2697" t="str" cm="1">
        <f t="array" ref="L2697">sentimentCategory(K2697)</f>
        <v>Negative</v>
      </c>
    </row>
    <row r="2698" spans="1:12" x14ac:dyDescent="0.25">
      <c r="A2698" t="s">
        <v>365</v>
      </c>
      <c r="B2698" t="s">
        <v>4201</v>
      </c>
      <c r="C2698" t="str" cm="1">
        <f t="array" ref="C2698">CleanText(B2698)</f>
        <v>tbh i dont see anything wrong with this i will update you when i see the movie</v>
      </c>
      <c r="D2698">
        <v>2</v>
      </c>
      <c r="E2698">
        <v>1</v>
      </c>
      <c r="F2698" t="s">
        <v>10</v>
      </c>
      <c r="G2698" t="str" cm="1">
        <f t="array" ref="G2698">FindCountryName(F2698)</f>
        <v>None</v>
      </c>
      <c r="H2698" s="3">
        <v>45141.982789351852</v>
      </c>
      <c r="I2698" s="3">
        <v>45141.982789351852</v>
      </c>
      <c r="J2698" s="3">
        <v>40839.35869212963</v>
      </c>
      <c r="K2698" cm="1">
        <f t="array" ref="K2698">sentimentCalc(C2698)</f>
        <v>-2</v>
      </c>
      <c r="L2698" t="str" cm="1">
        <f t="array" ref="L2698">sentimentCategory(K2698)</f>
        <v>Negative</v>
      </c>
    </row>
    <row r="2699" spans="1:12" x14ac:dyDescent="0.25">
      <c r="A2699" t="s">
        <v>256</v>
      </c>
      <c r="B2699" t="s">
        <v>4444</v>
      </c>
      <c r="C2699" t="str" cm="1">
        <f t="array" ref="C2699">CleanText(B2699)</f>
        <v>tch it</v>
      </c>
      <c r="D2699">
        <v>0</v>
      </c>
      <c r="E2699">
        <v>0</v>
      </c>
      <c r="F2699" t="s">
        <v>10</v>
      </c>
      <c r="G2699" t="str" cm="1">
        <f t="array" ref="G2699">FindCountryName(F2699)</f>
        <v>None</v>
      </c>
      <c r="H2699" s="3">
        <v>45140.230509259258</v>
      </c>
      <c r="I2699" s="3">
        <v>45140.230509259258</v>
      </c>
      <c r="J2699" s="3">
        <v>42311.152453703704</v>
      </c>
      <c r="K2699" cm="1">
        <f t="array" ref="K2699">sentimentCalc(C2699)</f>
        <v>0</v>
      </c>
      <c r="L2699" t="str" cm="1">
        <f t="array" ref="L2699">sentimentCategory(K2699)</f>
        <v>Neutral</v>
      </c>
    </row>
    <row r="2700" spans="1:12" x14ac:dyDescent="0.25">
      <c r="A2700" t="s">
        <v>143</v>
      </c>
      <c r="B2700" t="s">
        <v>772</v>
      </c>
      <c r="C2700" t="str" cm="1">
        <f t="array" ref="C2700">CleanText(B2700)</f>
        <v>tebrikler</v>
      </c>
      <c r="D2700">
        <v>0</v>
      </c>
      <c r="E2700">
        <v>0</v>
      </c>
      <c r="F2700" t="s">
        <v>139</v>
      </c>
      <c r="G2700" t="str" cm="1">
        <f t="array" ref="G2700">FindCountryName(F2700)</f>
        <v>Turkey</v>
      </c>
      <c r="H2700" s="3">
        <v>45308.369895833333</v>
      </c>
      <c r="I2700" s="3">
        <v>45308.369895833333</v>
      </c>
      <c r="J2700" s="3">
        <v>44587.161712962959</v>
      </c>
      <c r="K2700" cm="1">
        <f t="array" ref="K2700">sentimentCalc(C2700)</f>
        <v>0</v>
      </c>
      <c r="L2700" t="str" cm="1">
        <f t="array" ref="L2700">sentimentCategory(K2700)</f>
        <v>Neutral</v>
      </c>
    </row>
    <row r="2701" spans="1:12" x14ac:dyDescent="0.25">
      <c r="A2701" t="s">
        <v>143</v>
      </c>
      <c r="B2701" t="s">
        <v>771</v>
      </c>
      <c r="C2701" t="str" cm="1">
        <f t="array" ref="C2701">CleanText(B2701)</f>
        <v>tebrikler cok gzel bir video olmu</v>
      </c>
      <c r="D2701">
        <v>0</v>
      </c>
      <c r="E2701">
        <v>0</v>
      </c>
      <c r="F2701" t="s">
        <v>139</v>
      </c>
      <c r="G2701" t="str" cm="1">
        <f t="array" ref="G2701">FindCountryName(F2701)</f>
        <v>Turkey</v>
      </c>
      <c r="H2701" s="3">
        <v>45308.370185185187</v>
      </c>
      <c r="I2701" s="3">
        <v>45308.370185185187</v>
      </c>
      <c r="J2701" s="3">
        <v>44587.161712962959</v>
      </c>
      <c r="K2701" cm="1">
        <f t="array" ref="K2701">sentimentCalc(C2701)</f>
        <v>0</v>
      </c>
      <c r="L2701" t="str" cm="1">
        <f t="array" ref="L2701">sentimentCategory(K2701)</f>
        <v>Neutral</v>
      </c>
    </row>
    <row r="2702" spans="1:12" x14ac:dyDescent="0.25">
      <c r="A2702" t="s">
        <v>156</v>
      </c>
      <c r="B2702" t="s">
        <v>306</v>
      </c>
      <c r="C2702" t="str" cm="1">
        <f t="array" ref="C2702">CleanText(B2702)</f>
        <v>tek kelimeyle harika</v>
      </c>
      <c r="D2702">
        <v>0</v>
      </c>
      <c r="E2702">
        <v>0</v>
      </c>
      <c r="F2702" t="s">
        <v>10</v>
      </c>
      <c r="G2702" t="str" cm="1">
        <f t="array" ref="G2702">FindCountryName(F2702)</f>
        <v>None</v>
      </c>
      <c r="H2702" s="3">
        <v>45322.357199074075</v>
      </c>
      <c r="I2702" s="3">
        <v>45322.357199074075</v>
      </c>
      <c r="J2702" s="3">
        <v>44108.368298611109</v>
      </c>
      <c r="K2702" cm="1">
        <f t="array" ref="K2702">sentimentCalc(C2702)</f>
        <v>0</v>
      </c>
      <c r="L2702" t="str" cm="1">
        <f t="array" ref="L2702">sentimentCategory(K2702)</f>
        <v>Neutral</v>
      </c>
    </row>
    <row r="2703" spans="1:12" x14ac:dyDescent="0.25">
      <c r="A2703" t="s">
        <v>239</v>
      </c>
      <c r="B2703" t="s">
        <v>1448</v>
      </c>
      <c r="C2703" t="str" cm="1">
        <f t="array" ref="C2703">CleanText(B2703)</f>
        <v>tem pautas atuais</v>
      </c>
      <c r="D2703">
        <v>1</v>
      </c>
      <c r="E2703">
        <v>0</v>
      </c>
      <c r="F2703" t="s">
        <v>10</v>
      </c>
      <c r="G2703" t="str" cm="1">
        <f t="array" ref="G2703">FindCountryName(F2703)</f>
        <v>None</v>
      </c>
      <c r="H2703" s="3">
        <v>45226.560590277775</v>
      </c>
      <c r="I2703" s="3">
        <v>45226.560590277775</v>
      </c>
      <c r="J2703" s="3">
        <v>44175.894004629627</v>
      </c>
      <c r="K2703" cm="1">
        <f t="array" ref="K2703">sentimentCalc(C2703)</f>
        <v>0</v>
      </c>
      <c r="L2703" t="str" cm="1">
        <f t="array" ref="L2703">sentimentCategory(K2703)</f>
        <v>Neutral</v>
      </c>
    </row>
    <row r="2704" spans="1:12" x14ac:dyDescent="0.25">
      <c r="A2704" t="s">
        <v>1371</v>
      </c>
      <c r="B2704" t="s">
        <v>1372</v>
      </c>
      <c r="C2704" t="str" cm="1">
        <f t="array" ref="C2704">CleanText(B2704)</f>
        <v>terrible movie</v>
      </c>
      <c r="D2704">
        <v>1</v>
      </c>
      <c r="E2704">
        <v>0</v>
      </c>
      <c r="F2704" t="s">
        <v>1373</v>
      </c>
      <c r="G2704" t="str" cm="1">
        <f t="array" ref="G2704">FindCountryName(F2704)</f>
        <v>Belgium</v>
      </c>
      <c r="H2704" s="3">
        <v>45237.544641203705</v>
      </c>
      <c r="I2704" s="3">
        <v>45237.544641203705</v>
      </c>
      <c r="J2704" s="3">
        <v>44020.61482638889</v>
      </c>
      <c r="K2704" cm="1">
        <f t="array" ref="K2704">sentimentCalc(C2704)</f>
        <v>-3</v>
      </c>
      <c r="L2704" t="str" cm="1">
        <f t="array" ref="L2704">sentimentCategory(K2704)</f>
        <v>Negative</v>
      </c>
    </row>
    <row r="2705" spans="1:12" x14ac:dyDescent="0.25">
      <c r="A2705" t="s">
        <v>2921</v>
      </c>
      <c r="B2705" t="s">
        <v>2922</v>
      </c>
      <c r="C2705" t="str" cm="1">
        <f t="array" ref="C2705">CleanText(B2705)</f>
        <v>terrible movie i dont see why warner bros is saying on google that this movie is the second best movie after  dark knight film</v>
      </c>
      <c r="D2705">
        <v>0</v>
      </c>
      <c r="E2705">
        <v>6</v>
      </c>
      <c r="F2705" t="s">
        <v>10</v>
      </c>
      <c r="G2705" t="str" cm="1">
        <f t="array" ref="G2705">FindCountryName(F2705)</f>
        <v>None</v>
      </c>
      <c r="H2705" s="3">
        <v>45155.839039351849</v>
      </c>
      <c r="I2705" s="3">
        <v>45155.839039351849</v>
      </c>
      <c r="J2705" s="3">
        <v>44440.065787037034</v>
      </c>
      <c r="K2705" cm="1">
        <f t="array" ref="K2705">sentimentCalc(C2705)</f>
        <v>0</v>
      </c>
      <c r="L2705" t="str" cm="1">
        <f t="array" ref="L2705">sentimentCategory(K2705)</f>
        <v>Neutral</v>
      </c>
    </row>
    <row r="2706" spans="1:12" x14ac:dyDescent="0.25">
      <c r="A2706" t="s">
        <v>296</v>
      </c>
      <c r="B2706" t="s">
        <v>2632</v>
      </c>
      <c r="C2706" t="str" cm="1">
        <f t="array" ref="C2706">CleanText(B2706)</f>
        <v>test</v>
      </c>
      <c r="D2706">
        <v>0</v>
      </c>
      <c r="E2706">
        <v>0</v>
      </c>
      <c r="F2706" t="s">
        <v>10</v>
      </c>
      <c r="G2706" t="str" cm="1">
        <f t="array" ref="G2706">FindCountryName(F2706)</f>
        <v>None</v>
      </c>
      <c r="H2706" s="3">
        <v>45161.283692129633</v>
      </c>
      <c r="I2706" s="3">
        <v>45161.283692129633</v>
      </c>
      <c r="J2706" s="3">
        <v>45161.283680555556</v>
      </c>
      <c r="K2706" cm="1">
        <f t="array" ref="K2706">sentimentCalc(C2706)</f>
        <v>0</v>
      </c>
      <c r="L2706" t="str" cm="1">
        <f t="array" ref="L2706">sentimentCategory(K2706)</f>
        <v>Neutral</v>
      </c>
    </row>
    <row r="2707" spans="1:12" x14ac:dyDescent="0.25">
      <c r="A2707" t="s">
        <v>1117</v>
      </c>
      <c r="B2707" t="s">
        <v>3428</v>
      </c>
      <c r="C2707" t="str" cm="1">
        <f t="array" ref="C2707">CleanText(B2707)</f>
        <v>tf i watch</v>
      </c>
      <c r="D2707">
        <v>1</v>
      </c>
      <c r="E2707">
        <v>0</v>
      </c>
      <c r="F2707" t="s">
        <v>10</v>
      </c>
      <c r="G2707" t="str" cm="1">
        <f t="array" ref="G2707">FindCountryName(F2707)</f>
        <v>None</v>
      </c>
      <c r="H2707" s="3">
        <v>45149.015833333331</v>
      </c>
      <c r="I2707" s="3">
        <v>45149.015833333331</v>
      </c>
      <c r="J2707" s="3">
        <v>43852.077719907407</v>
      </c>
      <c r="K2707" cm="1">
        <f t="array" ref="K2707">sentimentCalc(C2707)</f>
        <v>0</v>
      </c>
      <c r="L2707" t="str" cm="1">
        <f t="array" ref="L2707">sentimentCategory(K2707)</f>
        <v>Neutral</v>
      </c>
    </row>
    <row r="2708" spans="1:12" x14ac:dyDescent="0.25">
      <c r="A2708" t="s">
        <v>737</v>
      </c>
      <c r="B2708" t="s">
        <v>1983</v>
      </c>
      <c r="C2708" t="str" cm="1">
        <f t="array" ref="C2708">CleanText(B2708)</f>
        <v>thanks for ruining barbie for me</v>
      </c>
      <c r="D2708">
        <v>1</v>
      </c>
      <c r="E2708">
        <v>4</v>
      </c>
      <c r="F2708" t="s">
        <v>10</v>
      </c>
      <c r="G2708" t="str" cm="1">
        <f t="array" ref="G2708">FindCountryName(F2708)</f>
        <v>None</v>
      </c>
      <c r="H2708" s="3">
        <v>45185.45516203704</v>
      </c>
      <c r="I2708" s="3">
        <v>45185.45516203704</v>
      </c>
      <c r="J2708" s="3">
        <v>45008.618796296294</v>
      </c>
      <c r="K2708" cm="1">
        <f t="array" ref="K2708">sentimentCalc(C2708)</f>
        <v>0</v>
      </c>
      <c r="L2708" t="str" cm="1">
        <f t="array" ref="L2708">sentimentCategory(K2708)</f>
        <v>Neutral</v>
      </c>
    </row>
    <row r="2709" spans="1:12" x14ac:dyDescent="0.25">
      <c r="A2709" t="s">
        <v>58</v>
      </c>
      <c r="B2709" t="s">
        <v>2980</v>
      </c>
      <c r="C2709" t="str" cm="1">
        <f t="array" ref="C2709">CleanText(B2709)</f>
        <v>thanks fox news for blowing barbie up bigger than anyones advertising budget could do itself thanks repubs they always make us rich</v>
      </c>
      <c r="D2709">
        <v>1</v>
      </c>
      <c r="E2709">
        <v>0</v>
      </c>
      <c r="F2709" t="s">
        <v>227</v>
      </c>
      <c r="G2709" t="str" cm="1">
        <f t="array" ref="G2709">FindCountryName(F2709)</f>
        <v>United States of America (the)</v>
      </c>
      <c r="H2709" s="3">
        <v>45154.828101851854</v>
      </c>
      <c r="I2709" s="3">
        <v>45154.828101851854</v>
      </c>
      <c r="J2709" s="3">
        <v>42375.068935185183</v>
      </c>
      <c r="K2709" cm="1">
        <f t="array" ref="K2709">sentimentCalc(C2709)</f>
        <v>6</v>
      </c>
      <c r="L2709" t="str" cm="1">
        <f t="array" ref="L2709">sentimentCategory(K2709)</f>
        <v>Positive</v>
      </c>
    </row>
    <row r="2710" spans="1:12" x14ac:dyDescent="0.25">
      <c r="A2710" t="s">
        <v>405</v>
      </c>
      <c r="B2710" t="s">
        <v>4182</v>
      </c>
      <c r="C2710" t="str" cm="1">
        <f t="array" ref="C2710">CleanText(B2710)</f>
        <v>thanks youtube for saving me money i wouldve spent on a crappy movie</v>
      </c>
      <c r="D2710">
        <v>1</v>
      </c>
      <c r="E2710">
        <v>0</v>
      </c>
      <c r="F2710" t="s">
        <v>10</v>
      </c>
      <c r="G2710" t="str" cm="1">
        <f t="array" ref="G2710">FindCountryName(F2710)</f>
        <v>None</v>
      </c>
      <c r="H2710" s="3">
        <v>45142.245925925927</v>
      </c>
      <c r="I2710" s="3">
        <v>45142.245925925927</v>
      </c>
      <c r="J2710" s="3">
        <v>45042.400520833333</v>
      </c>
      <c r="K2710" cm="1">
        <f t="array" ref="K2710">sentimentCalc(C2710)</f>
        <v>2</v>
      </c>
      <c r="L2710" t="str" cm="1">
        <f t="array" ref="L2710">sentimentCategory(K2710)</f>
        <v>Positive</v>
      </c>
    </row>
    <row r="2711" spans="1:12" x14ac:dyDescent="0.25">
      <c r="A2711" t="s">
        <v>1117</v>
      </c>
      <c r="B2711" t="s">
        <v>2701</v>
      </c>
      <c r="C2711" t="str" cm="1">
        <f t="array" ref="C2711">CleanText(B2711)</f>
        <v>that is a very old story about the pimp and his prostitute</v>
      </c>
      <c r="D2711">
        <v>0</v>
      </c>
      <c r="E2711">
        <v>0</v>
      </c>
      <c r="F2711" t="s">
        <v>10</v>
      </c>
      <c r="G2711" t="str" cm="1">
        <f t="array" ref="G2711">FindCountryName(F2711)</f>
        <v>None</v>
      </c>
      <c r="H2711" s="3">
        <v>45159.587094907409</v>
      </c>
      <c r="I2711" s="3">
        <v>45159.587094907409</v>
      </c>
      <c r="J2711" s="3">
        <v>41796.522800925923</v>
      </c>
      <c r="K2711" cm="1">
        <f t="array" ref="K2711">sentimentCalc(C2711)</f>
        <v>0</v>
      </c>
      <c r="L2711" t="str" cm="1">
        <f t="array" ref="L2711">sentimentCategory(K2711)</f>
        <v>Neutral</v>
      </c>
    </row>
    <row r="2712" spans="1:12" x14ac:dyDescent="0.25">
      <c r="A2712" t="s">
        <v>720</v>
      </c>
      <c r="B2712" t="s">
        <v>4399</v>
      </c>
      <c r="C2712" t="str" cm="1">
        <f t="array" ref="C2712">CleanText(B2712)</f>
        <v>that movie very bad  la vrit men whomen</v>
      </c>
      <c r="D2712">
        <v>0</v>
      </c>
      <c r="E2712">
        <v>0</v>
      </c>
      <c r="F2712" t="s">
        <v>10</v>
      </c>
      <c r="G2712" t="str" cm="1">
        <f t="array" ref="G2712">FindCountryName(F2712)</f>
        <v>None</v>
      </c>
      <c r="H2712" s="3">
        <v>45140.450127314813</v>
      </c>
      <c r="I2712" s="3">
        <v>45140.450127314813</v>
      </c>
      <c r="J2712" s="3">
        <v>42759.634351851855</v>
      </c>
      <c r="K2712" cm="1">
        <f t="array" ref="K2712">sentimentCalc(C2712)</f>
        <v>-3</v>
      </c>
      <c r="L2712" t="str" cm="1">
        <f t="array" ref="L2712">sentimentCategory(K2712)</f>
        <v>Negative</v>
      </c>
    </row>
    <row r="2713" spans="1:12" x14ac:dyDescent="0.25">
      <c r="A2713" t="s">
        <v>696</v>
      </c>
      <c r="B2713" t="s">
        <v>3081</v>
      </c>
      <c r="C2713" t="str" cm="1">
        <f t="array" ref="C2713">CleanText(B2713)</f>
        <v>that movie was everything i expected and more it was colorful fun and depressing at the same time</v>
      </c>
      <c r="D2713">
        <v>4</v>
      </c>
      <c r="E2713">
        <v>0</v>
      </c>
      <c r="F2713" t="s">
        <v>10</v>
      </c>
      <c r="G2713" t="str" cm="1">
        <f t="array" ref="G2713">FindCountryName(F2713)</f>
        <v>None</v>
      </c>
      <c r="H2713" s="3">
        <v>45153.635949074072</v>
      </c>
      <c r="I2713" s="3">
        <v>45153.635949074072</v>
      </c>
      <c r="J2713" s="3">
        <v>43844.59171296296</v>
      </c>
      <c r="K2713" cm="1">
        <f t="array" ref="K2713">sentimentCalc(C2713)</f>
        <v>2</v>
      </c>
      <c r="L2713" t="str" cm="1">
        <f t="array" ref="L2713">sentimentCategory(K2713)</f>
        <v>Positive</v>
      </c>
    </row>
    <row r="2714" spans="1:12" x14ac:dyDescent="0.25">
      <c r="A2714" t="s">
        <v>169</v>
      </c>
      <c r="B2714" t="s">
        <v>3766</v>
      </c>
      <c r="C2714" t="str" cm="1">
        <f t="array" ref="C2714">CleanText(B2714)</f>
        <v>that very rare case when you bought  tickets and saying your girlfriend thats all for you but in fact you really want to go to that movie</v>
      </c>
      <c r="D2714">
        <v>3</v>
      </c>
      <c r="E2714">
        <v>0</v>
      </c>
      <c r="F2714" t="s">
        <v>10</v>
      </c>
      <c r="G2714" t="str" cm="1">
        <f t="array" ref="G2714">FindCountryName(F2714)</f>
        <v>None</v>
      </c>
      <c r="H2714" s="3">
        <v>45145.638877314814</v>
      </c>
      <c r="I2714" s="3">
        <v>45145.638877314814</v>
      </c>
      <c r="J2714" s="3">
        <v>44734.491736111115</v>
      </c>
      <c r="K2714" cm="1">
        <f t="array" ref="K2714">sentimentCalc(C2714)</f>
        <v>1</v>
      </c>
      <c r="L2714" t="str" cm="1">
        <f t="array" ref="L2714">sentimentCategory(K2714)</f>
        <v>Positive</v>
      </c>
    </row>
    <row r="2715" spans="1:12" x14ac:dyDescent="0.25">
      <c r="A2715" t="s">
        <v>930</v>
      </c>
      <c r="B2715" t="s">
        <v>2028</v>
      </c>
      <c r="C2715" t="str" cm="1">
        <f t="array" ref="C2715">CleanText(B2715)</f>
        <v>that was honestly the dumbest movie i have ever seen in my enitire life waste of my time honestly thank god i saw it for free and didnt help support it</v>
      </c>
      <c r="D2715">
        <v>5</v>
      </c>
      <c r="E2715">
        <v>1</v>
      </c>
      <c r="F2715" t="s">
        <v>10</v>
      </c>
      <c r="G2715" t="str" cm="1">
        <f t="array" ref="G2715">FindCountryName(F2715)</f>
        <v>None</v>
      </c>
      <c r="H2715" s="3">
        <v>45183.648055555554</v>
      </c>
      <c r="I2715" s="3">
        <v>45183.648055555554</v>
      </c>
      <c r="J2715" s="3">
        <v>42881.360069444447</v>
      </c>
      <c r="K2715" cm="1">
        <f t="array" ref="K2715">sentimentCalc(C2715)</f>
        <v>7</v>
      </c>
      <c r="L2715" t="str" cm="1">
        <f t="array" ref="L2715">sentimentCategory(K2715)</f>
        <v>Positive</v>
      </c>
    </row>
    <row r="2716" spans="1:12" x14ac:dyDescent="0.25">
      <c r="A2716" t="s">
        <v>1882</v>
      </c>
      <c r="B2716" t="s">
        <v>3417</v>
      </c>
      <c r="C2716" t="str" cm="1">
        <f t="array" ref="C2716">CleanText(B2716)</f>
        <v>that was one of the dumbest movies ive ever seen spoiler the morale is  women are strong  patriarchy is bad feminism for  year olds thanks greta  billion at the box office for that ridiculous farce such a sellout oh and the chanel placement neat bravo greta</v>
      </c>
      <c r="D2716">
        <v>5</v>
      </c>
      <c r="E2716">
        <v>0</v>
      </c>
      <c r="F2716" t="s">
        <v>10</v>
      </c>
      <c r="G2716" t="str" cm="1">
        <f t="array" ref="G2716">FindCountryName(F2716)</f>
        <v>None</v>
      </c>
      <c r="H2716" s="3">
        <v>45149.164131944446</v>
      </c>
      <c r="I2716" s="3">
        <v>45149.166064814817</v>
      </c>
      <c r="J2716" s="3">
        <v>39351.716435185182</v>
      </c>
      <c r="K2716" cm="1">
        <f t="array" ref="K2716">sentimentCalc(C2716)</f>
        <v>-3</v>
      </c>
      <c r="L2716" t="str" cm="1">
        <f t="array" ref="L2716">sentimentCategory(K2716)</f>
        <v>Negative</v>
      </c>
    </row>
    <row r="2717" spans="1:12" x14ac:dyDescent="0.25">
      <c r="A2717" t="s">
        <v>635</v>
      </c>
      <c r="B2717" t="s">
        <v>2144</v>
      </c>
      <c r="C2717" t="str" cm="1">
        <f t="array" ref="C2717">CleanText(B2717)</f>
        <v>that was the best movie i have ever watched i totally</v>
      </c>
      <c r="D2717">
        <v>1</v>
      </c>
      <c r="E2717">
        <v>0</v>
      </c>
      <c r="F2717" t="s">
        <v>10</v>
      </c>
      <c r="G2717" t="str" cm="1">
        <f t="array" ref="G2717">FindCountryName(F2717)</f>
        <v>None</v>
      </c>
      <c r="H2717" s="3">
        <v>45178.581435185188</v>
      </c>
      <c r="I2717" s="3">
        <v>45178.581423611111</v>
      </c>
      <c r="J2717" s="3">
        <v>43345.70511574074</v>
      </c>
      <c r="K2717" cm="1">
        <f t="array" ref="K2717">sentimentCalc(C2717)</f>
        <v>3</v>
      </c>
      <c r="L2717" t="str" cm="1">
        <f t="array" ref="L2717">sentimentCategory(K2717)</f>
        <v>Positive</v>
      </c>
    </row>
    <row r="2718" spans="1:12" x14ac:dyDescent="0.25">
      <c r="A2718" t="s">
        <v>345</v>
      </c>
      <c r="B2718" t="s">
        <v>3092</v>
      </c>
      <c r="C2718" t="str" cm="1">
        <f t="array" ref="C2718">CleanText(B2718)</f>
        <v>thats barbtastic</v>
      </c>
      <c r="D2718">
        <v>0</v>
      </c>
      <c r="E2718">
        <v>0</v>
      </c>
      <c r="F2718" t="s">
        <v>10</v>
      </c>
      <c r="G2718" t="str" cm="1">
        <f t="array" ref="G2718">FindCountryName(F2718)</f>
        <v>None</v>
      </c>
      <c r="H2718" s="3">
        <v>45153.553449074076</v>
      </c>
      <c r="I2718" s="3">
        <v>45153.553437499999</v>
      </c>
      <c r="J2718" s="3">
        <v>44235.750740740739</v>
      </c>
      <c r="K2718" cm="1">
        <f t="array" ref="K2718">sentimentCalc(C2718)</f>
        <v>0</v>
      </c>
      <c r="L2718" t="str" cm="1">
        <f t="array" ref="L2718">sentimentCategory(K2718)</f>
        <v>Neutral</v>
      </c>
    </row>
    <row r="2719" spans="1:12" x14ac:dyDescent="0.25">
      <c r="A2719" t="s">
        <v>201</v>
      </c>
      <c r="B2719" t="s">
        <v>1781</v>
      </c>
      <c r="C2719" t="str" cm="1">
        <f t="array" ref="C2719">CleanText(B2719)</f>
        <v>thats my cartoon</v>
      </c>
      <c r="D2719">
        <v>1</v>
      </c>
      <c r="E2719">
        <v>0</v>
      </c>
      <c r="F2719" t="s">
        <v>10</v>
      </c>
      <c r="G2719" t="str" cm="1">
        <f t="array" ref="G2719">FindCountryName(F2719)</f>
        <v>None</v>
      </c>
      <c r="H2719" s="3">
        <v>45195.35496527778</v>
      </c>
      <c r="I2719" s="3">
        <v>45195.35496527778</v>
      </c>
      <c r="J2719" s="3">
        <v>45184.874085648145</v>
      </c>
      <c r="K2719" cm="1">
        <f t="array" ref="K2719">sentimentCalc(C2719)</f>
        <v>0</v>
      </c>
      <c r="L2719" t="str" cm="1">
        <f t="array" ref="L2719">sentimentCategory(K2719)</f>
        <v>Neutral</v>
      </c>
    </row>
    <row r="2720" spans="1:12" x14ac:dyDescent="0.25">
      <c r="A2720" t="s">
        <v>358</v>
      </c>
      <c r="B2720" t="s">
        <v>359</v>
      </c>
      <c r="C2720" t="str" cm="1">
        <f t="array" ref="C2720">CleanText(B2720)</f>
        <v>thats perfect i am really like that video</v>
      </c>
      <c r="D2720">
        <v>0</v>
      </c>
      <c r="E2720">
        <v>0</v>
      </c>
      <c r="F2720" t="s">
        <v>10</v>
      </c>
      <c r="G2720" t="str" cm="1">
        <f t="array" ref="G2720">FindCountryName(F2720)</f>
        <v>None</v>
      </c>
      <c r="H2720" s="3">
        <v>45322.275659722225</v>
      </c>
      <c r="I2720" s="3">
        <v>45322.275659722225</v>
      </c>
      <c r="J2720" s="3">
        <v>43857.568171296298</v>
      </c>
      <c r="K2720" cm="1">
        <f t="array" ref="K2720">sentimentCalc(C2720)</f>
        <v>5</v>
      </c>
      <c r="L2720" t="str" cm="1">
        <f t="array" ref="L2720">sentimentCategory(K2720)</f>
        <v>Positive</v>
      </c>
    </row>
    <row r="2721" spans="1:12" x14ac:dyDescent="0.25">
      <c r="A2721" t="s">
        <v>696</v>
      </c>
      <c r="B2721" t="s">
        <v>697</v>
      </c>
      <c r="C2721" t="str" cm="1">
        <f t="array" ref="C2721">CleanText(B2721)</f>
        <v>thats the best movies ive watched in a long time it brought back nostalgia and im so glad patriarchy was adressed in such a fun but also serious way it was a perfect tribute to the iconic barbie doll and also a very touching pro women movie</v>
      </c>
      <c r="D2721">
        <v>0</v>
      </c>
      <c r="E2721">
        <v>0</v>
      </c>
      <c r="F2721" t="s">
        <v>10</v>
      </c>
      <c r="G2721" t="str" cm="1">
        <f t="array" ref="G2721">FindCountryName(F2721)</f>
        <v>None</v>
      </c>
      <c r="H2721" s="3">
        <v>45313.674988425926</v>
      </c>
      <c r="I2721" s="3">
        <v>45313.674988425926</v>
      </c>
      <c r="J2721" s="3">
        <v>43844.59171296296</v>
      </c>
      <c r="K2721" cm="1">
        <f t="array" ref="K2721">sentimentCalc(C2721)</f>
        <v>13</v>
      </c>
      <c r="L2721" t="str" cm="1">
        <f t="array" ref="L2721">sentimentCategory(K2721)</f>
        <v>Positive</v>
      </c>
    </row>
    <row r="2722" spans="1:12" x14ac:dyDescent="0.25">
      <c r="A2722" t="s">
        <v>2504</v>
      </c>
      <c r="B2722" t="s">
        <v>2505</v>
      </c>
      <c r="C2722" t="str" cm="1">
        <f t="array" ref="C2722">CleanText(B2722)</f>
        <v>the st time i watched it i found it weird so to be more open minded i watched it a nd time and wouawwwww what a masterpiece it is so overloaded by millions of subtilities in each sentences that i understand it much better and am able to totally appreciate it  it is either too advanced for older generations like mine who got brainwashed by those genders roles either misunderstand by younger generations who never felt oppressed this movie conclusion is what our futur should lead to no genders and no races neither should ever be considered as less equal doesnt mean similar equal just means you and me are just equally as important this movie is definitely a  unless you missed some of the deeper levels and perspectives</v>
      </c>
      <c r="D2722">
        <v>1</v>
      </c>
      <c r="E2722">
        <v>1</v>
      </c>
      <c r="F2722" t="s">
        <v>10</v>
      </c>
      <c r="G2722" t="str" cm="1">
        <f t="array" ref="G2722">FindCountryName(F2722)</f>
        <v>None</v>
      </c>
      <c r="H2722" s="3">
        <v>45164.863611111112</v>
      </c>
      <c r="I2722" s="3">
        <v>45164.863599537035</v>
      </c>
      <c r="J2722" s="3">
        <v>44007.693819444445</v>
      </c>
      <c r="K2722" cm="1">
        <f t="array" ref="K2722">sentimentCalc(C2722)</f>
        <v>1</v>
      </c>
      <c r="L2722" t="str" cm="1">
        <f t="array" ref="L2722">sentimentCategory(K2722)</f>
        <v>Positive</v>
      </c>
    </row>
    <row r="2723" spans="1:12" x14ac:dyDescent="0.25">
      <c r="A2723" t="s">
        <v>871</v>
      </c>
      <c r="B2723" t="s">
        <v>4145</v>
      </c>
      <c r="C2723" t="str" cm="1">
        <f t="array" ref="C2723">CleanText(B2723)</f>
        <v>the actress of barbie in this movie doesnt look so identical to the doll we all know she looks older and not so chick as the doll is with her proportions bust etc you could make a better choice especially that barbiestyle girls one can meet in every step on the streets she is very popular up untill now and many are doing surgeries to look like the doll of our youth years but ken is very identical the best ken ever</v>
      </c>
      <c r="D2723">
        <v>0</v>
      </c>
      <c r="E2723">
        <v>1</v>
      </c>
      <c r="F2723" t="s">
        <v>10</v>
      </c>
      <c r="G2723" t="str" cm="1">
        <f t="array" ref="G2723">FindCountryName(F2723)</f>
        <v>None</v>
      </c>
      <c r="H2723" s="3">
        <v>45142.566203703704</v>
      </c>
      <c r="I2723" s="3">
        <v>45142.566203703704</v>
      </c>
      <c r="J2723" s="3">
        <v>42543.159143518518</v>
      </c>
      <c r="K2723" cm="1">
        <f t="array" ref="K2723">sentimentCalc(C2723)</f>
        <v>10</v>
      </c>
      <c r="L2723" t="str" cm="1">
        <f t="array" ref="L2723">sentimentCategory(K2723)</f>
        <v>Positive</v>
      </c>
    </row>
    <row r="2724" spans="1:12" x14ac:dyDescent="0.25">
      <c r="A2724" t="s">
        <v>225</v>
      </c>
      <c r="B2724" t="s">
        <v>226</v>
      </c>
      <c r="C2724" t="str" cm="1">
        <f t="array" ref="C2724">CleanText(B2724)</f>
        <v>the amount of bot reviews on this makes it impossible to trust any of the potentially real reviews</v>
      </c>
      <c r="D2724">
        <v>0</v>
      </c>
      <c r="E2724">
        <v>0</v>
      </c>
      <c r="F2724" t="s">
        <v>227</v>
      </c>
      <c r="G2724" t="str" cm="1">
        <f t="array" ref="G2724">FindCountryName(F2724)</f>
        <v>United States of America (the)</v>
      </c>
      <c r="H2724" s="3">
        <v>45329.082870370374</v>
      </c>
      <c r="I2724" s="3">
        <v>45329.082870370374</v>
      </c>
      <c r="J2724" s="3">
        <v>41465.532314814816</v>
      </c>
      <c r="K2724" cm="1">
        <f t="array" ref="K2724">sentimentCalc(C2724)</f>
        <v>1</v>
      </c>
      <c r="L2724" t="str" cm="1">
        <f t="array" ref="L2724">sentimentCategory(K2724)</f>
        <v>Positive</v>
      </c>
    </row>
    <row r="2725" spans="1:12" x14ac:dyDescent="0.25">
      <c r="A2725" t="s">
        <v>3958</v>
      </c>
      <c r="B2725" t="s">
        <v>3959</v>
      </c>
      <c r="C2725" t="str" cm="1">
        <f t="array" ref="C2725">CleanText(B2725)</f>
        <v>the atomic bombings of hiroshima and nagasaki were indiscriminate genocide against unarmed civiliansthe us government still justifies the atomic bomb that the war ended with the atomic bomb but thats a complete liethere was no need for nuclear weapons or landing operations to end the war</v>
      </c>
      <c r="D2725">
        <v>5</v>
      </c>
      <c r="E2725">
        <v>7</v>
      </c>
      <c r="F2725" t="s">
        <v>10</v>
      </c>
      <c r="G2725" t="str" cm="1">
        <f t="array" ref="G2725">FindCountryName(F2725)</f>
        <v>None</v>
      </c>
      <c r="H2725" s="3">
        <v>45144.161365740743</v>
      </c>
      <c r="I2725" s="3">
        <v>45144.161365740743</v>
      </c>
      <c r="J2725" s="3">
        <v>41163.387025462966</v>
      </c>
      <c r="K2725" cm="1">
        <f t="array" ref="K2725">sentimentCalc(C2725)</f>
        <v>-7</v>
      </c>
      <c r="L2725" t="str" cm="1">
        <f t="array" ref="L2725">sentimentCategory(K2725)</f>
        <v>Negative</v>
      </c>
    </row>
    <row r="2726" spans="1:12" x14ac:dyDescent="0.25">
      <c r="A2726" t="s">
        <v>83</v>
      </c>
      <c r="B2726" t="s">
        <v>3130</v>
      </c>
      <c r="C2726" t="str" cm="1">
        <f t="array" ref="C2726">CleanText(B2726)</f>
        <v>the barbie house um nicki minaj made a song about umbar v and ice spice nicki minaj and ice spice i space me that phone too</v>
      </c>
      <c r="D2726">
        <v>0</v>
      </c>
      <c r="E2726">
        <v>0</v>
      </c>
      <c r="F2726" t="s">
        <v>10</v>
      </c>
      <c r="G2726" t="str" cm="1">
        <f t="array" ref="G2726">FindCountryName(F2726)</f>
        <v>None</v>
      </c>
      <c r="H2726" s="3">
        <v>45152.886805555558</v>
      </c>
      <c r="I2726" s="3">
        <v>45152.886805555558</v>
      </c>
      <c r="J2726" s="3">
        <v>44924.741157407407</v>
      </c>
      <c r="K2726" cm="1">
        <f t="array" ref="K2726">sentimentCalc(C2726)</f>
        <v>0</v>
      </c>
      <c r="L2726" t="str" cm="1">
        <f t="array" ref="L2726">sentimentCategory(K2726)</f>
        <v>Neutral</v>
      </c>
    </row>
    <row r="2727" spans="1:12" x14ac:dyDescent="0.25">
      <c r="A2727" t="s">
        <v>442</v>
      </c>
      <c r="B2727" t="s">
        <v>3719</v>
      </c>
      <c r="C2727" t="str" cm="1">
        <f t="array" ref="C2727">CleanText(B2727)</f>
        <v>the barbie is so real</v>
      </c>
      <c r="D2727">
        <v>0</v>
      </c>
      <c r="E2727">
        <v>0</v>
      </c>
      <c r="F2727" t="s">
        <v>10</v>
      </c>
      <c r="G2727" t="str" cm="1">
        <f t="array" ref="G2727">FindCountryName(F2727)</f>
        <v>None</v>
      </c>
      <c r="H2727" s="3">
        <v>45146.060277777775</v>
      </c>
      <c r="I2727" s="3">
        <v>45146.060277777775</v>
      </c>
      <c r="J2727" s="3">
        <v>44027.68310185185</v>
      </c>
      <c r="K2727" cm="1">
        <f t="array" ref="K2727">sentimentCalc(C2727)</f>
        <v>0</v>
      </c>
      <c r="L2727" t="str" cm="1">
        <f t="array" ref="L2727">sentimentCategory(K2727)</f>
        <v>Neutral</v>
      </c>
    </row>
    <row r="2728" spans="1:12" x14ac:dyDescent="0.25">
      <c r="A2728" t="s">
        <v>311</v>
      </c>
      <c r="B2728" t="s">
        <v>2003</v>
      </c>
      <c r="C2728" t="str" cm="1">
        <f t="array" ref="C2728">CleanText(B2728)</f>
        <v>the barbie movie in one word manipulative sadly hollyweird and big corporations are always trying to control the masses this movie was made to control how young boys and girls think hopefully those youth wont fall for the blatant bs cheers barbie</v>
      </c>
      <c r="D2728">
        <v>0</v>
      </c>
      <c r="E2728">
        <v>2</v>
      </c>
      <c r="F2728" t="s">
        <v>10</v>
      </c>
      <c r="G2728" t="str" cm="1">
        <f t="array" ref="G2728">FindCountryName(F2728)</f>
        <v>None</v>
      </c>
      <c r="H2728" s="3">
        <v>45184.885428240741</v>
      </c>
      <c r="I2728" s="3">
        <v>45184.885428240741</v>
      </c>
      <c r="J2728" s="3">
        <v>44426.366562499999</v>
      </c>
      <c r="K2728" cm="1">
        <f t="array" ref="K2728">sentimentCalc(C2728)</f>
        <v>3</v>
      </c>
      <c r="L2728" t="str" cm="1">
        <f t="array" ref="L2728">sentimentCategory(K2728)</f>
        <v>Positive</v>
      </c>
    </row>
    <row r="2729" spans="1:12" x14ac:dyDescent="0.25">
      <c r="A2729" t="s">
        <v>83</v>
      </c>
      <c r="B2729" t="s">
        <v>3899</v>
      </c>
      <c r="C2729" t="str" cm="1">
        <f t="array" ref="C2729">CleanText(B2729)</f>
        <v>the barbie movie is overrated love the actors but it just wasnt funny and borderline boring</v>
      </c>
      <c r="D2729">
        <v>2</v>
      </c>
      <c r="E2729">
        <v>1</v>
      </c>
      <c r="F2729" t="s">
        <v>10</v>
      </c>
      <c r="G2729" t="str" cm="1">
        <f t="array" ref="G2729">FindCountryName(F2729)</f>
        <v>None</v>
      </c>
      <c r="H2729" s="3">
        <v>45144.631122685183</v>
      </c>
      <c r="I2729" s="3">
        <v>45144.631122685183</v>
      </c>
      <c r="J2729" s="3">
        <v>44240.397083333337</v>
      </c>
      <c r="K2729" cm="1">
        <f t="array" ref="K2729">sentimentCalc(C2729)</f>
        <v>4</v>
      </c>
      <c r="L2729" t="str" cm="1">
        <f t="array" ref="L2729">sentimentCategory(K2729)</f>
        <v>Positive</v>
      </c>
    </row>
    <row r="2730" spans="1:12" x14ac:dyDescent="0.25">
      <c r="A2730" t="s">
        <v>114</v>
      </c>
      <c r="B2730" t="s">
        <v>3825</v>
      </c>
      <c r="C2730" t="str" cm="1">
        <f t="array" ref="C2730">CleanText(B2730)</f>
        <v>the best movie</v>
      </c>
      <c r="D2730">
        <v>0</v>
      </c>
      <c r="E2730">
        <v>0</v>
      </c>
      <c r="F2730" t="s">
        <v>10</v>
      </c>
      <c r="G2730" t="str" cm="1">
        <f t="array" ref="G2730">FindCountryName(F2730)</f>
        <v>None</v>
      </c>
      <c r="H2730" s="3">
        <v>45145.252696759257</v>
      </c>
      <c r="I2730" s="3">
        <v>45145.252696759257</v>
      </c>
      <c r="J2730" s="3">
        <v>44756.970879629633</v>
      </c>
      <c r="K2730" cm="1">
        <f t="array" ref="K2730">sentimentCalc(C2730)</f>
        <v>3</v>
      </c>
      <c r="L2730" t="str" cm="1">
        <f t="array" ref="L2730">sentimentCategory(K2730)</f>
        <v>Positive</v>
      </c>
    </row>
    <row r="2731" spans="1:12" x14ac:dyDescent="0.25">
      <c r="A2731" t="s">
        <v>955</v>
      </c>
      <c r="B2731" t="s">
        <v>2512</v>
      </c>
      <c r="C2731" t="str" cm="1">
        <f t="array" ref="C2731">CleanText(B2731)</f>
        <v>the best part is margot robbie really does look like barbie come to life</v>
      </c>
      <c r="D2731">
        <v>4</v>
      </c>
      <c r="E2731">
        <v>3</v>
      </c>
      <c r="F2731" t="s">
        <v>10</v>
      </c>
      <c r="G2731" t="str" cm="1">
        <f t="array" ref="G2731">FindCountryName(F2731)</f>
        <v>None</v>
      </c>
      <c r="H2731" s="3">
        <v>45164.715011574073</v>
      </c>
      <c r="I2731" s="3">
        <v>45164.714999999997</v>
      </c>
      <c r="J2731" s="3">
        <v>41627.69085648148</v>
      </c>
      <c r="K2731" cm="1">
        <f t="array" ref="K2731">sentimentCalc(C2731)</f>
        <v>5</v>
      </c>
      <c r="L2731" t="str" cm="1">
        <f t="array" ref="L2731">sentimentCategory(K2731)</f>
        <v>Positive</v>
      </c>
    </row>
    <row r="2732" spans="1:12" x14ac:dyDescent="0.25">
      <c r="A2732" t="s">
        <v>541</v>
      </c>
      <c r="B2732" t="s">
        <v>3037</v>
      </c>
      <c r="C2732" t="str" cm="1">
        <f t="array" ref="C2732">CleanText(B2732)</f>
        <v>the best</v>
      </c>
      <c r="D2732">
        <v>0</v>
      </c>
      <c r="E2732">
        <v>0</v>
      </c>
      <c r="F2732" t="s">
        <v>10</v>
      </c>
      <c r="G2732" t="str" cm="1">
        <f t="array" ref="G2732">FindCountryName(F2732)</f>
        <v>None</v>
      </c>
      <c r="H2732" s="3">
        <v>45154.275567129633</v>
      </c>
      <c r="I2732" s="3">
        <v>45154.275567129633</v>
      </c>
      <c r="J2732" s="3">
        <v>44447.373749999999</v>
      </c>
      <c r="K2732" cm="1">
        <f t="array" ref="K2732">sentimentCalc(C2732)</f>
        <v>3</v>
      </c>
      <c r="L2732" t="str" cm="1">
        <f t="array" ref="L2732">sentimentCategory(K2732)</f>
        <v>Positive</v>
      </c>
    </row>
    <row r="2733" spans="1:12" x14ac:dyDescent="0.25">
      <c r="A2733" t="s">
        <v>453</v>
      </c>
      <c r="B2733" t="s">
        <v>2960</v>
      </c>
      <c r="C2733" t="str" cm="1">
        <f t="array" ref="C2733">CleanText(B2733)</f>
        <v>the brain dead barbie idiots will love this piece of gender propaganda</v>
      </c>
      <c r="D2733">
        <v>0</v>
      </c>
      <c r="E2733">
        <v>4</v>
      </c>
      <c r="F2733" t="s">
        <v>10</v>
      </c>
      <c r="G2733" t="str" cm="1">
        <f t="array" ref="G2733">FindCountryName(F2733)</f>
        <v>None</v>
      </c>
      <c r="H2733" s="3">
        <v>45155.428310185183</v>
      </c>
      <c r="I2733" s="3">
        <v>45155.428310185183</v>
      </c>
      <c r="J2733" s="3">
        <v>44336.625289351854</v>
      </c>
      <c r="K2733" cm="1">
        <f t="array" ref="K2733">sentimentCalc(C2733)</f>
        <v>-2</v>
      </c>
      <c r="L2733" t="str" cm="1">
        <f t="array" ref="L2733">sentimentCategory(K2733)</f>
        <v>Negative</v>
      </c>
    </row>
    <row r="2734" spans="1:12" x14ac:dyDescent="0.25">
      <c r="A2734" t="s">
        <v>2971</v>
      </c>
      <c r="B2734" t="s">
        <v>2973</v>
      </c>
      <c r="C2734" t="str" cm="1">
        <f t="array" ref="C2734">CleanText(B2734)</f>
        <v>the butt part</v>
      </c>
      <c r="D2734">
        <v>0</v>
      </c>
      <c r="E2734">
        <v>2</v>
      </c>
      <c r="F2734" t="s">
        <v>10</v>
      </c>
      <c r="G2734" t="str" cm="1">
        <f t="array" ref="G2734">FindCountryName(F2734)</f>
        <v>None</v>
      </c>
      <c r="H2734" s="3">
        <v>45155.084814814814</v>
      </c>
      <c r="I2734" s="3">
        <v>45155.084803240738</v>
      </c>
      <c r="J2734" s="3">
        <v>45113.913171296299</v>
      </c>
      <c r="K2734" cm="1">
        <f t="array" ref="K2734">sentimentCalc(C2734)</f>
        <v>0</v>
      </c>
      <c r="L2734" t="str" cm="1">
        <f t="array" ref="L2734">sentimentCategory(K2734)</f>
        <v>Neutral</v>
      </c>
    </row>
    <row r="2735" spans="1:12" x14ac:dyDescent="0.25">
      <c r="A2735" t="s">
        <v>342</v>
      </c>
      <c r="B2735" t="s">
        <v>343</v>
      </c>
      <c r="C2735" t="str" cm="1">
        <f t="array" ref="C2735">CleanText(B2735)</f>
        <v>the clip is great congratulations it is very well thought out thank you</v>
      </c>
      <c r="D2735">
        <v>0</v>
      </c>
      <c r="E2735">
        <v>0</v>
      </c>
      <c r="F2735" t="s">
        <v>10</v>
      </c>
      <c r="G2735" t="str" cm="1">
        <f t="array" ref="G2735">FindCountryName(F2735)</f>
        <v>None</v>
      </c>
      <c r="H2735" s="3">
        <v>45322.279085648152</v>
      </c>
      <c r="I2735" s="3">
        <v>45322.279085648152</v>
      </c>
      <c r="J2735" s="3">
        <v>44014.65121527778</v>
      </c>
      <c r="K2735" cm="1">
        <f t="array" ref="K2735">sentimentCalc(C2735)</f>
        <v>7</v>
      </c>
      <c r="L2735" t="str" cm="1">
        <f t="array" ref="L2735">sentimentCategory(K2735)</f>
        <v>Positive</v>
      </c>
    </row>
    <row r="2736" spans="1:12" x14ac:dyDescent="0.25">
      <c r="A2736" t="s">
        <v>566</v>
      </c>
      <c r="B2736" t="s">
        <v>2621</v>
      </c>
      <c r="C2736" t="str" cm="1">
        <f t="array" ref="C2736">CleanText(B2736)</f>
        <v>the devil came out with the movie</v>
      </c>
      <c r="D2736">
        <v>0</v>
      </c>
      <c r="E2736">
        <v>0</v>
      </c>
      <c r="F2736" t="s">
        <v>10</v>
      </c>
      <c r="G2736" t="str" cm="1">
        <f t="array" ref="G2736">FindCountryName(F2736)</f>
        <v>None</v>
      </c>
      <c r="H2736" s="3">
        <v>45161.638842592591</v>
      </c>
      <c r="I2736" s="3">
        <v>45161.638842592591</v>
      </c>
      <c r="J2736" s="3">
        <v>43360.565532407411</v>
      </c>
      <c r="K2736" cm="1">
        <f t="array" ref="K2736">sentimentCalc(C2736)</f>
        <v>0</v>
      </c>
      <c r="L2736" t="str" cm="1">
        <f t="array" ref="L2736">sentimentCategory(K2736)</f>
        <v>Neutral</v>
      </c>
    </row>
    <row r="2737" spans="1:12" x14ac:dyDescent="0.25">
      <c r="A2737" t="s">
        <v>1328</v>
      </c>
      <c r="B2737" t="s">
        <v>3240</v>
      </c>
      <c r="C2737" t="str" cm="1">
        <f t="array" ref="C2737">CleanText(B2737)</f>
        <v>the devil movie itself they wash your minds with everything dirty</v>
      </c>
      <c r="D2737">
        <v>4</v>
      </c>
      <c r="E2737">
        <v>0</v>
      </c>
      <c r="F2737" t="s">
        <v>10</v>
      </c>
      <c r="G2737" t="str" cm="1">
        <f t="array" ref="G2737">FindCountryName(F2737)</f>
        <v>None</v>
      </c>
      <c r="H2737" s="3">
        <v>45151.44736111111</v>
      </c>
      <c r="I2737" s="3">
        <v>45151.44736111111</v>
      </c>
      <c r="J2737" s="3">
        <v>44980.92046296296</v>
      </c>
      <c r="K2737" cm="1">
        <f t="array" ref="K2737">sentimentCalc(C2737)</f>
        <v>-2</v>
      </c>
      <c r="L2737" t="str" cm="1">
        <f t="array" ref="L2737">sentimentCategory(K2737)</f>
        <v>Negative</v>
      </c>
    </row>
    <row r="2738" spans="1:12" x14ac:dyDescent="0.25">
      <c r="A2738" t="s">
        <v>1569</v>
      </c>
      <c r="B2738" t="s">
        <v>3304</v>
      </c>
      <c r="C2738" t="str" cm="1">
        <f t="array" ref="C2738">CleanText(B2738)</f>
        <v>the director of this movie should finish in prison till the rest of her life how can someone make such a retardet movie</v>
      </c>
      <c r="D2738">
        <v>3</v>
      </c>
      <c r="E2738">
        <v>1</v>
      </c>
      <c r="F2738" t="s">
        <v>3305</v>
      </c>
      <c r="G2738" t="str" cm="1">
        <f t="array" ref="G2738">FindCountryName(F2738)</f>
        <v>Croatia</v>
      </c>
      <c r="H2738" s="3">
        <v>45150.509351851855</v>
      </c>
      <c r="I2738" s="3">
        <v>45150.509351851855</v>
      </c>
      <c r="J2738" s="3">
        <v>39174.677210648151</v>
      </c>
      <c r="K2738" cm="1">
        <f t="array" ref="K2738">sentimentCalc(C2738)</f>
        <v>-2</v>
      </c>
      <c r="L2738" t="str" cm="1">
        <f t="array" ref="L2738">sentimentCategory(K2738)</f>
        <v>Negative</v>
      </c>
    </row>
    <row r="2739" spans="1:12" x14ac:dyDescent="0.25">
      <c r="A2739" t="s">
        <v>90</v>
      </c>
      <c r="B2739" t="s">
        <v>4133</v>
      </c>
      <c r="C2739" t="str" cm="1">
        <f t="array" ref="C2739">CleanText(B2739)</f>
        <v>the dumbest film ever</v>
      </c>
      <c r="D2739">
        <v>2</v>
      </c>
      <c r="E2739">
        <v>0</v>
      </c>
      <c r="F2739" t="s">
        <v>10</v>
      </c>
      <c r="G2739" t="str" cm="1">
        <f t="array" ref="G2739">FindCountryName(F2739)</f>
        <v>None</v>
      </c>
      <c r="H2739" s="3">
        <v>45142.614965277775</v>
      </c>
      <c r="I2739" s="3">
        <v>45142.614965277775</v>
      </c>
      <c r="J2739" s="3">
        <v>43609.609525462962</v>
      </c>
      <c r="K2739" cm="1">
        <f t="array" ref="K2739">sentimentCalc(C2739)</f>
        <v>0</v>
      </c>
      <c r="L2739" t="str" cm="1">
        <f t="array" ref="L2739">sentimentCategory(K2739)</f>
        <v>Neutral</v>
      </c>
    </row>
    <row r="2740" spans="1:12" x14ac:dyDescent="0.25">
      <c r="A2740" t="s">
        <v>256</v>
      </c>
      <c r="B2740" t="s">
        <v>3748</v>
      </c>
      <c r="C2740" t="str" cm="1">
        <f t="array" ref="C2740">CleanText(B2740)</f>
        <v>the end of western civilization will be at the hands of hollywood ugly films that reflect the corrupt and perverted thought in the minds of directors</v>
      </c>
      <c r="D2740">
        <v>4</v>
      </c>
      <c r="E2740">
        <v>0</v>
      </c>
      <c r="F2740" t="s">
        <v>10</v>
      </c>
      <c r="G2740" t="str" cm="1">
        <f t="array" ref="G2740">FindCountryName(F2740)</f>
        <v>None</v>
      </c>
      <c r="H2740" s="3">
        <v>45145.740439814814</v>
      </c>
      <c r="I2740" s="3">
        <v>45145.740439814814</v>
      </c>
      <c r="J2740" s="3">
        <v>43887.556620370371</v>
      </c>
      <c r="K2740" cm="1">
        <f t="array" ref="K2740">sentimentCalc(C2740)</f>
        <v>-3</v>
      </c>
      <c r="L2740" t="str" cm="1">
        <f t="array" ref="L2740">sentimentCategory(K2740)</f>
        <v>Negative</v>
      </c>
    </row>
    <row r="2741" spans="1:12" x14ac:dyDescent="0.25">
      <c r="A2741" t="s">
        <v>878</v>
      </c>
      <c r="B2741" t="s">
        <v>2150</v>
      </c>
      <c r="C2741" t="str" cm="1">
        <f t="array" ref="C2741">CleanText(B2741)</f>
        <v>the ending was terribleall that work to remind you that every body dieshow depressing keep it light for the optimism</v>
      </c>
      <c r="D2741">
        <v>0</v>
      </c>
      <c r="E2741">
        <v>3</v>
      </c>
      <c r="F2741" t="s">
        <v>10</v>
      </c>
      <c r="G2741" t="str" cm="1">
        <f t="array" ref="G2741">FindCountryName(F2741)</f>
        <v>None</v>
      </c>
      <c r="H2741" s="3">
        <v>45178.01059027778</v>
      </c>
      <c r="I2741" s="3">
        <v>45178.01059027778</v>
      </c>
      <c r="J2741" s="3">
        <v>41828.774942129632</v>
      </c>
      <c r="K2741" cm="1">
        <f t="array" ref="K2741">sentimentCalc(C2741)</f>
        <v>0</v>
      </c>
      <c r="L2741" t="str" cm="1">
        <f t="array" ref="L2741">sentimentCategory(K2741)</f>
        <v>Neutral</v>
      </c>
    </row>
    <row r="2742" spans="1:12" x14ac:dyDescent="0.25">
      <c r="A2742" t="s">
        <v>1100</v>
      </c>
      <c r="B2742" t="s">
        <v>1666</v>
      </c>
      <c r="C2742" t="str" cm="1">
        <f t="array" ref="C2742">CleanText(B2742)</f>
        <v>the face of barbie looks like harly quin</v>
      </c>
      <c r="D2742">
        <v>1</v>
      </c>
      <c r="E2742">
        <v>1</v>
      </c>
      <c r="F2742" t="s">
        <v>10</v>
      </c>
      <c r="G2742" t="str" cm="1">
        <f t="array" ref="G2742">FindCountryName(F2742)</f>
        <v>None</v>
      </c>
      <c r="H2742" s="3">
        <v>45204.124201388891</v>
      </c>
      <c r="I2742" s="3">
        <v>45204.124201388891</v>
      </c>
      <c r="J2742" s="3">
        <v>41849.766504629632</v>
      </c>
      <c r="K2742" cm="1">
        <f t="array" ref="K2742">sentimentCalc(C2742)</f>
        <v>2</v>
      </c>
      <c r="L2742" t="str" cm="1">
        <f t="array" ref="L2742">sentimentCategory(K2742)</f>
        <v>Positive</v>
      </c>
    </row>
    <row r="2743" spans="1:12" x14ac:dyDescent="0.25">
      <c r="A2743" t="s">
        <v>1891</v>
      </c>
      <c r="B2743" t="s">
        <v>4296</v>
      </c>
      <c r="C2743" t="str" cm="1">
        <f t="array" ref="C2743">CleanText(B2743)</f>
        <v>the fact that he slapped her and she punched him and she got in jail</v>
      </c>
      <c r="D2743">
        <v>2</v>
      </c>
      <c r="E2743">
        <v>0</v>
      </c>
      <c r="F2743" t="s">
        <v>10</v>
      </c>
      <c r="G2743" t="str" cm="1">
        <f t="array" ref="G2743">FindCountryName(F2743)</f>
        <v>None</v>
      </c>
      <c r="H2743" s="3">
        <v>45141.14738425926</v>
      </c>
      <c r="I2743" s="3">
        <v>45141.14738425926</v>
      </c>
      <c r="J2743" s="3">
        <v>45114.954270833332</v>
      </c>
      <c r="K2743" cm="1">
        <f t="array" ref="K2743">sentimentCalc(C2743)</f>
        <v>0</v>
      </c>
      <c r="L2743" t="str" cm="1">
        <f t="array" ref="L2743">sentimentCategory(K2743)</f>
        <v>Neutral</v>
      </c>
    </row>
    <row r="2744" spans="1:12" x14ac:dyDescent="0.25">
      <c r="A2744" t="s">
        <v>300</v>
      </c>
      <c r="B2744" t="s">
        <v>3027</v>
      </c>
      <c r="C2744" t="str" cm="1">
        <f t="array" ref="C2744">CleanText(B2744)</f>
        <v>the fact that margot robbie played as harley quinn and now barbie</v>
      </c>
      <c r="D2744">
        <v>0</v>
      </c>
      <c r="E2744">
        <v>0</v>
      </c>
      <c r="F2744" t="s">
        <v>10</v>
      </c>
      <c r="G2744" t="str" cm="1">
        <f t="array" ref="G2744">FindCountryName(F2744)</f>
        <v>None</v>
      </c>
      <c r="H2744" s="3">
        <v>45154.329467592594</v>
      </c>
      <c r="I2744" s="3">
        <v>45154.329467592594</v>
      </c>
      <c r="J2744" s="3">
        <v>44605.318425925929</v>
      </c>
      <c r="K2744" cm="1">
        <f t="array" ref="K2744">sentimentCalc(C2744)</f>
        <v>0</v>
      </c>
      <c r="L2744" t="str" cm="1">
        <f t="array" ref="L2744">sentimentCategory(K2744)</f>
        <v>Neutral</v>
      </c>
    </row>
    <row r="2745" spans="1:12" x14ac:dyDescent="0.25">
      <c r="A2745" t="s">
        <v>3394</v>
      </c>
      <c r="B2745" t="s">
        <v>3395</v>
      </c>
      <c r="C2745" t="str" cm="1">
        <f t="array" ref="C2745">CleanText(B2745)</f>
        <v>the fact that some parents were whining about the trailers making it seem like a childrens movie really tells a lot about the absolute state of media literacy</v>
      </c>
      <c r="D2745">
        <v>0</v>
      </c>
      <c r="E2745">
        <v>0</v>
      </c>
      <c r="F2745" t="s">
        <v>10</v>
      </c>
      <c r="G2745" t="str" cm="1">
        <f t="array" ref="G2745">FindCountryName(F2745)</f>
        <v>None</v>
      </c>
      <c r="H2745" s="3">
        <v>45149.325902777775</v>
      </c>
      <c r="I2745" s="3">
        <v>45149.325902777775</v>
      </c>
      <c r="J2745" s="3">
        <v>40198.375856481478</v>
      </c>
      <c r="K2745" cm="1">
        <f t="array" ref="K2745">sentimentCalc(C2745)</f>
        <v>2</v>
      </c>
      <c r="L2745" t="str" cm="1">
        <f t="array" ref="L2745">sentimentCategory(K2745)</f>
        <v>Positive</v>
      </c>
    </row>
    <row r="2746" spans="1:12" x14ac:dyDescent="0.25">
      <c r="A2746" t="s">
        <v>256</v>
      </c>
      <c r="B2746" t="s">
        <v>2755</v>
      </c>
      <c r="C2746" t="str" cm="1">
        <f t="array" ref="C2746">CleanText(B2746)</f>
        <v>the fact that this video has  million viewsvery sus huh</v>
      </c>
      <c r="D2746">
        <v>1</v>
      </c>
      <c r="E2746">
        <v>0</v>
      </c>
      <c r="F2746" t="s">
        <v>10</v>
      </c>
      <c r="G2746" t="str" cm="1">
        <f t="array" ref="G2746">FindCountryName(F2746)</f>
        <v>None</v>
      </c>
      <c r="H2746" s="3">
        <v>45158.484618055554</v>
      </c>
      <c r="I2746" s="3">
        <v>45158.61577546296</v>
      </c>
      <c r="J2746" s="3">
        <v>44294.231423611112</v>
      </c>
      <c r="K2746" cm="1">
        <f t="array" ref="K2746">sentimentCalc(C2746)</f>
        <v>0</v>
      </c>
      <c r="L2746" t="str" cm="1">
        <f t="array" ref="L2746">sentimentCategory(K2746)</f>
        <v>Neutral</v>
      </c>
    </row>
    <row r="2747" spans="1:12" x14ac:dyDescent="0.25">
      <c r="A2747" t="s">
        <v>4002</v>
      </c>
      <c r="B2747" t="s">
        <v>4003</v>
      </c>
      <c r="C2747" t="str" cm="1">
        <f t="array" ref="C2747">CleanText(B2747)</f>
        <v>the fact that we have deadpool and harley quinn playing barbie characters is so unironically canon</v>
      </c>
      <c r="D2747">
        <v>0</v>
      </c>
      <c r="E2747">
        <v>2</v>
      </c>
      <c r="F2747" t="s">
        <v>10</v>
      </c>
      <c r="G2747" t="str" cm="1">
        <f t="array" ref="G2747">FindCountryName(F2747)</f>
        <v>None</v>
      </c>
      <c r="H2747" s="3">
        <v>45143.815995370373</v>
      </c>
      <c r="I2747" s="3">
        <v>45143.815995370373</v>
      </c>
      <c r="J2747" s="3">
        <v>44238.866539351853</v>
      </c>
      <c r="K2747" cm="1">
        <f t="array" ref="K2747">sentimentCalc(C2747)</f>
        <v>0</v>
      </c>
      <c r="L2747" t="str" cm="1">
        <f t="array" ref="L2747">sentimentCategory(K2747)</f>
        <v>Neutral</v>
      </c>
    </row>
    <row r="2748" spans="1:12" x14ac:dyDescent="0.25">
      <c r="A2748" t="s">
        <v>118</v>
      </c>
      <c r="B2748" t="s">
        <v>729</v>
      </c>
      <c r="C2748" t="str" cm="1">
        <f t="array" ref="C2748">CleanText(B2748)</f>
        <v>the film has drawn attention to a lot of things which is promising for an awareness  it is recommendedthe film has drawn attention to a lot of things which is promising for an awareness  it is recommended</v>
      </c>
      <c r="D2748">
        <v>0</v>
      </c>
      <c r="E2748">
        <v>0</v>
      </c>
      <c r="F2748" t="s">
        <v>10</v>
      </c>
      <c r="G2748" t="str" cm="1">
        <f t="array" ref="G2748">FindCountryName(F2748)</f>
        <v>None</v>
      </c>
      <c r="H2748" s="3">
        <v>45310.269282407404</v>
      </c>
      <c r="I2748" s="3">
        <v>45310.269282407404</v>
      </c>
      <c r="J2748" s="3">
        <v>41431.800451388888</v>
      </c>
      <c r="K2748" cm="1">
        <f t="array" ref="K2748">sentimentCalc(C2748)</f>
        <v>2</v>
      </c>
      <c r="L2748" t="str" cm="1">
        <f t="array" ref="L2748">sentimentCategory(K2748)</f>
        <v>Positive</v>
      </c>
    </row>
    <row r="2749" spans="1:12" x14ac:dyDescent="0.25">
      <c r="A2749" t="s">
        <v>4172</v>
      </c>
      <c r="B2749" t="s">
        <v>4173</v>
      </c>
      <c r="C2749" t="str" cm="1">
        <f t="array" ref="C2749">CleanText(B2749)</f>
        <v>the first mins of the movie is fantasic but the rest is rubbish</v>
      </c>
      <c r="D2749">
        <v>4</v>
      </c>
      <c r="E2749">
        <v>0</v>
      </c>
      <c r="F2749" t="s">
        <v>10</v>
      </c>
      <c r="G2749" t="str" cm="1">
        <f t="array" ref="G2749">FindCountryName(F2749)</f>
        <v>None</v>
      </c>
      <c r="H2749" s="3">
        <v>45142.302986111114</v>
      </c>
      <c r="I2749" s="3">
        <v>45142.303622685184</v>
      </c>
      <c r="J2749" s="3">
        <v>44649.211192129631</v>
      </c>
      <c r="K2749" cm="1">
        <f t="array" ref="K2749">sentimentCalc(C2749)</f>
        <v>0</v>
      </c>
      <c r="L2749" t="str" cm="1">
        <f t="array" ref="L2749">sentimentCategory(K2749)</f>
        <v>Neutral</v>
      </c>
    </row>
    <row r="2750" spans="1:12" x14ac:dyDescent="0.25">
      <c r="A2750" t="s">
        <v>197</v>
      </c>
      <c r="B2750" t="s">
        <v>1269</v>
      </c>
      <c r="C2750" t="str" cm="1">
        <f t="array" ref="C2750">CleanText(B2750)</f>
        <v>the first one the high heel cant even live up to her fake title of ascending everyone</v>
      </c>
      <c r="D2750">
        <v>0</v>
      </c>
      <c r="E2750">
        <v>0</v>
      </c>
      <c r="F2750" t="s">
        <v>10</v>
      </c>
      <c r="G2750" t="str" cm="1">
        <f t="array" ref="G2750">FindCountryName(F2750)</f>
        <v>None</v>
      </c>
      <c r="H2750" s="3">
        <v>45262.006076388891</v>
      </c>
      <c r="I2750" s="3">
        <v>45262.006076388891</v>
      </c>
      <c r="J2750" s="3">
        <v>42324.555393518516</v>
      </c>
      <c r="K2750" cm="1">
        <f t="array" ref="K2750">sentimentCalc(C2750)</f>
        <v>-3</v>
      </c>
      <c r="L2750" t="str" cm="1">
        <f t="array" ref="L2750">sentimentCategory(K2750)</f>
        <v>Negative</v>
      </c>
    </row>
    <row r="2751" spans="1:12" x14ac:dyDescent="0.25">
      <c r="A2751" t="s">
        <v>66</v>
      </c>
      <c r="B2751" t="s">
        <v>2136</v>
      </c>
      <c r="C2751" t="str" cm="1">
        <f t="array" ref="C2751">CleanText(B2751)</f>
        <v>the first scene is ask your mother about being woman sad poor young people without god</v>
      </c>
      <c r="D2751">
        <v>1</v>
      </c>
      <c r="E2751">
        <v>1</v>
      </c>
      <c r="F2751" t="s">
        <v>10</v>
      </c>
      <c r="G2751" t="str" cm="1">
        <f t="array" ref="G2751">FindCountryName(F2751)</f>
        <v>None</v>
      </c>
      <c r="H2751" s="3">
        <v>45179.050104166665</v>
      </c>
      <c r="I2751" s="3">
        <v>45179.050104166665</v>
      </c>
      <c r="J2751" s="3">
        <v>42892.502500000002</v>
      </c>
      <c r="K2751" cm="1">
        <f t="array" ref="K2751">sentimentCalc(C2751)</f>
        <v>-3</v>
      </c>
      <c r="L2751" t="str" cm="1">
        <f t="array" ref="L2751">sentimentCategory(K2751)</f>
        <v>Negative</v>
      </c>
    </row>
    <row r="2752" spans="1:12" x14ac:dyDescent="0.25">
      <c r="A2752" t="s">
        <v>2786</v>
      </c>
      <c r="B2752" t="s">
        <v>2787</v>
      </c>
      <c r="C2752" t="str" cm="1">
        <f t="array" ref="C2752">CleanText(B2752)</f>
        <v>the foot</v>
      </c>
      <c r="D2752">
        <v>1</v>
      </c>
      <c r="E2752">
        <v>0</v>
      </c>
      <c r="F2752" t="s">
        <v>10</v>
      </c>
      <c r="G2752" t="str" cm="1">
        <f t="array" ref="G2752">FindCountryName(F2752)</f>
        <v>None</v>
      </c>
      <c r="H2752" s="3">
        <v>45157.93546296296</v>
      </c>
      <c r="I2752" s="3">
        <v>45157.93546296296</v>
      </c>
      <c r="J2752" s="3">
        <v>40015.129386574074</v>
      </c>
      <c r="K2752" cm="1">
        <f t="array" ref="K2752">sentimentCalc(C2752)</f>
        <v>0</v>
      </c>
      <c r="L2752" t="str" cm="1">
        <f t="array" ref="L2752">sentimentCategory(K2752)</f>
        <v>Neutral</v>
      </c>
    </row>
    <row r="2753" spans="1:12" x14ac:dyDescent="0.25">
      <c r="A2753" t="s">
        <v>225</v>
      </c>
      <c r="B2753" t="s">
        <v>4054</v>
      </c>
      <c r="C2753" t="str" cm="1">
        <f t="array" ref="C2753">CleanText(B2753)</f>
        <v>the funniest part was the flat feet</v>
      </c>
      <c r="D2753">
        <v>0</v>
      </c>
      <c r="E2753">
        <v>0</v>
      </c>
      <c r="F2753" t="s">
        <v>10</v>
      </c>
      <c r="G2753" t="str" cm="1">
        <f t="array" ref="G2753">FindCountryName(F2753)</f>
        <v>None</v>
      </c>
      <c r="H2753" s="3">
        <v>45143.374155092592</v>
      </c>
      <c r="I2753" s="3">
        <v>45143.374155092592</v>
      </c>
      <c r="J2753" s="3">
        <v>43912.230856481481</v>
      </c>
      <c r="K2753" cm="1">
        <f t="array" ref="K2753">sentimentCalc(C2753)</f>
        <v>0</v>
      </c>
      <c r="L2753" t="str" cm="1">
        <f t="array" ref="L2753">sentimentCategory(K2753)</f>
        <v>Neutral</v>
      </c>
    </row>
    <row r="2754" spans="1:12" x14ac:dyDescent="0.25">
      <c r="A2754" t="s">
        <v>1237</v>
      </c>
      <c r="B2754" t="s">
        <v>1238</v>
      </c>
      <c r="C2754" t="str" cm="1">
        <f t="array" ref="C2754">CleanText(B2754)</f>
        <v>the funny thing is this is an reverse isekai movie</v>
      </c>
      <c r="D2754">
        <v>0</v>
      </c>
      <c r="E2754">
        <v>0</v>
      </c>
      <c r="F2754" t="s">
        <v>10</v>
      </c>
      <c r="G2754" t="str" cm="1">
        <f t="array" ref="G2754">FindCountryName(F2754)</f>
        <v>None</v>
      </c>
      <c r="H2754" s="3">
        <v>45272.73505787037</v>
      </c>
      <c r="I2754" s="3">
        <v>45272.735266203701</v>
      </c>
      <c r="J2754" s="3">
        <v>45049.360254629632</v>
      </c>
      <c r="K2754" cm="1">
        <f t="array" ref="K2754">sentimentCalc(C2754)</f>
        <v>4</v>
      </c>
      <c r="L2754" t="str" cm="1">
        <f t="array" ref="L2754">sentimentCategory(K2754)</f>
        <v>Positive</v>
      </c>
    </row>
    <row r="2755" spans="1:12" x14ac:dyDescent="0.25">
      <c r="A2755" t="s">
        <v>38</v>
      </c>
      <c r="B2755" t="s">
        <v>2879</v>
      </c>
      <c r="C2755" t="str" cm="1">
        <f t="array" ref="C2755">CleanText(B2755)</f>
        <v>the goal of herd immunity throughout the world has been achieved  just like the vaccines this movie may have duped the entire world  a billion dollars at the box office  all over a doll  just like the vaccines i will pass on this movie</v>
      </c>
      <c r="D2755">
        <v>0</v>
      </c>
      <c r="E2755">
        <v>3</v>
      </c>
      <c r="F2755" t="s">
        <v>10</v>
      </c>
      <c r="G2755" t="str" cm="1">
        <f t="array" ref="G2755">FindCountryName(F2755)</f>
        <v>None</v>
      </c>
      <c r="H2755" s="3">
        <v>45156.511516203704</v>
      </c>
      <c r="I2755" s="3">
        <v>45156.511516203704</v>
      </c>
      <c r="J2755" s="3">
        <v>44272.721099537041</v>
      </c>
      <c r="K2755" cm="1">
        <f t="array" ref="K2755">sentimentCalc(C2755)</f>
        <v>2</v>
      </c>
      <c r="L2755" t="str" cm="1">
        <f t="array" ref="L2755">sentimentCategory(K2755)</f>
        <v>Positive</v>
      </c>
    </row>
    <row r="2756" spans="1:12" x14ac:dyDescent="0.25">
      <c r="A2756" t="s">
        <v>83</v>
      </c>
      <c r="B2756" t="s">
        <v>1750</v>
      </c>
      <c r="C2756" t="str" cm="1">
        <f t="array" ref="C2756">CleanText(B2756)</f>
        <v>the good doctor how i met your mother style</v>
      </c>
      <c r="D2756">
        <v>0</v>
      </c>
      <c r="E2756">
        <v>0</v>
      </c>
      <c r="F2756" t="s">
        <v>10</v>
      </c>
      <c r="G2756" t="str" cm="1">
        <f t="array" ref="G2756">FindCountryName(F2756)</f>
        <v>None</v>
      </c>
      <c r="H2756" s="3">
        <v>45197.226006944446</v>
      </c>
      <c r="I2756" s="3">
        <v>45197.226006944446</v>
      </c>
      <c r="J2756" s="3">
        <v>42730.889837962961</v>
      </c>
      <c r="K2756" cm="1">
        <f t="array" ref="K2756">sentimentCalc(C2756)</f>
        <v>3</v>
      </c>
      <c r="L2756" t="str" cm="1">
        <f t="array" ref="L2756">sentimentCategory(K2756)</f>
        <v>Positive</v>
      </c>
    </row>
    <row r="2757" spans="1:12" x14ac:dyDescent="0.25">
      <c r="A2757" t="s">
        <v>400</v>
      </c>
      <c r="B2757" t="s">
        <v>1098</v>
      </c>
      <c r="C2757" t="str" cm="1">
        <f t="array" ref="C2757">CleanText(B2757)</f>
        <v>the holidays dont belong to these trash nor is the biggest and best moviewhy because theyre pale we have many more better than these with tyra banks life size and legally blonde and the hot chic much better</v>
      </c>
      <c r="D2757">
        <v>0</v>
      </c>
      <c r="E2757">
        <v>0</v>
      </c>
      <c r="F2757" t="s">
        <v>10</v>
      </c>
      <c r="G2757" t="str" cm="1">
        <f t="array" ref="G2757">FindCountryName(F2757)</f>
        <v>None</v>
      </c>
      <c r="H2757" s="3">
        <v>45289.836967592593</v>
      </c>
      <c r="I2757" s="3">
        <v>45289.836967592593</v>
      </c>
      <c r="J2757" s="3">
        <v>42309.985474537039</v>
      </c>
      <c r="K2757" cm="1">
        <f t="array" ref="K2757">sentimentCalc(C2757)</f>
        <v>10</v>
      </c>
      <c r="L2757" t="str" cm="1">
        <f t="array" ref="L2757">sentimentCategory(K2757)</f>
        <v>Positive</v>
      </c>
    </row>
    <row r="2758" spans="1:12" x14ac:dyDescent="0.25">
      <c r="A2758" t="s">
        <v>605</v>
      </c>
      <c r="B2758" t="s">
        <v>2841</v>
      </c>
      <c r="C2758" t="str" cm="1">
        <f t="array" ref="C2758">CleanText(B2758)</f>
        <v>the ironic thing is that they were once using toys to manipulate the youth into profiting and now they are just using political ideology which basically contradicts everything they said in the trailer</v>
      </c>
      <c r="D2758">
        <v>2</v>
      </c>
      <c r="E2758">
        <v>0</v>
      </c>
      <c r="F2758" t="s">
        <v>10</v>
      </c>
      <c r="G2758" t="str" cm="1">
        <f t="array" ref="G2758">FindCountryName(F2758)</f>
        <v>None</v>
      </c>
      <c r="H2758" s="3">
        <v>45156.930127314816</v>
      </c>
      <c r="I2758" s="3">
        <v>45156.930127314816</v>
      </c>
      <c r="J2758" s="3">
        <v>41673.918692129628</v>
      </c>
      <c r="K2758" cm="1">
        <f t="array" ref="K2758">sentimentCalc(C2758)</f>
        <v>-1</v>
      </c>
      <c r="L2758" t="str" cm="1">
        <f t="array" ref="L2758">sentimentCategory(K2758)</f>
        <v>Negative</v>
      </c>
    </row>
    <row r="2759" spans="1:12" x14ac:dyDescent="0.25">
      <c r="A2759" t="s">
        <v>2612</v>
      </c>
      <c r="B2759" t="s">
        <v>3289</v>
      </c>
      <c r="C2759" t="str" cm="1">
        <f t="array" ref="C2759">CleanText(B2759)</f>
        <v>the irony of the movie is that its all about feminism and fighting the patriarchy and at the end of the movie who is everyone talking about ken ken steals the movie irony much</v>
      </c>
      <c r="D2759">
        <v>2</v>
      </c>
      <c r="E2759">
        <v>0</v>
      </c>
      <c r="F2759" t="s">
        <v>10</v>
      </c>
      <c r="G2759" t="str" cm="1">
        <f t="array" ref="G2759">FindCountryName(F2759)</f>
        <v>None</v>
      </c>
      <c r="H2759" s="3">
        <v>45150.692858796298</v>
      </c>
      <c r="I2759" s="3">
        <v>45150.692847222221</v>
      </c>
      <c r="J2759" s="3">
        <v>43240.355671296296</v>
      </c>
      <c r="K2759" cm="1">
        <f t="array" ref="K2759">sentimentCalc(C2759)</f>
        <v>-4</v>
      </c>
      <c r="L2759" t="str" cm="1">
        <f t="array" ref="L2759">sentimentCategory(K2759)</f>
        <v>Negative</v>
      </c>
    </row>
    <row r="2760" spans="1:12" x14ac:dyDescent="0.25">
      <c r="A2760" t="s">
        <v>203</v>
      </c>
      <c r="B2760" t="s">
        <v>204</v>
      </c>
      <c r="C2760" t="str" cm="1">
        <f t="array" ref="C2760">CleanText(B2760)</f>
        <v>the ken trailer you mean</v>
      </c>
      <c r="D2760">
        <v>0</v>
      </c>
      <c r="E2760">
        <v>0</v>
      </c>
      <c r="F2760" t="s">
        <v>10</v>
      </c>
      <c r="G2760" t="str" cm="1">
        <f t="array" ref="G2760">FindCountryName(F2760)</f>
        <v>None</v>
      </c>
      <c r="H2760" s="3">
        <v>45333.774062500001</v>
      </c>
      <c r="I2760" s="3">
        <v>45333.774062500001</v>
      </c>
      <c r="J2760" s="3">
        <v>43126.050995370373</v>
      </c>
      <c r="K2760" cm="1">
        <f t="array" ref="K2760">sentimentCalc(C2760)</f>
        <v>0</v>
      </c>
      <c r="L2760" t="str" cm="1">
        <f t="array" ref="L2760">sentimentCategory(K2760)</f>
        <v>Neutral</v>
      </c>
    </row>
    <row r="2761" spans="1:12" x14ac:dyDescent="0.25">
      <c r="A2761" t="s">
        <v>3065</v>
      </c>
      <c r="B2761" t="s">
        <v>3066</v>
      </c>
      <c r="C2761" t="str" cm="1">
        <f t="array" ref="C2761">CleanText(B2761)</f>
        <v>the kenergy</v>
      </c>
      <c r="D2761">
        <v>0</v>
      </c>
      <c r="E2761">
        <v>0</v>
      </c>
      <c r="F2761" t="s">
        <v>10</v>
      </c>
      <c r="G2761" t="str" cm="1">
        <f t="array" ref="G2761">FindCountryName(F2761)</f>
        <v>None</v>
      </c>
      <c r="H2761" s="3">
        <v>45153.782951388886</v>
      </c>
      <c r="I2761" s="3">
        <v>45153.782951388886</v>
      </c>
      <c r="J2761" s="3">
        <v>44457.868043981478</v>
      </c>
      <c r="K2761" cm="1">
        <f t="array" ref="K2761">sentimentCalc(C2761)</f>
        <v>0</v>
      </c>
      <c r="L2761" t="str" cm="1">
        <f t="array" ref="L2761">sentimentCategory(K2761)</f>
        <v>Neutral</v>
      </c>
    </row>
    <row r="2762" spans="1:12" x14ac:dyDescent="0.25">
      <c r="A2762" t="s">
        <v>442</v>
      </c>
      <c r="B2762" t="s">
        <v>2172</v>
      </c>
      <c r="C2762" t="str" cm="1">
        <f t="array" ref="C2762">CleanText(B2762)</f>
        <v>the kids that watch this movie will become lgbt when they grow up</v>
      </c>
      <c r="D2762">
        <v>1</v>
      </c>
      <c r="E2762">
        <v>1</v>
      </c>
      <c r="F2762" t="s">
        <v>10</v>
      </c>
      <c r="G2762" t="str" cm="1">
        <f t="array" ref="G2762">FindCountryName(F2762)</f>
        <v>None</v>
      </c>
      <c r="H2762" s="3">
        <v>45177.231874999998</v>
      </c>
      <c r="I2762" s="3">
        <v>45177.231874999998</v>
      </c>
      <c r="J2762" s="3">
        <v>42910.287789351853</v>
      </c>
      <c r="K2762" cm="1">
        <f t="array" ref="K2762">sentimentCalc(C2762)</f>
        <v>0</v>
      </c>
      <c r="L2762" t="str" cm="1">
        <f t="array" ref="L2762">sentimentCategory(K2762)</f>
        <v>Neutral</v>
      </c>
    </row>
    <row r="2763" spans="1:12" x14ac:dyDescent="0.25">
      <c r="A2763" t="s">
        <v>1808</v>
      </c>
      <c r="B2763" t="s">
        <v>1809</v>
      </c>
      <c r="C2763" t="str" cm="1">
        <f t="array" ref="C2763">CleanText(B2763)</f>
        <v>the lessons about humanity compassion noticing the other person what its like to be a woman and a man and how both sexes have their own struggles and their pain deserves to be noticed acknowledged and praised the final scene where barbie both metaphorically and literally grows up and decides to become human was tearjerking definitely the top highlight of this movie but damn if most of the good stuff just gets drowned in the approach of telling instead of showing kens patriarchal rules that came from the place of wanting to be respected for who hethey are was a good story telling every second sentence how patriarchy is bad was not there are moments where this really original and refreshing movie becomes some sort of lecture which is quite possibly the most boring way to show things exposition by info dumps rarely end well for the one that experiences things it makes the whole experience really shallow and i get that overall this movie was partially a satire of many modern things but christ those mattel executives were just ugh completely unfunny and unnecessary they brought nothing but annoyance even if the idea behind them was laughing at capitalism as a whole and pointing out consumptionism i think there couldve been a better way of showing that or definitely the more funny way overall a solid  first  of the movie is a real mixed bag of good and bad the last third made up for the movies shortcomings barbies conversation with ruth the wardanceoff scene or just everything with those mothers presence in the barbie world was on top</v>
      </c>
      <c r="D2763">
        <v>84</v>
      </c>
      <c r="E2763">
        <v>9</v>
      </c>
      <c r="F2763" t="s">
        <v>10</v>
      </c>
      <c r="G2763" t="str" cm="1">
        <f t="array" ref="G2763">FindCountryName(F2763)</f>
        <v>None</v>
      </c>
      <c r="H2763" s="3">
        <v>45193.533738425926</v>
      </c>
      <c r="I2763" s="3">
        <v>45197.198379629626</v>
      </c>
      <c r="J2763" s="3">
        <v>39072.535486111112</v>
      </c>
      <c r="K2763" cm="1">
        <f t="array" ref="K2763">sentimentCalc(C2763)</f>
        <v>7</v>
      </c>
      <c r="L2763" t="str" cm="1">
        <f t="array" ref="L2763">sentimentCategory(K2763)</f>
        <v>Positive</v>
      </c>
    </row>
    <row r="2764" spans="1:12" x14ac:dyDescent="0.25">
      <c r="A2764" t="s">
        <v>247</v>
      </c>
      <c r="B2764" t="s">
        <v>4412</v>
      </c>
      <c r="C2764" t="str" cm="1">
        <f t="array" ref="C2764">CleanText(B2764)</f>
        <v>the levels of stupidity in that movie are overwhelming</v>
      </c>
      <c r="D2764">
        <v>2</v>
      </c>
      <c r="E2764">
        <v>2</v>
      </c>
      <c r="F2764" t="s">
        <v>10</v>
      </c>
      <c r="G2764" t="str" cm="1">
        <f t="array" ref="G2764">FindCountryName(F2764)</f>
        <v>None</v>
      </c>
      <c r="H2764" s="3">
        <v>45140.425150462965</v>
      </c>
      <c r="I2764" s="3">
        <v>45140.425150462965</v>
      </c>
      <c r="J2764" s="3">
        <v>41658.571284722224</v>
      </c>
      <c r="K2764" cm="1">
        <f t="array" ref="K2764">sentimentCalc(C2764)</f>
        <v>0</v>
      </c>
      <c r="L2764" t="str" cm="1">
        <f t="array" ref="L2764">sentimentCategory(K2764)</f>
        <v>Neutral</v>
      </c>
    </row>
    <row r="2765" spans="1:12" x14ac:dyDescent="0.25">
      <c r="A2765" t="s">
        <v>1936</v>
      </c>
      <c r="B2765" t="s">
        <v>1937</v>
      </c>
      <c r="C2765" t="str" cm="1">
        <f t="array" ref="C2765">CleanText(B2765)</f>
        <v>the makers of this movie thought it was more clever than it actually wasironically very barbie</v>
      </c>
      <c r="D2765">
        <v>1</v>
      </c>
      <c r="E2765">
        <v>1</v>
      </c>
      <c r="F2765" t="s">
        <v>10</v>
      </c>
      <c r="G2765" t="str" cm="1">
        <f t="array" ref="G2765">FindCountryName(F2765)</f>
        <v>None</v>
      </c>
      <c r="H2765" s="3">
        <v>45187.278703703705</v>
      </c>
      <c r="I2765" s="3">
        <v>45190.304502314815</v>
      </c>
      <c r="J2765" s="3">
        <v>41552.824444444443</v>
      </c>
      <c r="K2765" cm="1">
        <f t="array" ref="K2765">sentimentCalc(C2765)</f>
        <v>2</v>
      </c>
      <c r="L2765" t="str" cm="1">
        <f t="array" ref="L2765">sentimentCategory(K2765)</f>
        <v>Positive</v>
      </c>
    </row>
    <row r="2766" spans="1:12" x14ac:dyDescent="0.25">
      <c r="A2766" t="s">
        <v>290</v>
      </c>
      <c r="B2766" t="s">
        <v>2721</v>
      </c>
      <c r="C2766" t="str" cm="1">
        <f t="array" ref="C2766">CleanText(B2766)</f>
        <v>the man deserved the punch</v>
      </c>
      <c r="D2766">
        <v>0</v>
      </c>
      <c r="E2766">
        <v>0</v>
      </c>
      <c r="F2766" t="s">
        <v>10</v>
      </c>
      <c r="G2766" t="str" cm="1">
        <f t="array" ref="G2766">FindCountryName(F2766)</f>
        <v>None</v>
      </c>
      <c r="H2766" s="3">
        <v>45159.254791666666</v>
      </c>
      <c r="I2766" s="3">
        <v>45159.254791666666</v>
      </c>
      <c r="J2766" s="3">
        <v>44611.368136574078</v>
      </c>
      <c r="K2766" cm="1">
        <f t="array" ref="K2766">sentimentCalc(C2766)</f>
        <v>0</v>
      </c>
      <c r="L2766" t="str" cm="1">
        <f t="array" ref="L2766">sentimentCategory(K2766)</f>
        <v>Neutral</v>
      </c>
    </row>
    <row r="2767" spans="1:12" x14ac:dyDescent="0.25">
      <c r="A2767" t="s">
        <v>378</v>
      </c>
      <c r="B2767" t="s">
        <v>4111</v>
      </c>
      <c r="C2767" t="str" cm="1">
        <f t="array" ref="C2767">CleanText(B2767)</f>
        <v>the man ryan gosling as ken was the real star of this movie and he stole the show from all the females in the movie including margot robbie</v>
      </c>
      <c r="D2767">
        <v>3</v>
      </c>
      <c r="E2767">
        <v>1</v>
      </c>
      <c r="F2767" t="s">
        <v>10</v>
      </c>
      <c r="G2767" t="str" cm="1">
        <f t="array" ref="G2767">FindCountryName(F2767)</f>
        <v>None</v>
      </c>
      <c r="H2767" s="3">
        <v>45142.79478009259</v>
      </c>
      <c r="I2767" s="3">
        <v>45142.79478009259</v>
      </c>
      <c r="J2767" s="3">
        <v>43821.839548611111</v>
      </c>
      <c r="K2767" cm="1">
        <f t="array" ref="K2767">sentimentCalc(C2767)</f>
        <v>0</v>
      </c>
      <c r="L2767" t="str" cm="1">
        <f t="array" ref="L2767">sentimentCategory(K2767)</f>
        <v>Neutral</v>
      </c>
    </row>
    <row r="2768" spans="1:12" x14ac:dyDescent="0.25">
      <c r="A2768" t="s">
        <v>114</v>
      </c>
      <c r="B2768" t="s">
        <v>3749</v>
      </c>
      <c r="C2768" t="str" cm="1">
        <f t="array" ref="C2768">CleanText(B2768)</f>
        <v>the marketing for this movie has been some of the best ive ever since non super hero movie</v>
      </c>
      <c r="D2768">
        <v>0</v>
      </c>
      <c r="E2768">
        <v>0</v>
      </c>
      <c r="F2768" t="s">
        <v>10</v>
      </c>
      <c r="G2768" t="str" cm="1">
        <f t="array" ref="G2768">FindCountryName(F2768)</f>
        <v>None</v>
      </c>
      <c r="H2768" s="3">
        <v>45145.735115740739</v>
      </c>
      <c r="I2768" s="3">
        <v>45145.735115740739</v>
      </c>
      <c r="J2768" s="3">
        <v>43811.716944444444</v>
      </c>
      <c r="K2768" cm="1">
        <f t="array" ref="K2768">sentimentCalc(C2768)</f>
        <v>8</v>
      </c>
      <c r="L2768" t="str" cm="1">
        <f t="array" ref="L2768">sentimentCategory(K2768)</f>
        <v>Positive</v>
      </c>
    </row>
    <row r="2769" spans="1:12" x14ac:dyDescent="0.25">
      <c r="A2769" t="s">
        <v>2722</v>
      </c>
      <c r="B2769" t="s">
        <v>2726</v>
      </c>
      <c r="C2769" t="str" cm="1">
        <f t="array" ref="C2769">CleanText(B2769)</f>
        <v>the marvelsofficialtrailer</v>
      </c>
      <c r="D2769">
        <v>0</v>
      </c>
      <c r="E2769">
        <v>0</v>
      </c>
      <c r="F2769" t="s">
        <v>227</v>
      </c>
      <c r="G2769" t="str" cm="1">
        <f t="array" ref="G2769">FindCountryName(F2769)</f>
        <v>United States of America (the)</v>
      </c>
      <c r="H2769" s="3">
        <v>45159.195671296293</v>
      </c>
      <c r="I2769" s="3">
        <v>45159.195671296293</v>
      </c>
      <c r="J2769" s="3">
        <v>45148.454386574071</v>
      </c>
      <c r="K2769" cm="1">
        <f t="array" ref="K2769">sentimentCalc(C2769)</f>
        <v>0</v>
      </c>
      <c r="L2769" t="str" cm="1">
        <f t="array" ref="L2769">sentimentCategory(K2769)</f>
        <v>Neutral</v>
      </c>
    </row>
    <row r="2770" spans="1:12" x14ac:dyDescent="0.25">
      <c r="A2770" t="s">
        <v>2722</v>
      </c>
      <c r="B2770" t="s">
        <v>2727</v>
      </c>
      <c r="C2770" t="str" cm="1">
        <f t="array" ref="C2770">CleanText(B2770)</f>
        <v>the marvelsofficialtrailer  recited by marvel entertainment  trailer a</v>
      </c>
      <c r="D2770">
        <v>0</v>
      </c>
      <c r="E2770">
        <v>0</v>
      </c>
      <c r="F2770" t="s">
        <v>227</v>
      </c>
      <c r="G2770" t="str" cm="1">
        <f t="array" ref="G2770">FindCountryName(F2770)</f>
        <v>United States of America (the)</v>
      </c>
      <c r="H2770" s="3">
        <v>45159.195532407408</v>
      </c>
      <c r="I2770" s="3">
        <v>45159.195532407408</v>
      </c>
      <c r="J2770" s="3">
        <v>45148.454386574071</v>
      </c>
      <c r="K2770" cm="1">
        <f t="array" ref="K2770">sentimentCalc(C2770)</f>
        <v>3</v>
      </c>
      <c r="L2770" t="str" cm="1">
        <f t="array" ref="L2770">sentimentCategory(K2770)</f>
        <v>Positive</v>
      </c>
    </row>
    <row r="2771" spans="1:12" x14ac:dyDescent="0.25">
      <c r="A2771" t="s">
        <v>1051</v>
      </c>
      <c r="B2771" t="s">
        <v>1052</v>
      </c>
      <c r="C2771" t="str" cm="1">
        <f t="array" ref="C2771">CleanText(B2771)</f>
        <v>the message that this movie was trying to send was that women should run everything which is significantly worse than men running everything a good message would have been if they split the power at the end of the movie and the message was for men and women to be equal</v>
      </c>
      <c r="D2771">
        <v>1</v>
      </c>
      <c r="E2771">
        <v>5</v>
      </c>
      <c r="F2771" t="s">
        <v>10</v>
      </c>
      <c r="G2771" t="str" cm="1">
        <f t="array" ref="G2771">FindCountryName(F2771)</f>
        <v>None</v>
      </c>
      <c r="H2771" s="3">
        <v>45297.179131944446</v>
      </c>
      <c r="I2771" s="3">
        <v>45297.179629629631</v>
      </c>
      <c r="J2771" s="3">
        <v>44963.831122685187</v>
      </c>
      <c r="K2771" cm="1">
        <f t="array" ref="K2771">sentimentCalc(C2771)</f>
        <v>0</v>
      </c>
      <c r="L2771" t="str" cm="1">
        <f t="array" ref="L2771">sentimentCategory(K2771)</f>
        <v>Neutral</v>
      </c>
    </row>
    <row r="2772" spans="1:12" x14ac:dyDescent="0.25">
      <c r="A2772" t="s">
        <v>32</v>
      </c>
      <c r="B2772" t="s">
        <v>102</v>
      </c>
      <c r="C2772" t="str" cm="1">
        <f t="array" ref="C2772">CleanText(B2772)</f>
        <v>the most beautiful movie to watch with your lover the cast is great</v>
      </c>
      <c r="D2772">
        <v>0</v>
      </c>
      <c r="E2772">
        <v>0</v>
      </c>
      <c r="F2772" t="s">
        <v>10</v>
      </c>
      <c r="G2772" t="str" cm="1">
        <f t="array" ref="G2772">FindCountryName(F2772)</f>
        <v>None</v>
      </c>
      <c r="H2772" s="3">
        <v>45337.577407407407</v>
      </c>
      <c r="I2772" s="3">
        <v>45337.577407407407</v>
      </c>
      <c r="J2772" s="3">
        <v>42477.276446759257</v>
      </c>
      <c r="K2772" cm="1">
        <f t="array" ref="K2772">sentimentCalc(C2772)</f>
        <v>6</v>
      </c>
      <c r="L2772" t="str" cm="1">
        <f t="array" ref="L2772">sentimentCategory(K2772)</f>
        <v>Positive</v>
      </c>
    </row>
    <row r="2773" spans="1:12" x14ac:dyDescent="0.25">
      <c r="A2773" t="s">
        <v>1918</v>
      </c>
      <c r="B2773" t="s">
        <v>1919</v>
      </c>
      <c r="C2773" t="str" cm="1">
        <f t="array" ref="C2773">CleanText(B2773)</f>
        <v>the most feminist movie off all time</v>
      </c>
      <c r="D2773">
        <v>1</v>
      </c>
      <c r="E2773">
        <v>0</v>
      </c>
      <c r="F2773" t="s">
        <v>10</v>
      </c>
      <c r="G2773" t="str" cm="1">
        <f t="array" ref="G2773">FindCountryName(F2773)</f>
        <v>None</v>
      </c>
      <c r="H2773" s="3">
        <v>45187.662523148145</v>
      </c>
      <c r="I2773" s="3">
        <v>45187.662523148145</v>
      </c>
      <c r="J2773" s="3">
        <v>40724.737962962965</v>
      </c>
      <c r="K2773" cm="1">
        <f t="array" ref="K2773">sentimentCalc(C2773)</f>
        <v>0</v>
      </c>
      <c r="L2773" t="str" cm="1">
        <f t="array" ref="L2773">sentimentCategory(K2773)</f>
        <v>Neutral</v>
      </c>
    </row>
    <row r="2774" spans="1:12" x14ac:dyDescent="0.25">
      <c r="A2774" t="s">
        <v>479</v>
      </c>
      <c r="B2774" t="s">
        <v>1993</v>
      </c>
      <c r="C2774" t="str" cm="1">
        <f t="array" ref="C2774">CleanText(B2774)</f>
        <v>the most gayest movie ever</v>
      </c>
      <c r="D2774">
        <v>2</v>
      </c>
      <c r="E2774">
        <v>2</v>
      </c>
      <c r="F2774" t="s">
        <v>227</v>
      </c>
      <c r="G2774" t="str" cm="1">
        <f t="array" ref="G2774">FindCountryName(F2774)</f>
        <v>United States of America (the)</v>
      </c>
      <c r="H2774" s="3">
        <v>45185.204861111109</v>
      </c>
      <c r="I2774" s="3">
        <v>45185.204861111109</v>
      </c>
      <c r="J2774" s="3">
        <v>41696.0862037037</v>
      </c>
      <c r="K2774" cm="1">
        <f t="array" ref="K2774">sentimentCalc(C2774)</f>
        <v>0</v>
      </c>
      <c r="L2774" t="str" cm="1">
        <f t="array" ref="L2774">sentimentCategory(K2774)</f>
        <v>Neutral</v>
      </c>
    </row>
    <row r="2775" spans="1:12" x14ac:dyDescent="0.25">
      <c r="A2775" t="s">
        <v>32</v>
      </c>
      <c r="B2775" t="s">
        <v>2255</v>
      </c>
      <c r="C2775" t="str" cm="1">
        <f t="array" ref="C2775">CleanText(B2775)</f>
        <v>the most successful film in greece  supports barbie</v>
      </c>
      <c r="D2775">
        <v>1</v>
      </c>
      <c r="E2775">
        <v>0</v>
      </c>
      <c r="F2775" t="s">
        <v>10</v>
      </c>
      <c r="G2775" t="str" cm="1">
        <f t="array" ref="G2775">FindCountryName(F2775)</f>
        <v>None</v>
      </c>
      <c r="H2775" s="3">
        <v>45173.785682870373</v>
      </c>
      <c r="I2775" s="3">
        <v>45173.785682870373</v>
      </c>
      <c r="J2775" s="3">
        <v>42190.587222222224</v>
      </c>
      <c r="K2775" cm="1">
        <f t="array" ref="K2775">sentimentCalc(C2775)</f>
        <v>5</v>
      </c>
      <c r="L2775" t="str" cm="1">
        <f t="array" ref="L2775">sentimentCategory(K2775)</f>
        <v>Positive</v>
      </c>
    </row>
    <row r="2776" spans="1:12" x14ac:dyDescent="0.25">
      <c r="A2776" t="s">
        <v>2413</v>
      </c>
      <c r="B2776" t="s">
        <v>2414</v>
      </c>
      <c r="C2776" t="str" cm="1">
        <f t="array" ref="C2776">CleanText(B2776)</f>
        <v>the movie has reached a billion apparently its warner bros highest grossing movie ever congrats to the barbie team for their barbillion now theres something to celebrate in our very own mojo dojo casa house you are kenough</v>
      </c>
      <c r="D2776">
        <v>44</v>
      </c>
      <c r="E2776">
        <v>2</v>
      </c>
      <c r="F2776" t="s">
        <v>10</v>
      </c>
      <c r="G2776" t="str" cm="1">
        <f t="array" ref="G2776">FindCountryName(F2776)</f>
        <v>None</v>
      </c>
      <c r="H2776" s="3">
        <v>45168.334143518521</v>
      </c>
      <c r="I2776" s="3">
        <v>45168.334143518521</v>
      </c>
      <c r="J2776" s="3">
        <v>43057.900358796294</v>
      </c>
      <c r="K2776" cm="1">
        <f t="array" ref="K2776">sentimentCalc(C2776)</f>
        <v>6</v>
      </c>
      <c r="L2776" t="str" cm="1">
        <f t="array" ref="L2776">sentimentCategory(K2776)</f>
        <v>Positive</v>
      </c>
    </row>
    <row r="2777" spans="1:12" x14ac:dyDescent="0.25">
      <c r="A2777" t="s">
        <v>62</v>
      </c>
      <c r="B2777" t="s">
        <v>2422</v>
      </c>
      <c r="C2777" t="str" cm="1">
        <f t="array" ref="C2777">CleanText(B2777)</f>
        <v>the movie implied that i am sexist evil  that i should have no power and that im instantly stupid due to being of the male species this is what i took away from the movie</v>
      </c>
      <c r="D2777">
        <v>4</v>
      </c>
      <c r="E2777">
        <v>9</v>
      </c>
      <c r="F2777" t="s">
        <v>10</v>
      </c>
      <c r="G2777" t="str" cm="1">
        <f t="array" ref="G2777">FindCountryName(F2777)</f>
        <v>None</v>
      </c>
      <c r="H2777" s="3">
        <v>45167.978634259256</v>
      </c>
      <c r="I2777" s="3">
        <v>45167.978634259256</v>
      </c>
      <c r="J2777" s="3">
        <v>44024.156886574077</v>
      </c>
      <c r="K2777" cm="1">
        <f t="array" ref="K2777">sentimentCalc(C2777)</f>
        <v>-6</v>
      </c>
      <c r="L2777" t="str" cm="1">
        <f t="array" ref="L2777">sentimentCategory(K2777)</f>
        <v>Negative</v>
      </c>
    </row>
    <row r="2778" spans="1:12" x14ac:dyDescent="0.25">
      <c r="A2778" t="s">
        <v>1008</v>
      </c>
      <c r="B2778" t="s">
        <v>4287</v>
      </c>
      <c r="C2778" t="str" cm="1">
        <f t="array" ref="C2778">CleanText(B2778)</f>
        <v>the movie is amazing</v>
      </c>
      <c r="D2778">
        <v>2</v>
      </c>
      <c r="E2778">
        <v>0</v>
      </c>
      <c r="F2778" t="s">
        <v>10</v>
      </c>
      <c r="G2778" t="str" cm="1">
        <f t="array" ref="G2778">FindCountryName(F2778)</f>
        <v>None</v>
      </c>
      <c r="H2778" s="3">
        <v>45141.213379629633</v>
      </c>
      <c r="I2778" s="3">
        <v>45141.213379629633</v>
      </c>
      <c r="J2778" s="3">
        <v>44656.400578703702</v>
      </c>
      <c r="K2778" cm="1">
        <f t="array" ref="K2778">sentimentCalc(C2778)</f>
        <v>4</v>
      </c>
      <c r="L2778" t="str" cm="1">
        <f t="array" ref="L2778">sentimentCategory(K2778)</f>
        <v>Positive</v>
      </c>
    </row>
    <row r="2779" spans="1:12" x14ac:dyDescent="0.25">
      <c r="A2779" t="s">
        <v>118</v>
      </c>
      <c r="B2779" t="s">
        <v>768</v>
      </c>
      <c r="C2779" t="str" cm="1">
        <f t="array" ref="C2779">CleanText(B2779)</f>
        <v>the movie is</v>
      </c>
      <c r="D2779">
        <v>1</v>
      </c>
      <c r="E2779">
        <v>0</v>
      </c>
      <c r="F2779" t="s">
        <v>10</v>
      </c>
      <c r="G2779" t="str" cm="1">
        <f t="array" ref="G2779">FindCountryName(F2779)</f>
        <v>None</v>
      </c>
      <c r="H2779" s="3">
        <v>45308.426030092596</v>
      </c>
      <c r="I2779" s="3">
        <v>45308.426030092596</v>
      </c>
      <c r="J2779" s="3">
        <v>41847.17560185185</v>
      </c>
      <c r="K2779" cm="1">
        <f t="array" ref="K2779">sentimentCalc(C2779)</f>
        <v>0</v>
      </c>
      <c r="L2779" t="str" cm="1">
        <f t="array" ref="L2779">sentimentCategory(K2779)</f>
        <v>Neutral</v>
      </c>
    </row>
    <row r="2780" spans="1:12" x14ac:dyDescent="0.25">
      <c r="A2780" t="s">
        <v>2549</v>
      </c>
      <c r="B2780" t="s">
        <v>2550</v>
      </c>
      <c r="C2780" t="str" cm="1">
        <f t="array" ref="C2780">CleanText(B2780)</f>
        <v>the movie is missing an important thing love it is sad</v>
      </c>
      <c r="D2780">
        <v>3</v>
      </c>
      <c r="E2780">
        <v>1</v>
      </c>
      <c r="F2780" t="s">
        <v>10</v>
      </c>
      <c r="G2780" t="str" cm="1">
        <f t="array" ref="G2780">FindCountryName(F2780)</f>
        <v>None</v>
      </c>
      <c r="H2780" s="3">
        <v>45163.612025462964</v>
      </c>
      <c r="I2780" s="3">
        <v>45163.612025462964</v>
      </c>
      <c r="J2780" s="3">
        <v>39948.59648148148</v>
      </c>
      <c r="K2780" cm="1">
        <f t="array" ref="K2780">sentimentCalc(C2780)</f>
        <v>1</v>
      </c>
      <c r="L2780" t="str" cm="1">
        <f t="array" ref="L2780">sentimentCategory(K2780)</f>
        <v>Positive</v>
      </c>
    </row>
    <row r="2781" spans="1:12" x14ac:dyDescent="0.25">
      <c r="A2781" t="s">
        <v>197</v>
      </c>
      <c r="B2781" t="s">
        <v>2883</v>
      </c>
      <c r="C2781" t="str" cm="1">
        <f t="array" ref="C2781">CleanText(B2781)</f>
        <v>the movie is so boring</v>
      </c>
      <c r="D2781">
        <v>1</v>
      </c>
      <c r="E2781">
        <v>0</v>
      </c>
      <c r="F2781" t="s">
        <v>10</v>
      </c>
      <c r="G2781" t="str" cm="1">
        <f t="array" ref="G2781">FindCountryName(F2781)</f>
        <v>None</v>
      </c>
      <c r="H2781" s="3">
        <v>45156.494305555556</v>
      </c>
      <c r="I2781" s="3">
        <v>45156.494293981479</v>
      </c>
      <c r="J2781" s="3">
        <v>41272.05505787037</v>
      </c>
      <c r="K2781" cm="1">
        <f t="array" ref="K2781">sentimentCalc(C2781)</f>
        <v>-3</v>
      </c>
      <c r="L2781" t="str" cm="1">
        <f t="array" ref="L2781">sentimentCategory(K2781)</f>
        <v>Negative</v>
      </c>
    </row>
    <row r="2782" spans="1:12" x14ac:dyDescent="0.25">
      <c r="A2782" t="s">
        <v>930</v>
      </c>
      <c r="B2782" t="s">
        <v>3113</v>
      </c>
      <c r="C2782" t="str" cm="1">
        <f t="array" ref="C2782">CleanText(B2782)</f>
        <v>the movie looks so stupid tbh im disappointed</v>
      </c>
      <c r="D2782">
        <v>1</v>
      </c>
      <c r="E2782">
        <v>0</v>
      </c>
      <c r="F2782" t="s">
        <v>10</v>
      </c>
      <c r="G2782" t="str" cm="1">
        <f t="array" ref="G2782">FindCountryName(F2782)</f>
        <v>None</v>
      </c>
      <c r="H2782" s="3">
        <v>45153.268900462965</v>
      </c>
      <c r="I2782" s="3">
        <v>45153.268900462965</v>
      </c>
      <c r="J2782" s="3">
        <v>43244.015798611108</v>
      </c>
      <c r="K2782" cm="1">
        <f t="array" ref="K2782">sentimentCalc(C2782)</f>
        <v>-4</v>
      </c>
      <c r="L2782" t="str" cm="1">
        <f t="array" ref="L2782">sentimentCategory(K2782)</f>
        <v>Negative</v>
      </c>
    </row>
    <row r="2783" spans="1:12" x14ac:dyDescent="0.25">
      <c r="A2783" t="s">
        <v>3415</v>
      </c>
      <c r="B2783" t="s">
        <v>3729</v>
      </c>
      <c r="C2783" t="str" cm="1">
        <f t="array" ref="C2783">CleanText(B2783)</f>
        <v>the movie may have been overrated but i still enjoyed it kind of a missed opportunity to promote hot wheels other than their real world counterparts just kinda existing in the movie</v>
      </c>
      <c r="D2783">
        <v>0</v>
      </c>
      <c r="E2783">
        <v>0</v>
      </c>
      <c r="F2783" t="s">
        <v>10</v>
      </c>
      <c r="G2783" t="str" cm="1">
        <f t="array" ref="G2783">FindCountryName(F2783)</f>
        <v>None</v>
      </c>
      <c r="H2783" s="3">
        <v>45145.991469907407</v>
      </c>
      <c r="I2783" s="3">
        <v>45145.991469907407</v>
      </c>
      <c r="J2783" s="3">
        <v>39013.174131944441</v>
      </c>
      <c r="K2783" cm="1">
        <f t="array" ref="K2783">sentimentCalc(C2783)</f>
        <v>3</v>
      </c>
      <c r="L2783" t="str" cm="1">
        <f t="array" ref="L2783">sentimentCategory(K2783)</f>
        <v>Positive</v>
      </c>
    </row>
    <row r="2784" spans="1:12" x14ac:dyDescent="0.25">
      <c r="A2784" t="s">
        <v>1604</v>
      </c>
      <c r="B2784" t="s">
        <v>1605</v>
      </c>
      <c r="C2784" t="str" cm="1">
        <f t="array" ref="C2784">CleanText(B2784)</f>
        <v>the movie of the year for me</v>
      </c>
      <c r="D2784">
        <v>2</v>
      </c>
      <c r="E2784">
        <v>9</v>
      </c>
      <c r="F2784" t="s">
        <v>1151</v>
      </c>
      <c r="G2784" t="str" cm="1">
        <f t="array" ref="G2784">FindCountryName(F2784)</f>
        <v>United Kingdom of Great Britain and Northern Ireland (the)</v>
      </c>
      <c r="H2784" s="3">
        <v>45209.198101851849</v>
      </c>
      <c r="I2784" s="3">
        <v>45209.198101851849</v>
      </c>
      <c r="J2784" s="3">
        <v>41916.646458333336</v>
      </c>
      <c r="K2784" cm="1">
        <f t="array" ref="K2784">sentimentCalc(C2784)</f>
        <v>0</v>
      </c>
      <c r="L2784" t="str" cm="1">
        <f t="array" ref="L2784">sentimentCategory(K2784)</f>
        <v>Neutral</v>
      </c>
    </row>
    <row r="2785" spans="1:12" x14ac:dyDescent="0.25">
      <c r="A2785" t="s">
        <v>2259</v>
      </c>
      <c r="B2785" t="s">
        <v>2260</v>
      </c>
      <c r="C2785" t="str" cm="1">
        <f t="array" ref="C2785">CleanText(B2785)</f>
        <v>the movie sucked</v>
      </c>
      <c r="D2785">
        <v>2</v>
      </c>
      <c r="E2785">
        <v>3</v>
      </c>
      <c r="F2785" t="s">
        <v>10</v>
      </c>
      <c r="G2785" t="str" cm="1">
        <f t="array" ref="G2785">FindCountryName(F2785)</f>
        <v>None</v>
      </c>
      <c r="H2785" s="3">
        <v>45173.711388888885</v>
      </c>
      <c r="I2785" s="3">
        <v>45173.711388888885</v>
      </c>
      <c r="J2785" s="3">
        <v>41236.410682870373</v>
      </c>
      <c r="K2785" cm="1">
        <f t="array" ref="K2785">sentimentCalc(C2785)</f>
        <v>0</v>
      </c>
      <c r="L2785" t="str" cm="1">
        <f t="array" ref="L2785">sentimentCategory(K2785)</f>
        <v>Neutral</v>
      </c>
    </row>
    <row r="2786" spans="1:12" x14ac:dyDescent="0.25">
      <c r="A2786" t="s">
        <v>427</v>
      </c>
      <c r="B2786" t="s">
        <v>2994</v>
      </c>
      <c r="C2786" t="str" cm="1">
        <f t="array" ref="C2786">CleanText(B2786)</f>
        <v>the movie was amazing i watch the whole episode</v>
      </c>
      <c r="D2786">
        <v>0</v>
      </c>
      <c r="E2786">
        <v>0</v>
      </c>
      <c r="F2786" t="s">
        <v>10</v>
      </c>
      <c r="G2786" t="str" cm="1">
        <f t="array" ref="G2786">FindCountryName(F2786)</f>
        <v>None</v>
      </c>
      <c r="H2786" s="3">
        <v>45154.671759259261</v>
      </c>
      <c r="I2786" s="3">
        <v>45154.671759259261</v>
      </c>
      <c r="J2786" s="3">
        <v>44437.874652777777</v>
      </c>
      <c r="K2786" cm="1">
        <f t="array" ref="K2786">sentimentCalc(C2786)</f>
        <v>4</v>
      </c>
      <c r="L2786" t="str" cm="1">
        <f t="array" ref="L2786">sentimentCategory(K2786)</f>
        <v>Positive</v>
      </c>
    </row>
    <row r="2787" spans="1:12" x14ac:dyDescent="0.25">
      <c r="A2787" t="s">
        <v>2011</v>
      </c>
      <c r="B2787" t="s">
        <v>2012</v>
      </c>
      <c r="C2787" t="str" cm="1">
        <f t="array" ref="C2787">CleanText(B2787)</f>
        <v>the movie was amazing margot robbie was the perfect choice for barbie indeed</v>
      </c>
      <c r="D2787">
        <v>0</v>
      </c>
      <c r="E2787">
        <v>0</v>
      </c>
      <c r="F2787" t="s">
        <v>2013</v>
      </c>
      <c r="G2787" t="str" cm="1">
        <f t="array" ref="G2787">FindCountryName(F2787)</f>
        <v>Bulgaria</v>
      </c>
      <c r="H2787" s="3">
        <v>45184.540856481479</v>
      </c>
      <c r="I2787" s="3">
        <v>45184.540844907409</v>
      </c>
      <c r="J2787" s="3">
        <v>40758.193483796298</v>
      </c>
      <c r="K2787" cm="1">
        <f t="array" ref="K2787">sentimentCalc(C2787)</f>
        <v>7</v>
      </c>
      <c r="L2787" t="str" cm="1">
        <f t="array" ref="L2787">sentimentCategory(K2787)</f>
        <v>Positive</v>
      </c>
    </row>
    <row r="2788" spans="1:12" x14ac:dyDescent="0.25">
      <c r="A2788" t="s">
        <v>158</v>
      </c>
      <c r="B2788" t="s">
        <v>3702</v>
      </c>
      <c r="C2788" t="str" cm="1">
        <f t="array" ref="C2788">CleanText(B2788)</f>
        <v>the movie was boring</v>
      </c>
      <c r="D2788">
        <v>2</v>
      </c>
      <c r="E2788">
        <v>0</v>
      </c>
      <c r="F2788" t="s">
        <v>10</v>
      </c>
      <c r="G2788" t="str" cm="1">
        <f t="array" ref="G2788">FindCountryName(F2788)</f>
        <v>None</v>
      </c>
      <c r="H2788" s="3">
        <v>45146.291898148149</v>
      </c>
      <c r="I2788" s="3">
        <v>45146.291898148149</v>
      </c>
      <c r="J2788" s="3">
        <v>41263.350960648146</v>
      </c>
      <c r="K2788" cm="1">
        <f t="array" ref="K2788">sentimentCalc(C2788)</f>
        <v>-3</v>
      </c>
      <c r="L2788" t="str" cm="1">
        <f t="array" ref="L2788">sentimentCategory(K2788)</f>
        <v>Negative</v>
      </c>
    </row>
    <row r="2789" spans="1:12" x14ac:dyDescent="0.25">
      <c r="A2789" t="s">
        <v>1281</v>
      </c>
      <c r="B2789" t="s">
        <v>3045</v>
      </c>
      <c r="C2789" t="str" cm="1">
        <f t="array" ref="C2789">CleanText(B2789)</f>
        <v>the movie was great when i saw it</v>
      </c>
      <c r="D2789">
        <v>1</v>
      </c>
      <c r="E2789">
        <v>0</v>
      </c>
      <c r="F2789" t="s">
        <v>10</v>
      </c>
      <c r="G2789" t="str" cm="1">
        <f t="array" ref="G2789">FindCountryName(F2789)</f>
        <v>None</v>
      </c>
      <c r="H2789" s="3">
        <v>45154.126655092594</v>
      </c>
      <c r="I2789" s="3">
        <v>45154.126655092594</v>
      </c>
      <c r="J2789" s="3">
        <v>43830.920312499999</v>
      </c>
      <c r="K2789" cm="1">
        <f t="array" ref="K2789">sentimentCalc(C2789)</f>
        <v>3</v>
      </c>
      <c r="L2789" t="str" cm="1">
        <f t="array" ref="L2789">sentimentCategory(K2789)</f>
        <v>Positive</v>
      </c>
    </row>
    <row r="2790" spans="1:12" x14ac:dyDescent="0.25">
      <c r="A2790" t="s">
        <v>472</v>
      </c>
      <c r="B2790" t="s">
        <v>4178</v>
      </c>
      <c r="C2790" t="str" cm="1">
        <f t="array" ref="C2790">CleanText(B2790)</f>
        <v>the movie was not the good</v>
      </c>
      <c r="D2790">
        <v>2</v>
      </c>
      <c r="E2790">
        <v>0</v>
      </c>
      <c r="F2790" t="s">
        <v>10</v>
      </c>
      <c r="G2790" t="str" cm="1">
        <f t="array" ref="G2790">FindCountryName(F2790)</f>
        <v>None</v>
      </c>
      <c r="H2790" s="3">
        <v>45142.276087962964</v>
      </c>
      <c r="I2790" s="3">
        <v>45142.276087962964</v>
      </c>
      <c r="J2790" s="3">
        <v>42962.622094907405</v>
      </c>
      <c r="K2790" cm="1">
        <f t="array" ref="K2790">sentimentCalc(C2790)</f>
        <v>3</v>
      </c>
      <c r="L2790" t="str" cm="1">
        <f t="array" ref="L2790">sentimentCategory(K2790)</f>
        <v>Positive</v>
      </c>
    </row>
    <row r="2791" spans="1:12" x14ac:dyDescent="0.25">
      <c r="A2791" t="s">
        <v>2483</v>
      </c>
      <c r="B2791" t="s">
        <v>2484</v>
      </c>
      <c r="C2791" t="str" cm="1">
        <f t="array" ref="C2791">CleanText(B2791)</f>
        <v>the movie was so good</v>
      </c>
      <c r="D2791">
        <v>1</v>
      </c>
      <c r="E2791">
        <v>0</v>
      </c>
      <c r="F2791" t="s">
        <v>227</v>
      </c>
      <c r="G2791" t="str" cm="1">
        <f t="array" ref="G2791">FindCountryName(F2791)</f>
        <v>United States of America (the)</v>
      </c>
      <c r="H2791" s="3">
        <v>45165.488449074073</v>
      </c>
      <c r="I2791" s="3">
        <v>45165.488449074073</v>
      </c>
      <c r="J2791" s="3">
        <v>44394.797696759262</v>
      </c>
      <c r="K2791" cm="1">
        <f t="array" ref="K2791">sentimentCalc(C2791)</f>
        <v>3</v>
      </c>
      <c r="L2791" t="str" cm="1">
        <f t="array" ref="L2791">sentimentCategory(K2791)</f>
        <v>Positive</v>
      </c>
    </row>
    <row r="2792" spans="1:12" x14ac:dyDescent="0.25">
      <c r="A2792" t="s">
        <v>1328</v>
      </c>
      <c r="B2792" t="s">
        <v>3154</v>
      </c>
      <c r="C2792" t="str" cm="1">
        <f t="array" ref="C2792">CleanText(B2792)</f>
        <v>the new yorker</v>
      </c>
      <c r="D2792">
        <v>0</v>
      </c>
      <c r="E2792">
        <v>0</v>
      </c>
      <c r="F2792" t="s">
        <v>10</v>
      </c>
      <c r="G2792" t="str" cm="1">
        <f t="array" ref="G2792">FindCountryName(F2792)</f>
        <v>None</v>
      </c>
      <c r="H2792" s="3">
        <v>45152.661550925928</v>
      </c>
      <c r="I2792" s="3">
        <v>45152.661550925928</v>
      </c>
      <c r="J2792" s="3">
        <v>42897.258020833331</v>
      </c>
      <c r="K2792" cm="1">
        <f t="array" ref="K2792">sentimentCalc(C2792)</f>
        <v>0</v>
      </c>
      <c r="L2792" t="str" cm="1">
        <f t="array" ref="L2792">sentimentCategory(K2792)</f>
        <v>Neutral</v>
      </c>
    </row>
    <row r="2793" spans="1:12" x14ac:dyDescent="0.25">
      <c r="A2793" t="s">
        <v>178</v>
      </c>
      <c r="B2793" t="s">
        <v>3077</v>
      </c>
      <c r="C2793" t="str" cm="1">
        <f t="array" ref="C2793">CleanText(B2793)</f>
        <v>the only thing that made me interested is when she punched the guy</v>
      </c>
      <c r="D2793">
        <v>0</v>
      </c>
      <c r="E2793">
        <v>0</v>
      </c>
      <c r="F2793" t="s">
        <v>10</v>
      </c>
      <c r="G2793" t="str" cm="1">
        <f t="array" ref="G2793">FindCountryName(F2793)</f>
        <v>None</v>
      </c>
      <c r="H2793" s="3">
        <v>45153.690659722219</v>
      </c>
      <c r="I2793" s="3">
        <v>45153.690659722219</v>
      </c>
      <c r="J2793" s="3">
        <v>45055.087812500002</v>
      </c>
      <c r="K2793" cm="1">
        <f t="array" ref="K2793">sentimentCalc(C2793)</f>
        <v>2</v>
      </c>
      <c r="L2793" t="str" cm="1">
        <f t="array" ref="L2793">sentimentCategory(K2793)</f>
        <v>Positive</v>
      </c>
    </row>
    <row r="2794" spans="1:12" x14ac:dyDescent="0.25">
      <c r="A2794" t="s">
        <v>3001</v>
      </c>
      <c r="B2794" t="s">
        <v>3002</v>
      </c>
      <c r="C2794" t="str" cm="1">
        <f t="array" ref="C2794">CleanText(B2794)</f>
        <v>the only thing worse about this is the sad commentary</v>
      </c>
      <c r="D2794">
        <v>0</v>
      </c>
      <c r="E2794">
        <v>0</v>
      </c>
      <c r="F2794" t="s">
        <v>227</v>
      </c>
      <c r="G2794" t="str" cm="1">
        <f t="array" ref="G2794">FindCountryName(F2794)</f>
        <v>United States of America (the)</v>
      </c>
      <c r="H2794" s="3">
        <v>45154.598379629628</v>
      </c>
      <c r="I2794" s="3">
        <v>45154.598379629628</v>
      </c>
      <c r="J2794" s="3">
        <v>41463.397152777776</v>
      </c>
      <c r="K2794" cm="1">
        <f t="array" ref="K2794">sentimentCalc(C2794)</f>
        <v>-5</v>
      </c>
      <c r="L2794" t="str" cm="1">
        <f t="array" ref="L2794">sentimentCategory(K2794)</f>
        <v>Negative</v>
      </c>
    </row>
    <row r="2795" spans="1:12" x14ac:dyDescent="0.25">
      <c r="A2795" t="s">
        <v>213</v>
      </c>
      <c r="B2795" t="s">
        <v>3286</v>
      </c>
      <c r="C2795" t="str" cm="1">
        <f t="array" ref="C2795">CleanText(B2795)</f>
        <v>the part where they freaked out about barbie having flat feet was hilarious for me</v>
      </c>
      <c r="D2795">
        <v>26</v>
      </c>
      <c r="E2795">
        <v>0</v>
      </c>
      <c r="F2795" t="s">
        <v>10</v>
      </c>
      <c r="G2795" t="str" cm="1">
        <f t="array" ref="G2795">FindCountryName(F2795)</f>
        <v>None</v>
      </c>
      <c r="H2795" s="3">
        <v>45150.716365740744</v>
      </c>
      <c r="I2795" s="3">
        <v>45150.716469907406</v>
      </c>
      <c r="J2795" s="3">
        <v>44753.807013888887</v>
      </c>
      <c r="K2795" cm="1">
        <f t="array" ref="K2795">sentimentCalc(C2795)</f>
        <v>2</v>
      </c>
      <c r="L2795" t="str" cm="1">
        <f t="array" ref="L2795">sentimentCategory(K2795)</f>
        <v>Positive</v>
      </c>
    </row>
    <row r="2796" spans="1:12" x14ac:dyDescent="0.25">
      <c r="A2796" t="s">
        <v>3686</v>
      </c>
      <c r="B2796" t="s">
        <v>3951</v>
      </c>
      <c r="C2796" t="str" cm="1">
        <f t="array" ref="C2796">CleanText(B2796)</f>
        <v>the pink hurts my eyes</v>
      </c>
      <c r="D2796">
        <v>1</v>
      </c>
      <c r="E2796">
        <v>0</v>
      </c>
      <c r="F2796" t="s">
        <v>10</v>
      </c>
      <c r="G2796" t="str" cm="1">
        <f t="array" ref="G2796">FindCountryName(F2796)</f>
        <v>None</v>
      </c>
      <c r="H2796" s="3">
        <v>45144.226712962962</v>
      </c>
      <c r="I2796" s="3">
        <v>45144.226712962962</v>
      </c>
      <c r="J2796" s="3">
        <v>41153.538240740738</v>
      </c>
      <c r="K2796" cm="1">
        <f t="array" ref="K2796">sentimentCalc(C2796)</f>
        <v>-2</v>
      </c>
      <c r="L2796" t="str" cm="1">
        <f t="array" ref="L2796">sentimentCategory(K2796)</f>
        <v>Negative</v>
      </c>
    </row>
    <row r="2797" spans="1:12" x14ac:dyDescent="0.25">
      <c r="A2797" t="s">
        <v>135</v>
      </c>
      <c r="B2797" t="s">
        <v>2152</v>
      </c>
      <c r="C2797" t="str" cm="1">
        <f t="array" ref="C2797">CleanText(B2797)</f>
        <v>the pinnacle of materialism and commercialism</v>
      </c>
      <c r="D2797">
        <v>0</v>
      </c>
      <c r="E2797">
        <v>3</v>
      </c>
      <c r="F2797" t="s">
        <v>10</v>
      </c>
      <c r="G2797" t="str" cm="1">
        <f t="array" ref="G2797">FindCountryName(F2797)</f>
        <v>None</v>
      </c>
      <c r="H2797" s="3">
        <v>45177.851805555554</v>
      </c>
      <c r="I2797" s="3">
        <v>45177.851805555554</v>
      </c>
      <c r="J2797" s="3">
        <v>40823.563796296294</v>
      </c>
      <c r="K2797" cm="1">
        <f t="array" ref="K2797">sentimentCalc(C2797)</f>
        <v>0</v>
      </c>
      <c r="L2797" t="str" cm="1">
        <f t="array" ref="L2797">sentimentCategory(K2797)</f>
        <v>Neutral</v>
      </c>
    </row>
    <row r="2798" spans="1:12" x14ac:dyDescent="0.25">
      <c r="A2798" t="s">
        <v>764</v>
      </c>
      <c r="B2798" t="s">
        <v>3810</v>
      </c>
      <c r="C2798" t="str" cm="1">
        <f t="array" ref="C2798">CleanText(B2798)</f>
        <v>the super mario bros moviebox office billion usd</v>
      </c>
      <c r="D2798">
        <v>2</v>
      </c>
      <c r="E2798">
        <v>0</v>
      </c>
      <c r="F2798" t="s">
        <v>10</v>
      </c>
      <c r="G2798" t="str" cm="1">
        <f t="array" ref="G2798">FindCountryName(F2798)</f>
        <v>None</v>
      </c>
      <c r="H2798" s="3">
        <v>45145.332395833335</v>
      </c>
      <c r="I2798" s="3">
        <v>45145.332395833335</v>
      </c>
      <c r="J2798" s="3">
        <v>43757.767002314817</v>
      </c>
      <c r="K2798" cm="1">
        <f t="array" ref="K2798">sentimentCalc(C2798)</f>
        <v>3</v>
      </c>
      <c r="L2798" t="str" cm="1">
        <f t="array" ref="L2798">sentimentCategory(K2798)</f>
        <v>Positive</v>
      </c>
    </row>
    <row r="2799" spans="1:12" x14ac:dyDescent="0.25">
      <c r="A2799" t="s">
        <v>60</v>
      </c>
      <c r="B2799" t="s">
        <v>3761</v>
      </c>
      <c r="C2799" t="str" cm="1">
        <f t="array" ref="C2799">CleanText(B2799)</f>
        <v>the trailer makes no sense to me</v>
      </c>
      <c r="D2799">
        <v>0</v>
      </c>
      <c r="E2799">
        <v>0</v>
      </c>
      <c r="F2799" t="s">
        <v>10</v>
      </c>
      <c r="G2799" t="str" cm="1">
        <f t="array" ref="G2799">FindCountryName(F2799)</f>
        <v>None</v>
      </c>
      <c r="H2799" s="3">
        <v>45145.66951388889</v>
      </c>
      <c r="I2799" s="3">
        <v>45145.66951388889</v>
      </c>
      <c r="J2799" s="3">
        <v>41396.677418981482</v>
      </c>
      <c r="K2799" cm="1">
        <f t="array" ref="K2799">sentimentCalc(C2799)</f>
        <v>-1</v>
      </c>
      <c r="L2799" t="str" cm="1">
        <f t="array" ref="L2799">sentimentCategory(K2799)</f>
        <v>Negative</v>
      </c>
    </row>
    <row r="2800" spans="1:12" x14ac:dyDescent="0.25">
      <c r="A2800" t="s">
        <v>126</v>
      </c>
      <c r="B2800" t="s">
        <v>4463</v>
      </c>
      <c r="C2800" t="str" cm="1">
        <f t="array" ref="C2800">CleanText(B2800)</f>
        <v>the vast majority of men love their women same goes for women who love their men</v>
      </c>
      <c r="D2800">
        <v>0</v>
      </c>
      <c r="E2800">
        <v>0</v>
      </c>
      <c r="F2800" t="s">
        <v>10</v>
      </c>
      <c r="G2800" t="str" cm="1">
        <f t="array" ref="G2800">FindCountryName(F2800)</f>
        <v>None</v>
      </c>
      <c r="H2800" s="3">
        <v>45140.131932870368</v>
      </c>
      <c r="I2800" s="3">
        <v>45140.131932870368</v>
      </c>
      <c r="J2800" s="3">
        <v>44207.093425925923</v>
      </c>
      <c r="K2800" cm="1">
        <f t="array" ref="K2800">sentimentCalc(C2800)</f>
        <v>6</v>
      </c>
      <c r="L2800" t="str" cm="1">
        <f t="array" ref="L2800">sentimentCategory(K2800)</f>
        <v>Positive</v>
      </c>
    </row>
    <row r="2801" spans="1:12" x14ac:dyDescent="0.25">
      <c r="A2801" t="s">
        <v>2161</v>
      </c>
      <c r="B2801" t="s">
        <v>2163</v>
      </c>
      <c r="C2801" t="str" cm="1">
        <f t="array" ref="C2801">CleanText(B2801)</f>
        <v>the visuals look great and the humor seems pretty good</v>
      </c>
      <c r="D2801">
        <v>0</v>
      </c>
      <c r="E2801">
        <v>0</v>
      </c>
      <c r="F2801" t="s">
        <v>10</v>
      </c>
      <c r="G2801" t="str" cm="1">
        <f t="array" ref="G2801">FindCountryName(F2801)</f>
        <v>None</v>
      </c>
      <c r="H2801" s="3">
        <v>45177.504525462966</v>
      </c>
      <c r="I2801" s="3">
        <v>45177.504525462966</v>
      </c>
      <c r="J2801" s="3">
        <v>38940.557662037034</v>
      </c>
      <c r="K2801" cm="1">
        <f t="array" ref="K2801">sentimentCalc(C2801)</f>
        <v>9</v>
      </c>
      <c r="L2801" t="str" cm="1">
        <f t="array" ref="L2801">sentimentCategory(K2801)</f>
        <v>Positive</v>
      </c>
    </row>
    <row r="2802" spans="1:12" x14ac:dyDescent="0.25">
      <c r="A2802" t="s">
        <v>1496</v>
      </c>
      <c r="B2802" t="s">
        <v>1497</v>
      </c>
      <c r="C2802" t="str" cm="1">
        <f t="array" ref="C2802">CleanText(B2802)</f>
        <v>the way is a dua lipa and ice spice and nicki minaj make this song in barbie movie and in the youtube</v>
      </c>
      <c r="D2802">
        <v>0</v>
      </c>
      <c r="E2802">
        <v>0</v>
      </c>
      <c r="F2802" t="s">
        <v>10</v>
      </c>
      <c r="G2802" t="str" cm="1">
        <f t="array" ref="G2802">FindCountryName(F2802)</f>
        <v>None</v>
      </c>
      <c r="H2802" s="3">
        <v>45219.971122685187</v>
      </c>
      <c r="I2802" s="3">
        <v>45219.971122685187</v>
      </c>
      <c r="J2802" s="3">
        <v>43236.523194444446</v>
      </c>
      <c r="K2802" cm="1">
        <f t="array" ref="K2802">sentimentCalc(C2802)</f>
        <v>0</v>
      </c>
      <c r="L2802" t="str" cm="1">
        <f t="array" ref="L2802">sentimentCategory(K2802)</f>
        <v>Neutral</v>
      </c>
    </row>
    <row r="2803" spans="1:12" x14ac:dyDescent="0.25">
      <c r="A2803" t="s">
        <v>4052</v>
      </c>
      <c r="B2803" t="s">
        <v>4053</v>
      </c>
      <c r="C2803" t="str" cm="1">
        <f t="array" ref="C2803">CleanText(B2803)</f>
        <v>the way that sashas name is so similar to mine</v>
      </c>
      <c r="D2803">
        <v>0</v>
      </c>
      <c r="E2803">
        <v>0</v>
      </c>
      <c r="F2803" t="s">
        <v>10</v>
      </c>
      <c r="G2803" t="str" cm="1">
        <f t="array" ref="G2803">FindCountryName(F2803)</f>
        <v>None</v>
      </c>
      <c r="H2803" s="3">
        <v>45143.382916666669</v>
      </c>
      <c r="I2803" s="3">
        <v>45143.382916666669</v>
      </c>
      <c r="J2803" s="3">
        <v>45128.344571759262</v>
      </c>
      <c r="K2803" cm="1">
        <f t="array" ref="K2803">sentimentCalc(C2803)</f>
        <v>0</v>
      </c>
      <c r="L2803" t="str" cm="1">
        <f t="array" ref="L2803">sentimentCategory(K2803)</f>
        <v>Neutral</v>
      </c>
    </row>
    <row r="2804" spans="1:12" x14ac:dyDescent="0.25">
      <c r="A2804" t="s">
        <v>527</v>
      </c>
      <c r="B2804" t="s">
        <v>2049</v>
      </c>
      <c r="C2804" t="str" cm="1">
        <f t="array" ref="C2804">CleanText(B2804)</f>
        <v>the whole time i thought this was a kids movie due to so many little girls dressing up and going to see it</v>
      </c>
      <c r="D2804">
        <v>0</v>
      </c>
      <c r="E2804">
        <v>0</v>
      </c>
      <c r="F2804" t="s">
        <v>10</v>
      </c>
      <c r="G2804" t="str" cm="1">
        <f t="array" ref="G2804">FindCountryName(F2804)</f>
        <v>None</v>
      </c>
      <c r="H2804" s="3">
        <v>45182.799571759257</v>
      </c>
      <c r="I2804" s="3">
        <v>45182.799571759257</v>
      </c>
      <c r="J2804" s="3">
        <v>41050.768807870372</v>
      </c>
      <c r="K2804" cm="1">
        <f t="array" ref="K2804">sentimentCalc(C2804)</f>
        <v>0</v>
      </c>
      <c r="L2804" t="str" cm="1">
        <f t="array" ref="L2804">sentimentCategory(K2804)</f>
        <v>Neutral</v>
      </c>
    </row>
    <row r="2805" spans="1:12" x14ac:dyDescent="0.25">
      <c r="A2805" t="s">
        <v>54</v>
      </c>
      <c r="B2805" t="s">
        <v>3600</v>
      </c>
      <c r="C2805" t="str" cm="1">
        <f t="array" ref="C2805">CleanText(B2805)</f>
        <v>the wise think is this movies based on full marketing strategy of barbie dall  many expensive things and make our kids stubborn for fking western things</v>
      </c>
      <c r="D2805">
        <v>2</v>
      </c>
      <c r="E2805">
        <v>0</v>
      </c>
      <c r="F2805" t="s">
        <v>10</v>
      </c>
      <c r="G2805" t="str" cm="1">
        <f t="array" ref="G2805">FindCountryName(F2805)</f>
        <v>None</v>
      </c>
      <c r="H2805" s="3">
        <v>45147.255729166667</v>
      </c>
      <c r="I2805" s="3">
        <v>45147.25571759259</v>
      </c>
      <c r="J2805" s="3">
        <v>44615.022175925929</v>
      </c>
      <c r="K2805" cm="1">
        <f t="array" ref="K2805">sentimentCalc(C2805)</f>
        <v>-2</v>
      </c>
      <c r="L2805" t="str" cm="1">
        <f t="array" ref="L2805">sentimentCategory(K2805)</f>
        <v>Negative</v>
      </c>
    </row>
    <row r="2806" spans="1:12" x14ac:dyDescent="0.25">
      <c r="A2806" t="s">
        <v>1129</v>
      </c>
      <c r="B2806" t="s">
        <v>2926</v>
      </c>
      <c r="C2806" t="str" cm="1">
        <f t="array" ref="C2806">CleanText(B2806)</f>
        <v>the world is sick</v>
      </c>
      <c r="D2806">
        <v>0</v>
      </c>
      <c r="E2806">
        <v>0</v>
      </c>
      <c r="F2806" t="s">
        <v>10</v>
      </c>
      <c r="G2806" t="str" cm="1">
        <f t="array" ref="G2806">FindCountryName(F2806)</f>
        <v>None</v>
      </c>
      <c r="H2806" s="3">
        <v>45155.811354166668</v>
      </c>
      <c r="I2806" s="3">
        <v>45155.811354166668</v>
      </c>
      <c r="J2806" s="3">
        <v>43233.414826388886</v>
      </c>
      <c r="K2806" cm="1">
        <f t="array" ref="K2806">sentimentCalc(C2806)</f>
        <v>-2</v>
      </c>
      <c r="L2806" t="str" cm="1">
        <f t="array" ref="L2806">sentimentCategory(K2806)</f>
        <v>Negative</v>
      </c>
    </row>
    <row r="2807" spans="1:12" x14ac:dyDescent="0.25">
      <c r="A2807" t="s">
        <v>405</v>
      </c>
      <c r="B2807" t="s">
        <v>3078</v>
      </c>
      <c r="C2807" t="str" cm="1">
        <f t="array" ref="C2807">CleanText(B2807)</f>
        <v>the worst ever the only thing more stupid than this movie is the ken and how he looks like</v>
      </c>
      <c r="D2807">
        <v>1</v>
      </c>
      <c r="E2807">
        <v>1</v>
      </c>
      <c r="F2807" t="s">
        <v>10</v>
      </c>
      <c r="G2807" t="str" cm="1">
        <f t="array" ref="G2807">FindCountryName(F2807)</f>
        <v>None</v>
      </c>
      <c r="H2807" s="3">
        <v>45153.689884259256</v>
      </c>
      <c r="I2807" s="3">
        <v>45153.689884259256</v>
      </c>
      <c r="J2807" s="3">
        <v>45001.402141203704</v>
      </c>
      <c r="K2807" cm="1">
        <f t="array" ref="K2807">sentimentCalc(C2807)</f>
        <v>-3</v>
      </c>
      <c r="L2807" t="str" cm="1">
        <f t="array" ref="L2807">sentimentCategory(K2807)</f>
        <v>Negative</v>
      </c>
    </row>
    <row r="2808" spans="1:12" x14ac:dyDescent="0.25">
      <c r="A2808" t="s">
        <v>692</v>
      </c>
      <c r="B2808" t="s">
        <v>693</v>
      </c>
      <c r="C2808" t="str" cm="1">
        <f t="array" ref="C2808">CleanText(B2808)</f>
        <v>the worst film ever after mamma mia</v>
      </c>
      <c r="D2808">
        <v>1</v>
      </c>
      <c r="E2808">
        <v>6</v>
      </c>
      <c r="F2808" t="s">
        <v>10</v>
      </c>
      <c r="G2808" t="str" cm="1">
        <f t="array" ref="G2808">FindCountryName(F2808)</f>
        <v>None</v>
      </c>
      <c r="H2808" s="3">
        <v>45313.691493055558</v>
      </c>
      <c r="I2808" s="3">
        <v>45313.691493055558</v>
      </c>
      <c r="J2808" s="3">
        <v>42716.254999999997</v>
      </c>
      <c r="K2808" cm="1">
        <f t="array" ref="K2808">sentimentCalc(C2808)</f>
        <v>-3</v>
      </c>
      <c r="L2808" t="str" cm="1">
        <f t="array" ref="L2808">sentimentCategory(K2808)</f>
        <v>Negative</v>
      </c>
    </row>
    <row r="2809" spans="1:12" x14ac:dyDescent="0.25">
      <c r="A2809" t="s">
        <v>114</v>
      </c>
      <c r="B2809" t="s">
        <v>1637</v>
      </c>
      <c r="C2809" t="str" cm="1">
        <f t="array" ref="C2809">CleanText(B2809)</f>
        <v>the worst film ever made</v>
      </c>
      <c r="D2809">
        <v>2</v>
      </c>
      <c r="E2809">
        <v>4</v>
      </c>
      <c r="F2809" t="s">
        <v>10</v>
      </c>
      <c r="G2809" t="str" cm="1">
        <f t="array" ref="G2809">FindCountryName(F2809)</f>
        <v>None</v>
      </c>
      <c r="H2809" s="3">
        <v>45206.876851851855</v>
      </c>
      <c r="I2809" s="3">
        <v>45206.876851851855</v>
      </c>
      <c r="J2809" s="3">
        <v>43932.686226851853</v>
      </c>
      <c r="K2809" cm="1">
        <f t="array" ref="K2809">sentimentCalc(C2809)</f>
        <v>-3</v>
      </c>
      <c r="L2809" t="str" cm="1">
        <f t="array" ref="L2809">sentimentCategory(K2809)</f>
        <v>Negative</v>
      </c>
    </row>
    <row r="2810" spans="1:12" x14ac:dyDescent="0.25">
      <c r="A2810" t="s">
        <v>2327</v>
      </c>
      <c r="B2810" t="s">
        <v>3524</v>
      </c>
      <c r="C2810" t="str" cm="1">
        <f t="array" ref="C2810">CleanText(B2810)</f>
        <v>the worst movie ever</v>
      </c>
      <c r="D2810">
        <v>4</v>
      </c>
      <c r="E2810">
        <v>1</v>
      </c>
      <c r="F2810" t="s">
        <v>10</v>
      </c>
      <c r="G2810" t="str" cm="1">
        <f t="array" ref="G2810">FindCountryName(F2810)</f>
        <v>None</v>
      </c>
      <c r="H2810" s="3">
        <v>45147.825543981482</v>
      </c>
      <c r="I2810" s="3">
        <v>45147.825543981482</v>
      </c>
      <c r="J2810" s="3">
        <v>43290.743761574071</v>
      </c>
      <c r="K2810" cm="1">
        <f t="array" ref="K2810">sentimentCalc(C2810)</f>
        <v>-3</v>
      </c>
      <c r="L2810" t="str" cm="1">
        <f t="array" ref="L2810">sentimentCategory(K2810)</f>
        <v>Negative</v>
      </c>
    </row>
    <row r="2811" spans="1:12" x14ac:dyDescent="0.25">
      <c r="A2811" t="s">
        <v>2671</v>
      </c>
      <c r="B2811" t="s">
        <v>2672</v>
      </c>
      <c r="C2811" t="str" cm="1">
        <f t="array" ref="C2811">CleanText(B2811)</f>
        <v>the worst movie i ever seen</v>
      </c>
      <c r="D2811">
        <v>2</v>
      </c>
      <c r="E2811">
        <v>3</v>
      </c>
      <c r="F2811" t="s">
        <v>10</v>
      </c>
      <c r="G2811" t="str" cm="1">
        <f t="array" ref="G2811">FindCountryName(F2811)</f>
        <v>None</v>
      </c>
      <c r="H2811" s="3">
        <v>45160.400856481479</v>
      </c>
      <c r="I2811" s="3">
        <v>45160.400856481479</v>
      </c>
      <c r="J2811" s="3">
        <v>44806.913599537038</v>
      </c>
      <c r="K2811" cm="1">
        <f t="array" ref="K2811">sentimentCalc(C2811)</f>
        <v>-3</v>
      </c>
      <c r="L2811" t="str" cm="1">
        <f t="array" ref="L2811">sentimentCategory(K2811)</f>
        <v>Negative</v>
      </c>
    </row>
    <row r="2812" spans="1:12" x14ac:dyDescent="0.25">
      <c r="A2812" t="s">
        <v>54</v>
      </c>
      <c r="B2812" t="s">
        <v>1737</v>
      </c>
      <c r="C2812" t="str" cm="1">
        <f t="array" ref="C2812">CleanText(B2812)</f>
        <v>the worst movie i ever seen i fell asleep in the movie theater it was that bad</v>
      </c>
      <c r="D2812">
        <v>1</v>
      </c>
      <c r="E2812">
        <v>0</v>
      </c>
      <c r="F2812" t="s">
        <v>10</v>
      </c>
      <c r="G2812" t="str" cm="1">
        <f t="array" ref="G2812">FindCountryName(F2812)</f>
        <v>None</v>
      </c>
      <c r="H2812" s="3">
        <v>45197.997766203705</v>
      </c>
      <c r="I2812" s="3">
        <v>45197.997766203705</v>
      </c>
      <c r="J2812" s="3">
        <v>42206.078796296293</v>
      </c>
      <c r="K2812" cm="1">
        <f t="array" ref="K2812">sentimentCalc(C2812)</f>
        <v>-6</v>
      </c>
      <c r="L2812" t="str" cm="1">
        <f t="array" ref="L2812">sentimentCategory(K2812)</f>
        <v>Negative</v>
      </c>
    </row>
    <row r="2813" spans="1:12" x14ac:dyDescent="0.25">
      <c r="A2813" t="s">
        <v>205</v>
      </c>
      <c r="B2813" t="s">
        <v>1126</v>
      </c>
      <c r="C2813" t="str" cm="1">
        <f t="array" ref="C2813">CleanText(B2813)</f>
        <v>the worst movie i have ever seen in my damn life very disgusting and very ugly in my opinion</v>
      </c>
      <c r="D2813">
        <v>7</v>
      </c>
      <c r="E2813">
        <v>4</v>
      </c>
      <c r="F2813" t="s">
        <v>10</v>
      </c>
      <c r="G2813" t="str" cm="1">
        <f t="array" ref="G2813">FindCountryName(F2813)</f>
        <v>None</v>
      </c>
      <c r="H2813" s="3">
        <v>45285.706805555557</v>
      </c>
      <c r="I2813" s="3">
        <v>45285.707314814812</v>
      </c>
      <c r="J2813" s="3">
        <v>41794.387789351851</v>
      </c>
      <c r="K2813" cm="1">
        <f t="array" ref="K2813">sentimentCalc(C2813)</f>
        <v>-13</v>
      </c>
      <c r="L2813" t="str" cm="1">
        <f t="array" ref="L2813">sentimentCategory(K2813)</f>
        <v>Negative</v>
      </c>
    </row>
    <row r="2814" spans="1:12" x14ac:dyDescent="0.25">
      <c r="A2814" t="s">
        <v>3804</v>
      </c>
      <c r="B2814" t="s">
        <v>3805</v>
      </c>
      <c r="C2814" t="str" cm="1">
        <f t="array" ref="C2814">CleanText(B2814)</f>
        <v>the worst moviechinas claim to vietnams territorial rights has been ruled as a violation of international lawbutin this movie vietnam territory is chinese territory</v>
      </c>
      <c r="D2814">
        <v>2</v>
      </c>
      <c r="E2814">
        <v>0</v>
      </c>
      <c r="F2814" t="s">
        <v>10</v>
      </c>
      <c r="G2814" t="str" cm="1">
        <f t="array" ref="G2814">FindCountryName(F2814)</f>
        <v>None</v>
      </c>
      <c r="H2814" s="3">
        <v>45145.378483796296</v>
      </c>
      <c r="I2814" s="3">
        <v>45145.378483796296</v>
      </c>
      <c r="J2814" s="3">
        <v>44085.111342592594</v>
      </c>
      <c r="K2814" cm="1">
        <f t="array" ref="K2814">sentimentCalc(C2814)</f>
        <v>-3</v>
      </c>
      <c r="L2814" t="str" cm="1">
        <f t="array" ref="L2814">sentimentCategory(K2814)</f>
        <v>Negative</v>
      </c>
    </row>
    <row r="2815" spans="1:12" x14ac:dyDescent="0.25">
      <c r="A2815" t="s">
        <v>345</v>
      </c>
      <c r="B2815" t="s">
        <v>3977</v>
      </c>
      <c r="C2815" t="str" cm="1">
        <f t="array" ref="C2815">CleanText(B2815)</f>
        <v>the worst western trash movie i could watch just  minutes is horrible i know usa make almost just trash but this is the worst</v>
      </c>
      <c r="D2815">
        <v>0</v>
      </c>
      <c r="E2815">
        <v>0</v>
      </c>
      <c r="F2815" t="s">
        <v>10</v>
      </c>
      <c r="G2815" t="str" cm="1">
        <f t="array" ref="G2815">FindCountryName(F2815)</f>
        <v>None</v>
      </c>
      <c r="H2815" s="3">
        <v>45144.10701388889</v>
      </c>
      <c r="I2815" s="3">
        <v>45144.10701388889</v>
      </c>
      <c r="J2815" s="3">
        <v>44609.228159722225</v>
      </c>
      <c r="K2815" cm="1">
        <f t="array" ref="K2815">sentimentCalc(C2815)</f>
        <v>-9</v>
      </c>
      <c r="L2815" t="str" cm="1">
        <f t="array" ref="L2815">sentimentCategory(K2815)</f>
        <v>Negative</v>
      </c>
    </row>
    <row r="2816" spans="1:12" x14ac:dyDescent="0.25">
      <c r="A2816" t="s">
        <v>472</v>
      </c>
      <c r="B2816" t="s">
        <v>473</v>
      </c>
      <c r="C2816" t="str" cm="1">
        <f t="array" ref="C2816">CleanText(B2816)</f>
        <v>then oppenheimer comes</v>
      </c>
      <c r="D2816">
        <v>0</v>
      </c>
      <c r="E2816">
        <v>0</v>
      </c>
      <c r="F2816" t="s">
        <v>10</v>
      </c>
      <c r="G2816" t="str" cm="1">
        <f t="array" ref="G2816">FindCountryName(F2816)</f>
        <v>None</v>
      </c>
      <c r="H2816" s="3">
        <v>45321.057881944442</v>
      </c>
      <c r="I2816" s="3">
        <v>45321.057881944442</v>
      </c>
      <c r="J2816" s="3">
        <v>42783.957615740743</v>
      </c>
      <c r="K2816" cm="1">
        <f t="array" ref="K2816">sentimentCalc(C2816)</f>
        <v>0</v>
      </c>
      <c r="L2816" t="str" cm="1">
        <f t="array" ref="L2816">sentimentCategory(K2816)</f>
        <v>Neutral</v>
      </c>
    </row>
    <row r="2817" spans="1:12" x14ac:dyDescent="0.25">
      <c r="A2817" t="s">
        <v>534</v>
      </c>
      <c r="B2817" t="s">
        <v>3535</v>
      </c>
      <c r="C2817" t="str" cm="1">
        <f t="array" ref="C2817">CleanText(B2817)</f>
        <v>there are agendas and hidden messages in this moviejust to raise awareness for people with brainswarning not for kids</v>
      </c>
      <c r="D2817">
        <v>0</v>
      </c>
      <c r="E2817">
        <v>0</v>
      </c>
      <c r="F2817" t="s">
        <v>10</v>
      </c>
      <c r="G2817" t="str" cm="1">
        <f t="array" ref="G2817">FindCountryName(F2817)</f>
        <v>None</v>
      </c>
      <c r="H2817" s="3">
        <v>45147.729270833333</v>
      </c>
      <c r="I2817" s="3">
        <v>45147.729270833333</v>
      </c>
      <c r="J2817" s="3">
        <v>41278.650868055556</v>
      </c>
      <c r="K2817" cm="1">
        <f t="array" ref="K2817">sentimentCalc(C2817)</f>
        <v>0</v>
      </c>
      <c r="L2817" t="str" cm="1">
        <f t="array" ref="L2817">sentimentCategory(K2817)</f>
        <v>Neutral</v>
      </c>
    </row>
    <row r="2818" spans="1:12" x14ac:dyDescent="0.25">
      <c r="A2818" t="s">
        <v>1215</v>
      </c>
      <c r="B2818" t="s">
        <v>2361</v>
      </c>
      <c r="C2818" t="str" cm="1">
        <f t="array" ref="C2818">CleanText(B2818)</f>
        <v>there is curse words in this movie</v>
      </c>
      <c r="D2818">
        <v>2</v>
      </c>
      <c r="E2818">
        <v>4</v>
      </c>
      <c r="F2818" t="s">
        <v>10</v>
      </c>
      <c r="G2818" t="str" cm="1">
        <f t="array" ref="G2818">FindCountryName(F2818)</f>
        <v>None</v>
      </c>
      <c r="H2818" s="3">
        <v>45170.61141203704</v>
      </c>
      <c r="I2818" s="3">
        <v>45170.61141203704</v>
      </c>
      <c r="J2818" s="3">
        <v>44947.6016087963</v>
      </c>
      <c r="K2818" cm="1">
        <f t="array" ref="K2818">sentimentCalc(C2818)</f>
        <v>-1</v>
      </c>
      <c r="L2818" t="str" cm="1">
        <f t="array" ref="L2818">sentimentCategory(K2818)</f>
        <v>Negative</v>
      </c>
    </row>
    <row r="2819" spans="1:12" x14ac:dyDescent="0.25">
      <c r="A2819" t="s">
        <v>11</v>
      </c>
      <c r="B2819" t="s">
        <v>2981</v>
      </c>
      <c r="C2819" t="str" cm="1">
        <f t="array" ref="C2819">CleanText(B2819)</f>
        <v>there like the pink shirt couple</v>
      </c>
      <c r="D2819">
        <v>0</v>
      </c>
      <c r="E2819">
        <v>0</v>
      </c>
      <c r="F2819" t="s">
        <v>10</v>
      </c>
      <c r="G2819" t="str" cm="1">
        <f t="array" ref="G2819">FindCountryName(F2819)</f>
        <v>None</v>
      </c>
      <c r="H2819" s="3">
        <v>45154.812858796293</v>
      </c>
      <c r="I2819" s="3">
        <v>45154.812858796293</v>
      </c>
      <c r="J2819" s="3">
        <v>45082.402743055558</v>
      </c>
      <c r="K2819" cm="1">
        <f t="array" ref="K2819">sentimentCalc(C2819)</f>
        <v>2</v>
      </c>
      <c r="L2819" t="str" cm="1">
        <f t="array" ref="L2819">sentimentCategory(K2819)</f>
        <v>Positive</v>
      </c>
    </row>
    <row r="2820" spans="1:12" x14ac:dyDescent="0.25">
      <c r="A2820" t="s">
        <v>895</v>
      </c>
      <c r="B2820" t="s">
        <v>2059</v>
      </c>
      <c r="C2820" t="str" cm="1">
        <f t="array" ref="C2820">CleanText(B2820)</f>
        <v>there needs to be a barbie land theme park</v>
      </c>
      <c r="D2820">
        <v>5</v>
      </c>
      <c r="E2820">
        <v>1</v>
      </c>
      <c r="F2820" t="s">
        <v>10</v>
      </c>
      <c r="G2820" t="str" cm="1">
        <f t="array" ref="G2820">FindCountryName(F2820)</f>
        <v>None</v>
      </c>
      <c r="H2820" s="3">
        <v>45182.480590277781</v>
      </c>
      <c r="I2820" s="3">
        <v>45182.480590277781</v>
      </c>
      <c r="J2820" s="3">
        <v>42321.814444444448</v>
      </c>
      <c r="K2820" cm="1">
        <f t="array" ref="K2820">sentimentCalc(C2820)</f>
        <v>0</v>
      </c>
      <c r="L2820" t="str" cm="1">
        <f t="array" ref="L2820">sentimentCategory(K2820)</f>
        <v>Neutral</v>
      </c>
    </row>
    <row r="2821" spans="1:12" x14ac:dyDescent="0.25">
      <c r="A2821" t="s">
        <v>378</v>
      </c>
      <c r="B2821" t="s">
        <v>2758</v>
      </c>
      <c r="C2821" t="str" cm="1">
        <f t="array" ref="C2821">CleanText(B2821)</f>
        <v>there never was a fat barbie but theres fat ones in the movie</v>
      </c>
      <c r="D2821">
        <v>1</v>
      </c>
      <c r="E2821">
        <v>0</v>
      </c>
      <c r="F2821" t="s">
        <v>10</v>
      </c>
      <c r="G2821" t="str" cm="1">
        <f t="array" ref="G2821">FindCountryName(F2821)</f>
        <v>None</v>
      </c>
      <c r="H2821" s="3">
        <v>45158.427349537036</v>
      </c>
      <c r="I2821" s="3">
        <v>45158.427349537036</v>
      </c>
      <c r="J2821" s="3">
        <v>40940.416388888887</v>
      </c>
      <c r="K2821" cm="1">
        <f t="array" ref="K2821">sentimentCalc(C2821)</f>
        <v>0</v>
      </c>
      <c r="L2821" t="str" cm="1">
        <f t="array" ref="L2821">sentimentCategory(K2821)</f>
        <v>Neutral</v>
      </c>
    </row>
    <row r="2822" spans="1:12" x14ac:dyDescent="0.25">
      <c r="A2822" t="s">
        <v>36</v>
      </c>
      <c r="B2822" t="s">
        <v>2477</v>
      </c>
      <c r="C2822" t="str" cm="1">
        <f t="array" ref="C2822">CleanText(B2822)</f>
        <v>there should be an american playing barbie who can pronounce the name barbie properly margot says welcome to bobbies dream house just sounds wrong barbie is an american icon an american born and bred</v>
      </c>
      <c r="D2822">
        <v>1</v>
      </c>
      <c r="E2822">
        <v>5</v>
      </c>
      <c r="F2822" t="s">
        <v>10</v>
      </c>
      <c r="G2822" t="str" cm="1">
        <f t="array" ref="G2822">FindCountryName(F2822)</f>
        <v>None</v>
      </c>
      <c r="H2822" s="3">
        <v>45165.710706018515</v>
      </c>
      <c r="I2822" s="3">
        <v>45165.711354166669</v>
      </c>
      <c r="J2822" s="3">
        <v>43760.472650462965</v>
      </c>
      <c r="K2822" cm="1">
        <f t="array" ref="K2822">sentimentCalc(C2822)</f>
        <v>1</v>
      </c>
      <c r="L2822" t="str" cm="1">
        <f t="array" ref="L2822">sentimentCategory(K2822)</f>
        <v>Positive</v>
      </c>
    </row>
    <row r="2823" spans="1:12" x14ac:dyDescent="0.25">
      <c r="A2823" t="s">
        <v>423</v>
      </c>
      <c r="B2823" t="s">
        <v>2109</v>
      </c>
      <c r="C2823" t="str" cm="1">
        <f t="array" ref="C2823">CleanText(B2823)</f>
        <v>there was a male barbie yelling flat feet lol</v>
      </c>
      <c r="D2823">
        <v>0</v>
      </c>
      <c r="E2823">
        <v>0</v>
      </c>
      <c r="F2823" t="s">
        <v>10</v>
      </c>
      <c r="G2823" t="str" cm="1">
        <f t="array" ref="G2823">FindCountryName(F2823)</f>
        <v>None</v>
      </c>
      <c r="H2823" s="3">
        <v>45180.270983796298</v>
      </c>
      <c r="I2823" s="3">
        <v>45180.270983796298</v>
      </c>
      <c r="J2823" s="3">
        <v>42347.466006944444</v>
      </c>
      <c r="K2823" cm="1">
        <f t="array" ref="K2823">sentimentCalc(C2823)</f>
        <v>0</v>
      </c>
      <c r="L2823" t="str" cm="1">
        <f t="array" ref="L2823">sentimentCategory(K2823)</f>
        <v>Neutral</v>
      </c>
    </row>
    <row r="2824" spans="1:12" x14ac:dyDescent="0.25">
      <c r="A2824" t="s">
        <v>2202</v>
      </c>
      <c r="B2824" t="s">
        <v>2203</v>
      </c>
      <c r="C2824" t="str" cm="1">
        <f t="array" ref="C2824">CleanText(B2824)</f>
        <v>there were some laughs throughout the movie but overall it was meh also one cringe speech by the woman that was barbies owner sheesh</v>
      </c>
      <c r="D2824">
        <v>3</v>
      </c>
      <c r="E2824">
        <v>8</v>
      </c>
      <c r="F2824" t="s">
        <v>10</v>
      </c>
      <c r="G2824" t="str" cm="1">
        <f t="array" ref="G2824">FindCountryName(F2824)</f>
        <v>None</v>
      </c>
      <c r="H2824" s="3">
        <v>45175.923761574071</v>
      </c>
      <c r="I2824" s="3">
        <v>45175.923750000002</v>
      </c>
      <c r="J2824" s="3">
        <v>41404.388171296298</v>
      </c>
      <c r="K2824" cm="1">
        <f t="array" ref="K2824">sentimentCalc(C2824)</f>
        <v>1</v>
      </c>
      <c r="L2824" t="str" cm="1">
        <f t="array" ref="L2824">sentimentCategory(K2824)</f>
        <v>Positive</v>
      </c>
    </row>
    <row r="2825" spans="1:12" x14ac:dyDescent="0.25">
      <c r="A2825" t="s">
        <v>1567</v>
      </c>
      <c r="B2825" t="s">
        <v>3426</v>
      </c>
      <c r="C2825" t="str" cm="1">
        <f t="array" ref="C2825">CleanText(B2825)</f>
        <v>these damn liberals are ruining my favorite childhood toy</v>
      </c>
      <c r="D2825">
        <v>2</v>
      </c>
      <c r="E2825">
        <v>0</v>
      </c>
      <c r="F2825" t="s">
        <v>10</v>
      </c>
      <c r="G2825" t="str" cm="1">
        <f t="array" ref="G2825">FindCountryName(F2825)</f>
        <v>None</v>
      </c>
      <c r="H2825" s="3">
        <v>45149.049780092595</v>
      </c>
      <c r="I2825" s="3">
        <v>45149.049780092595</v>
      </c>
      <c r="J2825" s="3">
        <v>42364.914976851855</v>
      </c>
      <c r="K2825" cm="1">
        <f t="array" ref="K2825">sentimentCalc(C2825)</f>
        <v>-4</v>
      </c>
      <c r="L2825" t="str" cm="1">
        <f t="array" ref="L2825">sentimentCategory(K2825)</f>
        <v>Negative</v>
      </c>
    </row>
    <row r="2826" spans="1:12" x14ac:dyDescent="0.25">
      <c r="A2826" t="s">
        <v>678</v>
      </c>
      <c r="B2826" t="s">
        <v>4174</v>
      </c>
      <c r="C2826" t="str" cm="1">
        <f t="array" ref="C2826">CleanText(B2826)</f>
        <v>they are old for this movie barbie is actually a teen girl</v>
      </c>
      <c r="D2826">
        <v>2</v>
      </c>
      <c r="E2826">
        <v>3</v>
      </c>
      <c r="F2826" t="s">
        <v>10</v>
      </c>
      <c r="G2826" t="str" cm="1">
        <f t="array" ref="G2826">FindCountryName(F2826)</f>
        <v>None</v>
      </c>
      <c r="H2826" s="3">
        <v>45142.297997685186</v>
      </c>
      <c r="I2826" s="3">
        <v>45142.297997685186</v>
      </c>
      <c r="J2826" s="3">
        <v>41466.380752314813</v>
      </c>
      <c r="K2826" cm="1">
        <f t="array" ref="K2826">sentimentCalc(C2826)</f>
        <v>0</v>
      </c>
      <c r="L2826" t="str" cm="1">
        <f t="array" ref="L2826">sentimentCategory(K2826)</f>
        <v>Neutral</v>
      </c>
    </row>
    <row r="2827" spans="1:12" x14ac:dyDescent="0.25">
      <c r="A2827" t="s">
        <v>62</v>
      </c>
      <c r="B2827" t="s">
        <v>63</v>
      </c>
      <c r="C2827" t="str" cm="1">
        <f t="array" ref="C2827">CleanText(B2827)</f>
        <v>they are special to barbie and ken</v>
      </c>
      <c r="D2827">
        <v>0</v>
      </c>
      <c r="E2827">
        <v>0</v>
      </c>
      <c r="F2827" t="s">
        <v>10</v>
      </c>
      <c r="G2827" t="str" cm="1">
        <f t="array" ref="G2827">FindCountryName(F2827)</f>
        <v>None</v>
      </c>
      <c r="H2827" s="3">
        <v>45343.132638888892</v>
      </c>
      <c r="I2827" s="3">
        <v>45343.132638888892</v>
      </c>
      <c r="J2827" s="3">
        <v>44649.30228009259</v>
      </c>
      <c r="K2827" cm="1">
        <f t="array" ref="K2827">sentimentCalc(C2827)</f>
        <v>0</v>
      </c>
      <c r="L2827" t="str" cm="1">
        <f t="array" ref="L2827">sentimentCategory(K2827)</f>
        <v>Neutral</v>
      </c>
    </row>
    <row r="2828" spans="1:12" x14ac:dyDescent="0.25">
      <c r="A2828" t="s">
        <v>2559</v>
      </c>
      <c r="B2828" t="s">
        <v>2560</v>
      </c>
      <c r="C2828" t="str" cm="1">
        <f t="array" ref="C2828">CleanText(B2828)</f>
        <v>they are wrong  if you believe in god you will live forever</v>
      </c>
      <c r="D2828">
        <v>2</v>
      </c>
      <c r="E2828">
        <v>3</v>
      </c>
      <c r="F2828" t="s">
        <v>10</v>
      </c>
      <c r="G2828" t="str" cm="1">
        <f t="array" ref="G2828">FindCountryName(F2828)</f>
        <v>None</v>
      </c>
      <c r="H2828" s="3">
        <v>45163.408333333333</v>
      </c>
      <c r="I2828" s="3">
        <v>45163.408333333333</v>
      </c>
      <c r="J2828" s="3">
        <v>41715.360115740739</v>
      </c>
      <c r="K2828" cm="1">
        <f t="array" ref="K2828">sentimentCalc(C2828)</f>
        <v>-1</v>
      </c>
      <c r="L2828" t="str" cm="1">
        <f t="array" ref="L2828">sentimentCategory(K2828)</f>
        <v>Negative</v>
      </c>
    </row>
    <row r="2829" spans="1:12" x14ac:dyDescent="0.25">
      <c r="A2829" t="s">
        <v>311</v>
      </c>
      <c r="B2829" t="s">
        <v>4016</v>
      </c>
      <c r="C2829" t="str" cm="1">
        <f t="array" ref="C2829">CleanText(B2829)</f>
        <v>they could have chosen a better barbie</v>
      </c>
      <c r="D2829">
        <v>0</v>
      </c>
      <c r="E2829">
        <v>1</v>
      </c>
      <c r="F2829" t="s">
        <v>10</v>
      </c>
      <c r="G2829" t="str" cm="1">
        <f t="array" ref="G2829">FindCountryName(F2829)</f>
        <v>None</v>
      </c>
      <c r="H2829" s="3">
        <v>45143.677581018521</v>
      </c>
      <c r="I2829" s="3">
        <v>45143.677581018521</v>
      </c>
      <c r="J2829" s="3">
        <v>40991.71597222222</v>
      </c>
      <c r="K2829" cm="1">
        <f t="array" ref="K2829">sentimentCalc(C2829)</f>
        <v>2</v>
      </c>
      <c r="L2829" t="str" cm="1">
        <f t="array" ref="L2829">sentimentCategory(K2829)</f>
        <v>Positive</v>
      </c>
    </row>
    <row r="2830" spans="1:12" x14ac:dyDescent="0.25">
      <c r="A2830" t="s">
        <v>4047</v>
      </c>
      <c r="B2830" t="s">
        <v>4048</v>
      </c>
      <c r="C2830" t="str" cm="1">
        <f t="array" ref="C2830">CleanText(B2830)</f>
        <v>they could of used any blond girl in hollywood thats way younger and prettier than this actress that played harley quinn and ryan gosling is a terrible choice for ken i dont understand movie directors sometimes they cast old ppl to play a doll that is meant for children barbie in my opinion should be in her late teens as well as ken</v>
      </c>
      <c r="D2830">
        <v>1</v>
      </c>
      <c r="E2830">
        <v>5</v>
      </c>
      <c r="F2830" t="s">
        <v>10</v>
      </c>
      <c r="G2830" t="str" cm="1">
        <f t="array" ref="G2830">FindCountryName(F2830)</f>
        <v>None</v>
      </c>
      <c r="H2830" s="3">
        <v>45143.407106481478</v>
      </c>
      <c r="I2830" s="3">
        <v>45143.407106481478</v>
      </c>
      <c r="J2830" s="3">
        <v>45031.875775462962</v>
      </c>
      <c r="K2830" cm="1">
        <f t="array" ref="K2830">sentimentCalc(C2830)</f>
        <v>-3</v>
      </c>
      <c r="L2830" t="str" cm="1">
        <f t="array" ref="L2830">sentimentCategory(K2830)</f>
        <v>Negative</v>
      </c>
    </row>
    <row r="2831" spans="1:12" x14ac:dyDescent="0.25">
      <c r="A2831" t="s">
        <v>173</v>
      </c>
      <c r="B2831" t="s">
        <v>1812</v>
      </c>
      <c r="C2831" t="str" cm="1">
        <f t="array" ref="C2831">CleanText(B2831)</f>
        <v>they couldnt get pitt as ken</v>
      </c>
      <c r="D2831">
        <v>0</v>
      </c>
      <c r="E2831">
        <v>0</v>
      </c>
      <c r="F2831" t="s">
        <v>10</v>
      </c>
      <c r="G2831" t="str" cm="1">
        <f t="array" ref="G2831">FindCountryName(F2831)</f>
        <v>None</v>
      </c>
      <c r="H2831" s="3">
        <v>45193.482916666668</v>
      </c>
      <c r="I2831" s="3">
        <v>45193.482916666668</v>
      </c>
      <c r="J2831" s="3">
        <v>41675.733888888892</v>
      </c>
      <c r="K2831" cm="1">
        <f t="array" ref="K2831">sentimentCalc(C2831)</f>
        <v>0</v>
      </c>
      <c r="L2831" t="str" cm="1">
        <f t="array" ref="L2831">sentimentCategory(K2831)</f>
        <v>Neutral</v>
      </c>
    </row>
    <row r="2832" spans="1:12" x14ac:dyDescent="0.25">
      <c r="A2832" t="s">
        <v>2605</v>
      </c>
      <c r="B2832" t="s">
        <v>3705</v>
      </c>
      <c r="C2832" t="str" cm="1">
        <f t="array" ref="C2832">CleanText(B2832)</f>
        <v>they rly had us no idea from this trailer that the film would be a giant feminist nightmare but what did i rly expect from a blond lass who loves the coulour pink</v>
      </c>
      <c r="D2832">
        <v>2</v>
      </c>
      <c r="E2832">
        <v>0</v>
      </c>
      <c r="F2832" t="s">
        <v>10</v>
      </c>
      <c r="G2832" t="str" cm="1">
        <f t="array" ref="G2832">FindCountryName(F2832)</f>
        <v>None</v>
      </c>
      <c r="H2832" s="3">
        <v>45146.261886574073</v>
      </c>
      <c r="I2832" s="3">
        <v>45146.261886574073</v>
      </c>
      <c r="J2832" s="3">
        <v>44570.388749999998</v>
      </c>
      <c r="K2832" cm="1">
        <f t="array" ref="K2832">sentimentCalc(C2832)</f>
        <v>-1</v>
      </c>
      <c r="L2832" t="str" cm="1">
        <f t="array" ref="L2832">sentimentCategory(K2832)</f>
        <v>Negative</v>
      </c>
    </row>
    <row r="2833" spans="1:12" x14ac:dyDescent="0.25">
      <c r="A2833" t="s">
        <v>938</v>
      </c>
      <c r="B2833" t="s">
        <v>3547</v>
      </c>
      <c r="C2833" t="str" cm="1">
        <f t="array" ref="C2833">CleanText(B2833)</f>
        <v>they ruined by childhood barbie  my barbie was beautiful</v>
      </c>
      <c r="D2833">
        <v>0</v>
      </c>
      <c r="E2833">
        <v>0</v>
      </c>
      <c r="F2833" t="s">
        <v>10</v>
      </c>
      <c r="G2833" t="str" cm="1">
        <f t="array" ref="G2833">FindCountryName(F2833)</f>
        <v>None</v>
      </c>
      <c r="H2833" s="3">
        <v>45147.608634259261</v>
      </c>
      <c r="I2833" s="3">
        <v>45147.608634259261</v>
      </c>
      <c r="J2833" s="3">
        <v>41459.354826388888</v>
      </c>
      <c r="K2833" cm="1">
        <f t="array" ref="K2833">sentimentCalc(C2833)</f>
        <v>1</v>
      </c>
      <c r="L2833" t="str" cm="1">
        <f t="array" ref="L2833">sentimentCategory(K2833)</f>
        <v>Positive</v>
      </c>
    </row>
    <row r="2834" spans="1:12" x14ac:dyDescent="0.25">
      <c r="A2834" t="s">
        <v>290</v>
      </c>
      <c r="B2834" t="s">
        <v>1673</v>
      </c>
      <c r="C2834" t="str" cm="1">
        <f t="array" ref="C2834">CleanText(B2834)</f>
        <v>they say the one father go a the movie whit the daugta if the movie no can to go kids more yonges the  yeras old maibe the daugta the this man like to go bud no can because they no let a her go in this  now if the move tech a her hate her father in reality this is dream the all men</v>
      </c>
      <c r="D2834">
        <v>0</v>
      </c>
      <c r="E2834">
        <v>0</v>
      </c>
      <c r="F2834" t="s">
        <v>10</v>
      </c>
      <c r="G2834" t="str" cm="1">
        <f t="array" ref="G2834">FindCountryName(F2834)</f>
        <v>None</v>
      </c>
      <c r="H2834" s="3">
        <v>45203.412974537037</v>
      </c>
      <c r="I2834" s="3">
        <v>45203.412974537037</v>
      </c>
      <c r="J2834" s="3">
        <v>43975.852997685186</v>
      </c>
      <c r="K2834" cm="1">
        <f t="array" ref="K2834">sentimentCalc(C2834)</f>
        <v>-3</v>
      </c>
      <c r="L2834" t="str" cm="1">
        <f t="array" ref="L2834">sentimentCategory(K2834)</f>
        <v>Negative</v>
      </c>
    </row>
    <row r="2835" spans="1:12" x14ac:dyDescent="0.25">
      <c r="A2835" t="s">
        <v>2892</v>
      </c>
      <c r="B2835" t="s">
        <v>2893</v>
      </c>
      <c r="C2835" t="str" cm="1">
        <f t="array" ref="C2835">CleanText(B2835)</f>
        <v>they used the song even for just a little bit</v>
      </c>
      <c r="D2835">
        <v>1</v>
      </c>
      <c r="E2835">
        <v>0</v>
      </c>
      <c r="F2835" t="s">
        <v>2894</v>
      </c>
      <c r="G2835" t="str" cm="1">
        <f t="array" ref="G2835">FindCountryName(F2835)</f>
        <v>Japan</v>
      </c>
      <c r="H2835" s="3">
        <v>45156.355196759258</v>
      </c>
      <c r="I2835" s="3">
        <v>45156.355196759258</v>
      </c>
      <c r="J2835" s="3">
        <v>43095.64980324074</v>
      </c>
      <c r="K2835" cm="1">
        <f t="array" ref="K2835">sentimentCalc(C2835)</f>
        <v>0</v>
      </c>
      <c r="L2835" t="str" cm="1">
        <f t="array" ref="L2835">sentimentCategory(K2835)</f>
        <v>Neutral</v>
      </c>
    </row>
    <row r="2836" spans="1:12" x14ac:dyDescent="0.25">
      <c r="A2836" t="s">
        <v>58</v>
      </c>
      <c r="B2836" t="s">
        <v>3076</v>
      </c>
      <c r="C2836" t="str" cm="1">
        <f t="array" ref="C2836">CleanText(B2836)</f>
        <v>thinking inside the box with the gender binary a  minute paid advert in drag an hour and a half of pure cringe pc platitudes and vacuous giggles to please the sponsor and to fleece your wallet will this be the beginning of a new era of  minute adverts instead of movies perform your life as prescribed by your socially responsible corporations you are a brandi would have preferred diamanda galas do you take this man for the end creditsbrainwashing disguised as a revolution about as much fun as banging my head against the wall for  minutes</v>
      </c>
      <c r="D2836">
        <v>1</v>
      </c>
      <c r="E2836">
        <v>6</v>
      </c>
      <c r="F2836" t="s">
        <v>10</v>
      </c>
      <c r="G2836" t="str" cm="1">
        <f t="array" ref="G2836">FindCountryName(F2836)</f>
        <v>None</v>
      </c>
      <c r="H2836" s="3">
        <v>45153.710752314815</v>
      </c>
      <c r="I2836" s="3">
        <v>45153.775289351855</v>
      </c>
      <c r="J2836" s="3">
        <v>45040.042592592596</v>
      </c>
      <c r="K2836" cm="1">
        <f t="array" ref="K2836">sentimentCalc(C2836)</f>
        <v>5</v>
      </c>
      <c r="L2836" t="str" cm="1">
        <f t="array" ref="L2836">sentimentCategory(K2836)</f>
        <v>Positive</v>
      </c>
    </row>
    <row r="2837" spans="1:12" x14ac:dyDescent="0.25">
      <c r="A2837" t="s">
        <v>345</v>
      </c>
      <c r="B2837" t="s">
        <v>3519</v>
      </c>
      <c r="C2837" t="str" cm="1">
        <f t="array" ref="C2837">CleanText(B2837)</f>
        <v>this allowed to watch for kids</v>
      </c>
      <c r="D2837">
        <v>0</v>
      </c>
      <c r="E2837">
        <v>0</v>
      </c>
      <c r="F2837" t="s">
        <v>10</v>
      </c>
      <c r="G2837" t="str" cm="1">
        <f t="array" ref="G2837">FindCountryName(F2837)</f>
        <v>None</v>
      </c>
      <c r="H2837" s="3">
        <v>45147.954641203702</v>
      </c>
      <c r="I2837" s="3">
        <v>45147.954629629632</v>
      </c>
      <c r="J2837" s="3">
        <v>43950.677094907405</v>
      </c>
      <c r="K2837" cm="1">
        <f t="array" ref="K2837">sentimentCalc(C2837)</f>
        <v>0</v>
      </c>
      <c r="L2837" t="str" cm="1">
        <f t="array" ref="L2837">sentimentCategory(K2837)</f>
        <v>Neutral</v>
      </c>
    </row>
    <row r="2838" spans="1:12" x14ac:dyDescent="0.25">
      <c r="A2838" t="s">
        <v>79</v>
      </c>
      <c r="B2838" t="s">
        <v>4250</v>
      </c>
      <c r="C2838" t="str" cm="1">
        <f t="array" ref="C2838">CleanText(B2838)</f>
        <v>this barbie is not beautiful</v>
      </c>
      <c r="D2838">
        <v>2</v>
      </c>
      <c r="E2838">
        <v>0</v>
      </c>
      <c r="F2838" t="s">
        <v>10</v>
      </c>
      <c r="G2838" t="str" cm="1">
        <f t="array" ref="G2838">FindCountryName(F2838)</f>
        <v>None</v>
      </c>
      <c r="H2838" s="3">
        <v>45141.468518518515</v>
      </c>
      <c r="I2838" s="3">
        <v>45141.468518518515</v>
      </c>
      <c r="J2838" s="3">
        <v>44471.52270833333</v>
      </c>
      <c r="K2838" cm="1">
        <f t="array" ref="K2838">sentimentCalc(C2838)</f>
        <v>3</v>
      </c>
      <c r="L2838" t="str" cm="1">
        <f t="array" ref="L2838">sentimentCategory(K2838)</f>
        <v>Positive</v>
      </c>
    </row>
    <row r="2839" spans="1:12" x14ac:dyDescent="0.25">
      <c r="A2839" t="s">
        <v>534</v>
      </c>
      <c r="B2839" t="s">
        <v>4452</v>
      </c>
      <c r="C2839" t="str" cm="1">
        <f t="array" ref="C2839">CleanText(B2839)</f>
        <v>this barbie is not beautiful like then</v>
      </c>
      <c r="D2839">
        <v>0</v>
      </c>
      <c r="E2839">
        <v>0</v>
      </c>
      <c r="F2839" t="s">
        <v>10</v>
      </c>
      <c r="G2839" t="str" cm="1">
        <f t="array" ref="G2839">FindCountryName(F2839)</f>
        <v>None</v>
      </c>
      <c r="H2839" s="3">
        <v>45140.200277777774</v>
      </c>
      <c r="I2839" s="3">
        <v>45140.200277777774</v>
      </c>
      <c r="J2839" s="3">
        <v>43877.79351851852</v>
      </c>
      <c r="K2839" cm="1">
        <f t="array" ref="K2839">sentimentCalc(C2839)</f>
        <v>5</v>
      </c>
      <c r="L2839" t="str" cm="1">
        <f t="array" ref="L2839">sentimentCategory(K2839)</f>
        <v>Positive</v>
      </c>
    </row>
    <row r="2840" spans="1:12" x14ac:dyDescent="0.25">
      <c r="A2840" t="s">
        <v>773</v>
      </c>
      <c r="B2840" t="s">
        <v>2330</v>
      </c>
      <c r="C2840" t="str" cm="1">
        <f t="array" ref="C2840">CleanText(B2840)</f>
        <v>this beat super matio bros become the highest grossing movie of  viva barbie</v>
      </c>
      <c r="D2840">
        <v>3</v>
      </c>
      <c r="E2840">
        <v>1</v>
      </c>
      <c r="F2840" t="s">
        <v>10</v>
      </c>
      <c r="G2840" t="str" cm="1">
        <f t="array" ref="G2840">FindCountryName(F2840)</f>
        <v>None</v>
      </c>
      <c r="H2840" s="3">
        <v>45171.807870370372</v>
      </c>
      <c r="I2840" s="3">
        <v>45171.810370370367</v>
      </c>
      <c r="J2840" s="3">
        <v>45112.98228009259</v>
      </c>
      <c r="K2840" cm="1">
        <f t="array" ref="K2840">sentimentCalc(C2840)</f>
        <v>3</v>
      </c>
      <c r="L2840" t="str" cm="1">
        <f t="array" ref="L2840">sentimentCategory(K2840)</f>
        <v>Positive</v>
      </c>
    </row>
    <row r="2841" spans="1:12" x14ac:dyDescent="0.25">
      <c r="A2841" t="s">
        <v>1719</v>
      </c>
      <c r="B2841" t="s">
        <v>1720</v>
      </c>
      <c r="C2841" t="str" cm="1">
        <f t="array" ref="C2841">CleanText(B2841)</f>
        <v>this cass eliot song has been ruined for me</v>
      </c>
      <c r="D2841">
        <v>0</v>
      </c>
      <c r="E2841">
        <v>0</v>
      </c>
      <c r="F2841" t="s">
        <v>227</v>
      </c>
      <c r="G2841" t="str" cm="1">
        <f t="array" ref="G2841">FindCountryName(F2841)</f>
        <v>United States of America (the)</v>
      </c>
      <c r="H2841" s="3">
        <v>45199.564143518517</v>
      </c>
      <c r="I2841" s="3">
        <v>45199.564143518517</v>
      </c>
      <c r="J2841" s="3">
        <v>43420.77648148148</v>
      </c>
      <c r="K2841" cm="1">
        <f t="array" ref="K2841">sentimentCalc(C2841)</f>
        <v>-2</v>
      </c>
      <c r="L2841" t="str" cm="1">
        <f t="array" ref="L2841">sentimentCategory(K2841)</f>
        <v>Negative</v>
      </c>
    </row>
    <row r="2842" spans="1:12" x14ac:dyDescent="0.25">
      <c r="A2842" t="s">
        <v>2212</v>
      </c>
      <c r="B2842" t="s">
        <v>2213</v>
      </c>
      <c r="C2842" t="str" cm="1">
        <f t="array" ref="C2842">CleanText(B2842)</f>
        <v>this cinematic slop is so symptomatic of the woke generation of nitwits just as green beret was to a gungho generation of nitwits fashion comes and goes idiocy is forever</v>
      </c>
      <c r="D2842">
        <v>0</v>
      </c>
      <c r="E2842">
        <v>0</v>
      </c>
      <c r="F2842" t="s">
        <v>10</v>
      </c>
      <c r="G2842" t="str" cm="1">
        <f t="array" ref="G2842">FindCountryName(F2842)</f>
        <v>None</v>
      </c>
      <c r="H2842" s="3">
        <v>45175.701678240737</v>
      </c>
      <c r="I2842" s="3">
        <v>45175.701678240737</v>
      </c>
      <c r="J2842" s="3">
        <v>40205.803159722222</v>
      </c>
      <c r="K2842" cm="1">
        <f t="array" ref="K2842">sentimentCalc(C2842)</f>
        <v>0</v>
      </c>
      <c r="L2842" t="str" cm="1">
        <f t="array" ref="L2842">sentimentCategory(K2842)</f>
        <v>Neutral</v>
      </c>
    </row>
    <row r="2843" spans="1:12" x14ac:dyDescent="0.25">
      <c r="A2843" t="s">
        <v>1702</v>
      </c>
      <c r="B2843" t="s">
        <v>1703</v>
      </c>
      <c r="C2843" t="str" cm="1">
        <f t="array" ref="C2843">CleanText(B2843)</f>
        <v>this director is gonna work on narnia movies</v>
      </c>
      <c r="D2843">
        <v>0</v>
      </c>
      <c r="E2843">
        <v>0</v>
      </c>
      <c r="F2843" t="s">
        <v>1073</v>
      </c>
      <c r="G2843" t="str" cm="1">
        <f t="array" ref="G2843">FindCountryName(F2843)</f>
        <v>India</v>
      </c>
      <c r="H2843" s="3">
        <v>45201.1250462963</v>
      </c>
      <c r="I2843" s="3">
        <v>45201.1250462963</v>
      </c>
      <c r="J2843" s="3">
        <v>43173.577222222222</v>
      </c>
      <c r="K2843" cm="1">
        <f t="array" ref="K2843">sentimentCalc(C2843)</f>
        <v>0</v>
      </c>
      <c r="L2843" t="str" cm="1">
        <f t="array" ref="L2843">sentimentCategory(K2843)</f>
        <v>Neutral</v>
      </c>
    </row>
    <row r="2844" spans="1:12" x14ac:dyDescent="0.25">
      <c r="A2844" t="s">
        <v>1922</v>
      </c>
      <c r="B2844" t="s">
        <v>2076</v>
      </c>
      <c r="C2844" t="str" cm="1">
        <f t="array" ref="C2844">CleanText(B2844)</f>
        <v>this film deserves an oscar for best custom design best art design best casting and best director</v>
      </c>
      <c r="D2844">
        <v>1</v>
      </c>
      <c r="E2844">
        <v>0</v>
      </c>
      <c r="F2844" t="s">
        <v>1050</v>
      </c>
      <c r="G2844" t="str" cm="1">
        <f t="array" ref="G2844">FindCountryName(F2844)</f>
        <v>Germany</v>
      </c>
      <c r="H2844" s="3">
        <v>45181.723090277781</v>
      </c>
      <c r="I2844" s="3">
        <v>45181.723078703704</v>
      </c>
      <c r="J2844" s="3">
        <v>44684.822025462963</v>
      </c>
      <c r="K2844" cm="1">
        <f t="array" ref="K2844">sentimentCalc(C2844)</f>
        <v>12</v>
      </c>
      <c r="L2844" t="str" cm="1">
        <f t="array" ref="L2844">sentimentCategory(K2844)</f>
        <v>Positive</v>
      </c>
    </row>
    <row r="2845" spans="1:12" x14ac:dyDescent="0.25">
      <c r="A2845" t="s">
        <v>848</v>
      </c>
      <c r="B2845" t="s">
        <v>849</v>
      </c>
      <c r="C2845" t="str" cm="1">
        <f t="array" ref="C2845">CleanText(B2845)</f>
        <v>this film had so much hype and yet it was so one dimensional im glad i didnt pay to see this film</v>
      </c>
      <c r="D2845">
        <v>0</v>
      </c>
      <c r="E2845">
        <v>0</v>
      </c>
      <c r="F2845" t="s">
        <v>10</v>
      </c>
      <c r="G2845" t="str" cm="1">
        <f t="array" ref="G2845">FindCountryName(F2845)</f>
        <v>None</v>
      </c>
      <c r="H2845" s="3">
        <v>45300.930937500001</v>
      </c>
      <c r="I2845" s="3">
        <v>45300.930937500001</v>
      </c>
      <c r="J2845" s="3">
        <v>40031.131921296299</v>
      </c>
      <c r="K2845" cm="1">
        <f t="array" ref="K2845">sentimentCalc(C2845)</f>
        <v>2</v>
      </c>
      <c r="L2845" t="str" cm="1">
        <f t="array" ref="L2845">sentimentCategory(K2845)</f>
        <v>Positive</v>
      </c>
    </row>
    <row r="2846" spans="1:12" x14ac:dyDescent="0.25">
      <c r="A2846" t="s">
        <v>596</v>
      </c>
      <c r="B2846" t="s">
        <v>1075</v>
      </c>
      <c r="C2846" t="str" cm="1">
        <f t="array" ref="C2846">CleanText(B2846)</f>
        <v>this film is absolutely not for children its rammed full of toxic gender ideology and you are an irresponsible parent if you let your children watch it it even has a bbc logo appear  of the way through you are either brainwashed or ugly one of the characters said wtf</v>
      </c>
      <c r="D2846">
        <v>1</v>
      </c>
      <c r="E2846">
        <v>10</v>
      </c>
      <c r="F2846" t="s">
        <v>10</v>
      </c>
      <c r="G2846" t="str" cm="1">
        <f t="array" ref="G2846">FindCountryName(F2846)</f>
        <v>None</v>
      </c>
      <c r="H2846" s="3">
        <v>45292.751921296294</v>
      </c>
      <c r="I2846" s="3">
        <v>45292.752442129633</v>
      </c>
      <c r="J2846" s="3">
        <v>39440.600671296299</v>
      </c>
      <c r="K2846" cm="1">
        <f t="array" ref="K2846">sentimentCalc(C2846)</f>
        <v>-1</v>
      </c>
      <c r="L2846" t="str" cm="1">
        <f t="array" ref="L2846">sentimentCategory(K2846)</f>
        <v>Negative</v>
      </c>
    </row>
    <row r="2847" spans="1:12" x14ac:dyDescent="0.25">
      <c r="A2847" t="s">
        <v>629</v>
      </c>
      <c r="B2847" t="s">
        <v>3584</v>
      </c>
      <c r="C2847" t="str" cm="1">
        <f t="array" ref="C2847">CleanText(B2847)</f>
        <v>this film is full of lgbt ideology no to this</v>
      </c>
      <c r="D2847">
        <v>2</v>
      </c>
      <c r="E2847">
        <v>0</v>
      </c>
      <c r="F2847" t="s">
        <v>10</v>
      </c>
      <c r="G2847" t="str" cm="1">
        <f t="array" ref="G2847">FindCountryName(F2847)</f>
        <v>None</v>
      </c>
      <c r="H2847" s="3">
        <v>45147.424120370371</v>
      </c>
      <c r="I2847" s="3">
        <v>45147.424108796295</v>
      </c>
      <c r="J2847" s="3">
        <v>44579.259293981479</v>
      </c>
      <c r="K2847" cm="1">
        <f t="array" ref="K2847">sentimentCalc(C2847)</f>
        <v>-1</v>
      </c>
      <c r="L2847" t="str" cm="1">
        <f t="array" ref="L2847">sentimentCategory(K2847)</f>
        <v>Negative</v>
      </c>
    </row>
    <row r="2848" spans="1:12" x14ac:dyDescent="0.25">
      <c r="A2848" t="s">
        <v>804</v>
      </c>
      <c r="B2848" t="s">
        <v>3299</v>
      </c>
      <c r="C2848" t="str" cm="1">
        <f t="array" ref="C2848">CleanText(B2848)</f>
        <v>this film is my favourite  film</v>
      </c>
      <c r="D2848">
        <v>1</v>
      </c>
      <c r="E2848">
        <v>0</v>
      </c>
      <c r="F2848" t="s">
        <v>10</v>
      </c>
      <c r="G2848" t="str" cm="1">
        <f t="array" ref="G2848">FindCountryName(F2848)</f>
        <v>None</v>
      </c>
      <c r="H2848" s="3">
        <v>45150.58861111111</v>
      </c>
      <c r="I2848" s="3">
        <v>45150.58861111111</v>
      </c>
      <c r="J2848" s="3">
        <v>41713.488761574074</v>
      </c>
      <c r="K2848" cm="1">
        <f t="array" ref="K2848">sentimentCalc(C2848)</f>
        <v>0</v>
      </c>
      <c r="L2848" t="str" cm="1">
        <f t="array" ref="L2848">sentimentCategory(K2848)</f>
        <v>Neutral</v>
      </c>
    </row>
    <row r="2849" spans="1:12" x14ac:dyDescent="0.25">
      <c r="A2849" t="s">
        <v>81</v>
      </c>
      <c r="B2849" t="s">
        <v>2860</v>
      </c>
      <c r="C2849" t="str" cm="1">
        <f t="array" ref="C2849">CleanText(B2849)</f>
        <v>this film is shockingly deep if youre aware of the current culture warwow</v>
      </c>
      <c r="D2849">
        <v>2</v>
      </c>
      <c r="E2849">
        <v>2</v>
      </c>
      <c r="F2849" t="s">
        <v>10</v>
      </c>
      <c r="G2849" t="str" cm="1">
        <f t="array" ref="G2849">FindCountryName(F2849)</f>
        <v>None</v>
      </c>
      <c r="H2849" s="3">
        <v>45156.759143518517</v>
      </c>
      <c r="I2849" s="3">
        <v>45156.759131944447</v>
      </c>
      <c r="J2849" s="3">
        <v>41393.742164351854</v>
      </c>
      <c r="K2849" cm="1">
        <f t="array" ref="K2849">sentimentCalc(C2849)</f>
        <v>0</v>
      </c>
      <c r="L2849" t="str" cm="1">
        <f t="array" ref="L2849">sentimentCategory(K2849)</f>
        <v>Neutral</v>
      </c>
    </row>
    <row r="2850" spans="1:12" x14ac:dyDescent="0.25">
      <c r="A2850" t="s">
        <v>555</v>
      </c>
      <c r="B2850" t="s">
        <v>959</v>
      </c>
      <c r="C2850" t="str" cm="1">
        <f t="array" ref="C2850">CleanText(B2850)</f>
        <v>this film very goodi like this movie</v>
      </c>
      <c r="D2850">
        <v>0</v>
      </c>
      <c r="E2850">
        <v>0</v>
      </c>
      <c r="F2850" t="s">
        <v>10</v>
      </c>
      <c r="G2850" t="str" cm="1">
        <f t="array" ref="G2850">FindCountryName(F2850)</f>
        <v>None</v>
      </c>
      <c r="H2850" s="3">
        <v>45299.256319444445</v>
      </c>
      <c r="I2850" s="3">
        <v>45299.256319444445</v>
      </c>
      <c r="J2850" s="3">
        <v>41489.073807870373</v>
      </c>
      <c r="K2850" cm="1">
        <f t="array" ref="K2850">sentimentCalc(C2850)</f>
        <v>2</v>
      </c>
      <c r="L2850" t="str" cm="1">
        <f t="array" ref="L2850">sentimentCategory(K2850)</f>
        <v>Positive</v>
      </c>
    </row>
    <row r="2851" spans="1:12" x14ac:dyDescent="0.25">
      <c r="A2851" t="s">
        <v>1244</v>
      </c>
      <c r="B2851" t="s">
        <v>1245</v>
      </c>
      <c r="C2851" t="str" cm="1">
        <f t="array" ref="C2851">CleanText(B2851)</f>
        <v>this film was amazing</v>
      </c>
      <c r="D2851">
        <v>10</v>
      </c>
      <c r="E2851">
        <v>1</v>
      </c>
      <c r="F2851" t="s">
        <v>10</v>
      </c>
      <c r="G2851" t="str" cm="1">
        <f t="array" ref="G2851">FindCountryName(F2851)</f>
        <v>None</v>
      </c>
      <c r="H2851" s="3">
        <v>45269.456828703704</v>
      </c>
      <c r="I2851" s="3">
        <v>45269.456828703704</v>
      </c>
      <c r="J2851" s="3">
        <v>44151.633819444447</v>
      </c>
      <c r="K2851" cm="1">
        <f t="array" ref="K2851">sentimentCalc(C2851)</f>
        <v>4</v>
      </c>
      <c r="L2851" t="str" cm="1">
        <f t="array" ref="L2851">sentimentCategory(K2851)</f>
        <v>Positive</v>
      </c>
    </row>
    <row r="2852" spans="1:12" x14ac:dyDescent="0.25">
      <c r="A2852" t="s">
        <v>2060</v>
      </c>
      <c r="B2852" t="s">
        <v>2061</v>
      </c>
      <c r="C2852" t="str" cm="1">
        <f t="array" ref="C2852">CleanText(B2852)</f>
        <v>this film was worthy of appreciation</v>
      </c>
      <c r="D2852">
        <v>5</v>
      </c>
      <c r="E2852">
        <v>0</v>
      </c>
      <c r="F2852" t="s">
        <v>10</v>
      </c>
      <c r="G2852" t="str" cm="1">
        <f t="array" ref="G2852">FindCountryName(F2852)</f>
        <v>None</v>
      </c>
      <c r="H2852" s="3">
        <v>45182.455312500002</v>
      </c>
      <c r="I2852" s="3">
        <v>45182.455312500002</v>
      </c>
      <c r="J2852" s="3">
        <v>44261.594525462962</v>
      </c>
      <c r="K2852" cm="1">
        <f t="array" ref="K2852">sentimentCalc(C2852)</f>
        <v>4</v>
      </c>
      <c r="L2852" t="str" cm="1">
        <f t="array" ref="L2852">sentimentCategory(K2852)</f>
        <v>Positive</v>
      </c>
    </row>
    <row r="2853" spans="1:12" x14ac:dyDescent="0.25">
      <c r="A2853" t="s">
        <v>1989</v>
      </c>
      <c r="B2853" t="s">
        <v>1990</v>
      </c>
      <c r="C2853" t="str" cm="1">
        <f t="array" ref="C2853">CleanText(B2853)</f>
        <v>this film will go down as one of the greatest films ever made the message is  feet deep men women feminine masculine doesnt matter the point is to live your life and thats good enough this film is oscar worthy as well as being in the film registry</v>
      </c>
      <c r="D2853">
        <v>287</v>
      </c>
      <c r="E2853">
        <v>48</v>
      </c>
      <c r="F2853" t="s">
        <v>10</v>
      </c>
      <c r="G2853" t="str" cm="1">
        <f t="array" ref="G2853">FindCountryName(F2853)</f>
        <v>None</v>
      </c>
      <c r="H2853" s="3">
        <v>45185.336168981485</v>
      </c>
      <c r="I2853" s="3">
        <v>45185.336168981485</v>
      </c>
      <c r="J2853" s="3">
        <v>44506.243125000001</v>
      </c>
      <c r="K2853" cm="1">
        <f t="array" ref="K2853">sentimentCalc(C2853)</f>
        <v>9</v>
      </c>
      <c r="L2853" t="str" cm="1">
        <f t="array" ref="L2853">sentimentCategory(K2853)</f>
        <v>Positive</v>
      </c>
    </row>
    <row r="2854" spans="1:12" x14ac:dyDescent="0.25">
      <c r="A2854" t="s">
        <v>527</v>
      </c>
      <c r="B2854" t="s">
        <v>528</v>
      </c>
      <c r="C2854" t="str" cm="1">
        <f t="array" ref="C2854">CleanText(B2854)</f>
        <v>this films very emotional</v>
      </c>
      <c r="D2854">
        <v>0</v>
      </c>
      <c r="E2854">
        <v>0</v>
      </c>
      <c r="F2854" t="s">
        <v>10</v>
      </c>
      <c r="G2854" t="str" cm="1">
        <f t="array" ref="G2854">FindCountryName(F2854)</f>
        <v>None</v>
      </c>
      <c r="H2854" s="3">
        <v>45317.299016203702</v>
      </c>
      <c r="I2854" s="3">
        <v>45317.299016203702</v>
      </c>
      <c r="J2854" s="3">
        <v>39296.271469907406</v>
      </c>
      <c r="K2854" cm="1">
        <f t="array" ref="K2854">sentimentCalc(C2854)</f>
        <v>0</v>
      </c>
      <c r="L2854" t="str" cm="1">
        <f t="array" ref="L2854">sentimentCategory(K2854)</f>
        <v>Neutral</v>
      </c>
    </row>
    <row r="2855" spans="1:12" x14ac:dyDescent="0.25">
      <c r="A2855" t="s">
        <v>347</v>
      </c>
      <c r="B2855" t="s">
        <v>348</v>
      </c>
      <c r="C2855" t="str" cm="1">
        <f t="array" ref="C2855">CleanText(B2855)</f>
        <v>this funny</v>
      </c>
      <c r="D2855">
        <v>0</v>
      </c>
      <c r="E2855">
        <v>0</v>
      </c>
      <c r="F2855" t="s">
        <v>10</v>
      </c>
      <c r="G2855" t="str" cm="1">
        <f t="array" ref="G2855">FindCountryName(F2855)</f>
        <v>None</v>
      </c>
      <c r="H2855" s="3">
        <v>45322.277314814812</v>
      </c>
      <c r="I2855" s="3">
        <v>45322.277314814812</v>
      </c>
      <c r="J2855" s="3">
        <v>45322.261006944442</v>
      </c>
      <c r="K2855" cm="1">
        <f t="array" ref="K2855">sentimentCalc(C2855)</f>
        <v>4</v>
      </c>
      <c r="L2855" t="str" cm="1">
        <f t="array" ref="L2855">sentimentCategory(K2855)</f>
        <v>Positive</v>
      </c>
    </row>
    <row r="2856" spans="1:12" x14ac:dyDescent="0.25">
      <c r="A2856" t="s">
        <v>190</v>
      </c>
      <c r="B2856" t="s">
        <v>1500</v>
      </c>
      <c r="C2856" t="str" cm="1">
        <f t="array" ref="C2856">CleanText(B2856)</f>
        <v>this good</v>
      </c>
      <c r="D2856">
        <v>1</v>
      </c>
      <c r="E2856">
        <v>0</v>
      </c>
      <c r="F2856" t="s">
        <v>10</v>
      </c>
      <c r="G2856" t="str" cm="1">
        <f t="array" ref="G2856">FindCountryName(F2856)</f>
        <v>None</v>
      </c>
      <c r="H2856" s="3">
        <v>45218.934282407405</v>
      </c>
      <c r="I2856" s="3">
        <v>45218.934282407405</v>
      </c>
      <c r="J2856" s="3">
        <v>45121.445185185185</v>
      </c>
      <c r="K2856" cm="1">
        <f t="array" ref="K2856">sentimentCalc(C2856)</f>
        <v>3</v>
      </c>
      <c r="L2856" t="str" cm="1">
        <f t="array" ref="L2856">sentimentCategory(K2856)</f>
        <v>Positive</v>
      </c>
    </row>
    <row r="2857" spans="1:12" x14ac:dyDescent="0.25">
      <c r="A2857" t="s">
        <v>3826</v>
      </c>
      <c r="B2857" t="s">
        <v>3827</v>
      </c>
      <c r="C2857" t="str" cm="1">
        <f t="array" ref="C2857">CleanText(B2857)</f>
        <v>this has got to be the dumbest movie yet it hits a billion this tells us just how dumb down movie goers are not going waste a penny this flash nonsence</v>
      </c>
      <c r="D2857">
        <v>4</v>
      </c>
      <c r="E2857">
        <v>2</v>
      </c>
      <c r="F2857" t="s">
        <v>10</v>
      </c>
      <c r="G2857" t="str" cm="1">
        <f t="array" ref="G2857">FindCountryName(F2857)</f>
        <v>None</v>
      </c>
      <c r="H2857" s="3">
        <v>45145.239374999997</v>
      </c>
      <c r="I2857" s="3">
        <v>45145.239374999997</v>
      </c>
      <c r="J2857" s="3">
        <v>43720.669618055559</v>
      </c>
      <c r="K2857" cm="1">
        <f t="array" ref="K2857">sentimentCalc(C2857)</f>
        <v>-4</v>
      </c>
      <c r="L2857" t="str" cm="1">
        <f t="array" ref="L2857">sentimentCategory(K2857)</f>
        <v>Negative</v>
      </c>
    </row>
    <row r="2858" spans="1:12" x14ac:dyDescent="0.25">
      <c r="A2858" t="s">
        <v>459</v>
      </c>
      <c r="B2858" t="s">
        <v>3471</v>
      </c>
      <c r="C2858" t="str" cm="1">
        <f t="array" ref="C2858">CleanText(B2858)</f>
        <v>this has to be the stupidest movie ever made</v>
      </c>
      <c r="D2858">
        <v>5</v>
      </c>
      <c r="E2858">
        <v>0</v>
      </c>
      <c r="F2858" t="s">
        <v>10</v>
      </c>
      <c r="G2858" t="str" cm="1">
        <f t="array" ref="G2858">FindCountryName(F2858)</f>
        <v>None</v>
      </c>
      <c r="H2858" s="3">
        <v>45148.541250000002</v>
      </c>
      <c r="I2858" s="3">
        <v>45148.541250000002</v>
      </c>
      <c r="J2858" s="3">
        <v>44901.902766203704</v>
      </c>
      <c r="K2858" cm="1">
        <f t="array" ref="K2858">sentimentCalc(C2858)</f>
        <v>0</v>
      </c>
      <c r="L2858" t="str" cm="1">
        <f t="array" ref="L2858">sentimentCategory(K2858)</f>
        <v>Neutral</v>
      </c>
    </row>
    <row r="2859" spans="1:12" x14ac:dyDescent="0.25">
      <c r="A2859" t="s">
        <v>1092</v>
      </c>
      <c r="B2859" t="s">
        <v>1093</v>
      </c>
      <c r="C2859" t="str" cm="1">
        <f t="array" ref="C2859">CleanText(B2859)</f>
        <v>this horror movie was amazingedit thanks so much for all the likes</v>
      </c>
      <c r="D2859">
        <v>0</v>
      </c>
      <c r="E2859">
        <v>0</v>
      </c>
      <c r="F2859" t="s">
        <v>10</v>
      </c>
      <c r="G2859" t="str" cm="1">
        <f t="array" ref="G2859">FindCountryName(F2859)</f>
        <v>None</v>
      </c>
      <c r="H2859" s="3">
        <v>45290.50172453704</v>
      </c>
      <c r="I2859" s="3">
        <v>45290.50172453704</v>
      </c>
      <c r="J2859" s="3">
        <v>45109.333854166667</v>
      </c>
      <c r="K2859" cm="1">
        <f t="array" ref="K2859">sentimentCalc(C2859)</f>
        <v>4</v>
      </c>
      <c r="L2859" t="str" cm="1">
        <f t="array" ref="L2859">sentimentCategory(K2859)</f>
        <v>Positive</v>
      </c>
    </row>
    <row r="2860" spans="1:12" x14ac:dyDescent="0.25">
      <c r="A2860" t="s">
        <v>472</v>
      </c>
      <c r="B2860" t="s">
        <v>2754</v>
      </c>
      <c r="C2860" t="str" cm="1">
        <f t="array" ref="C2860">CleanText(B2860)</f>
        <v>this is a garbage movie to waste money on you want to defend womens rights there are lots better ways to do that than advertising for barbie dolls in the name of women to sell more barbies and making people to watch this junky</v>
      </c>
      <c r="D2860">
        <v>2</v>
      </c>
      <c r="E2860">
        <v>0</v>
      </c>
      <c r="F2860" t="s">
        <v>10</v>
      </c>
      <c r="G2860" t="str" cm="1">
        <f t="array" ref="G2860">FindCountryName(F2860)</f>
        <v>None</v>
      </c>
      <c r="H2860" s="3">
        <v>45158.555173611108</v>
      </c>
      <c r="I2860" s="3">
        <v>45158.56931712963</v>
      </c>
      <c r="J2860" s="3">
        <v>43435.453206018516</v>
      </c>
      <c r="K2860" cm="1">
        <f t="array" ref="K2860">sentimentCalc(C2860)</f>
        <v>2</v>
      </c>
      <c r="L2860" t="str" cm="1">
        <f t="array" ref="L2860">sentimentCategory(K2860)</f>
        <v>Positive</v>
      </c>
    </row>
    <row r="2861" spans="1:12" x14ac:dyDescent="0.25">
      <c r="A2861" t="s">
        <v>322</v>
      </c>
      <c r="B2861" t="s">
        <v>2491</v>
      </c>
      <c r="C2861" t="str" cm="1">
        <f t="array" ref="C2861">CleanText(B2861)</f>
        <v>this is a lot of rubbish</v>
      </c>
      <c r="D2861">
        <v>2</v>
      </c>
      <c r="E2861">
        <v>3</v>
      </c>
      <c r="F2861" t="s">
        <v>10</v>
      </c>
      <c r="G2861" t="str" cm="1">
        <f t="array" ref="G2861">FindCountryName(F2861)</f>
        <v>None</v>
      </c>
      <c r="H2861" s="3">
        <v>45165.284733796296</v>
      </c>
      <c r="I2861" s="3">
        <v>45165.284733796296</v>
      </c>
      <c r="J2861" s="3">
        <v>43200.524814814817</v>
      </c>
      <c r="K2861" cm="1">
        <f t="array" ref="K2861">sentimentCalc(C2861)</f>
        <v>0</v>
      </c>
      <c r="L2861" t="str" cm="1">
        <f t="array" ref="L2861">sentimentCategory(K2861)</f>
        <v>Neutral</v>
      </c>
    </row>
    <row r="2862" spans="1:12" x14ac:dyDescent="0.25">
      <c r="A2862" t="s">
        <v>1202</v>
      </c>
      <c r="B2862" t="s">
        <v>2957</v>
      </c>
      <c r="C2862" t="str" cm="1">
        <f t="array" ref="C2862">CleanText(B2862)</f>
        <v>this is a stacy dystopia where only chads are allowed to reproduce oh wait thats the world we live in now</v>
      </c>
      <c r="D2862">
        <v>0</v>
      </c>
      <c r="E2862">
        <v>8</v>
      </c>
      <c r="F2862" t="s">
        <v>10</v>
      </c>
      <c r="G2862" t="str" cm="1">
        <f t="array" ref="G2862">FindCountryName(F2862)</f>
        <v>None</v>
      </c>
      <c r="H2862" s="3">
        <v>45155.481932870367</v>
      </c>
      <c r="I2862" s="3">
        <v>45155.481932870367</v>
      </c>
      <c r="J2862" s="3">
        <v>44019.900335648148</v>
      </c>
      <c r="K2862" cm="1">
        <f t="array" ref="K2862">sentimentCalc(C2862)</f>
        <v>0</v>
      </c>
      <c r="L2862" t="str" cm="1">
        <f t="array" ref="L2862">sentimentCategory(K2862)</f>
        <v>Neutral</v>
      </c>
    </row>
    <row r="2863" spans="1:12" x14ac:dyDescent="0.25">
      <c r="A2863" t="s">
        <v>3664</v>
      </c>
      <c r="B2863" t="s">
        <v>3665</v>
      </c>
      <c r="C2863" t="str" cm="1">
        <f t="array" ref="C2863">CleanText(B2863)</f>
        <v>this is almost like love island that my mom watch</v>
      </c>
      <c r="D2863">
        <v>0</v>
      </c>
      <c r="E2863">
        <v>0</v>
      </c>
      <c r="F2863" t="s">
        <v>10</v>
      </c>
      <c r="G2863" t="str" cm="1">
        <f t="array" ref="G2863">FindCountryName(F2863)</f>
        <v>None</v>
      </c>
      <c r="H2863" s="3">
        <v>45146.664351851854</v>
      </c>
      <c r="I2863" s="3">
        <v>45146.664351851854</v>
      </c>
      <c r="J2863" s="3">
        <v>45119.73233796296</v>
      </c>
      <c r="K2863" cm="1">
        <f t="array" ref="K2863">sentimentCalc(C2863)</f>
        <v>5</v>
      </c>
      <c r="L2863" t="str" cm="1">
        <f t="array" ref="L2863">sentimentCategory(K2863)</f>
        <v>Positive</v>
      </c>
    </row>
    <row r="2864" spans="1:12" x14ac:dyDescent="0.25">
      <c r="A2864" t="s">
        <v>186</v>
      </c>
      <c r="B2864" t="s">
        <v>1024</v>
      </c>
      <c r="C2864" t="str" cm="1">
        <f t="array" ref="C2864">CleanText(B2864)</f>
        <v>this is awesome movie successful</v>
      </c>
      <c r="D2864">
        <v>0</v>
      </c>
      <c r="E2864">
        <v>0</v>
      </c>
      <c r="F2864" t="s">
        <v>10</v>
      </c>
      <c r="G2864" t="str" cm="1">
        <f t="array" ref="G2864">FindCountryName(F2864)</f>
        <v>None</v>
      </c>
      <c r="H2864" s="3">
        <v>45299.25072916667</v>
      </c>
      <c r="I2864" s="3">
        <v>45299.25072916667</v>
      </c>
      <c r="J2864" s="3">
        <v>43786.178078703706</v>
      </c>
      <c r="K2864" cm="1">
        <f t="array" ref="K2864">sentimentCalc(C2864)</f>
        <v>7</v>
      </c>
      <c r="L2864" t="str" cm="1">
        <f t="array" ref="L2864">sentimentCategory(K2864)</f>
        <v>Positive</v>
      </c>
    </row>
    <row r="2865" spans="1:12" x14ac:dyDescent="0.25">
      <c r="A2865" t="s">
        <v>241</v>
      </c>
      <c r="B2865" t="s">
        <v>698</v>
      </c>
      <c r="C2865" t="str" cm="1">
        <f t="array" ref="C2865">CleanText(B2865)</f>
        <v>this is connected with elf the ceo of the company is buddy the elf did anyone notice</v>
      </c>
      <c r="D2865">
        <v>0</v>
      </c>
      <c r="E2865">
        <v>0</v>
      </c>
      <c r="F2865" t="s">
        <v>10</v>
      </c>
      <c r="G2865" t="str" cm="1">
        <f t="array" ref="G2865">FindCountryName(F2865)</f>
        <v>None</v>
      </c>
      <c r="H2865" s="3">
        <v>45313.534571759257</v>
      </c>
      <c r="I2865" s="3">
        <v>45313.534571759257</v>
      </c>
      <c r="J2865" s="3">
        <v>41549.686226851853</v>
      </c>
      <c r="K2865" cm="1">
        <f t="array" ref="K2865">sentimentCalc(C2865)</f>
        <v>0</v>
      </c>
      <c r="L2865" t="str" cm="1">
        <f t="array" ref="L2865">sentimentCategory(K2865)</f>
        <v>Neutral</v>
      </c>
    </row>
    <row r="2866" spans="1:12" x14ac:dyDescent="0.25">
      <c r="A2866" t="s">
        <v>3569</v>
      </c>
      <c r="B2866" t="s">
        <v>3570</v>
      </c>
      <c r="C2866" t="str" cm="1">
        <f t="array" ref="C2866">CleanText(B2866)</f>
        <v>this is embarrassing for our culture</v>
      </c>
      <c r="D2866">
        <v>1</v>
      </c>
      <c r="E2866">
        <v>1</v>
      </c>
      <c r="F2866" t="s">
        <v>10</v>
      </c>
      <c r="G2866" t="str" cm="1">
        <f t="array" ref="G2866">FindCountryName(F2866)</f>
        <v>None</v>
      </c>
      <c r="H2866" s="3">
        <v>45147.474583333336</v>
      </c>
      <c r="I2866" s="3">
        <v>45147.474583333336</v>
      </c>
      <c r="J2866" s="3">
        <v>41260.988159722219</v>
      </c>
      <c r="K2866" cm="1">
        <f t="array" ref="K2866">sentimentCalc(C2866)</f>
        <v>-2</v>
      </c>
      <c r="L2866" t="str" cm="1">
        <f t="array" ref="L2866">sentimentCategory(K2866)</f>
        <v>Negative</v>
      </c>
    </row>
    <row r="2867" spans="1:12" x14ac:dyDescent="0.25">
      <c r="A2867" t="s">
        <v>2914</v>
      </c>
      <c r="B2867" t="s">
        <v>2915</v>
      </c>
      <c r="C2867" t="str" cm="1">
        <f t="array" ref="C2867">CleanText(B2867)</f>
        <v>this is for kids yes or no</v>
      </c>
      <c r="D2867">
        <v>0</v>
      </c>
      <c r="E2867">
        <v>4</v>
      </c>
      <c r="F2867" t="s">
        <v>10</v>
      </c>
      <c r="G2867" t="str" cm="1">
        <f t="array" ref="G2867">FindCountryName(F2867)</f>
        <v>None</v>
      </c>
      <c r="H2867" s="3">
        <v>45155.956932870373</v>
      </c>
      <c r="I2867" s="3">
        <v>45155.956932870373</v>
      </c>
      <c r="J2867" s="3">
        <v>45123.289953703701</v>
      </c>
      <c r="K2867" cm="1">
        <f t="array" ref="K2867">sentimentCalc(C2867)</f>
        <v>0</v>
      </c>
      <c r="L2867" t="str" cm="1">
        <f t="array" ref="L2867">sentimentCategory(K2867)</f>
        <v>Neutral</v>
      </c>
    </row>
    <row r="2868" spans="1:12" x14ac:dyDescent="0.25">
      <c r="A2868" t="s">
        <v>853</v>
      </c>
      <c r="B2868" t="s">
        <v>1059</v>
      </c>
      <c r="C2868" t="str" cm="1">
        <f t="array" ref="C2868">CleanText(B2868)</f>
        <v>this is gonna win the cinematic and box office achievement golden globe</v>
      </c>
      <c r="D2868">
        <v>4</v>
      </c>
      <c r="E2868">
        <v>3</v>
      </c>
      <c r="F2868" t="s">
        <v>10</v>
      </c>
      <c r="G2868" t="str" cm="1">
        <f t="array" ref="G2868">FindCountryName(F2868)</f>
        <v>None</v>
      </c>
      <c r="H2868" s="3">
        <v>45296.568981481483</v>
      </c>
      <c r="I2868" s="3">
        <v>45296.568981481483</v>
      </c>
      <c r="J2868" s="3">
        <v>44148.910763888889</v>
      </c>
      <c r="K2868" cm="1">
        <f t="array" ref="K2868">sentimentCalc(C2868)</f>
        <v>4</v>
      </c>
      <c r="L2868" t="str" cm="1">
        <f t="array" ref="L2868">sentimentCategory(K2868)</f>
        <v>Positive</v>
      </c>
    </row>
    <row r="2869" spans="1:12" x14ac:dyDescent="0.25">
      <c r="A2869" t="s">
        <v>92</v>
      </c>
      <c r="B2869" t="s">
        <v>3721</v>
      </c>
      <c r="C2869" t="str" cm="1">
        <f t="array" ref="C2869">CleanText(B2869)</f>
        <v>this is horrible</v>
      </c>
      <c r="D2869">
        <v>0</v>
      </c>
      <c r="E2869">
        <v>0</v>
      </c>
      <c r="F2869" t="s">
        <v>10</v>
      </c>
      <c r="G2869" t="str" cm="1">
        <f t="array" ref="G2869">FindCountryName(F2869)</f>
        <v>None</v>
      </c>
      <c r="H2869" s="3">
        <v>45146.018067129633</v>
      </c>
      <c r="I2869" s="3">
        <v>45146.018067129633</v>
      </c>
      <c r="J2869" s="3">
        <v>44965.87228009259</v>
      </c>
      <c r="K2869" cm="1">
        <f t="array" ref="K2869">sentimentCalc(C2869)</f>
        <v>-3</v>
      </c>
      <c r="L2869" t="str" cm="1">
        <f t="array" ref="L2869">sentimentCategory(K2869)</f>
        <v>Negative</v>
      </c>
    </row>
    <row r="2870" spans="1:12" x14ac:dyDescent="0.25">
      <c r="A2870" t="s">
        <v>525</v>
      </c>
      <c r="B2870" t="s">
        <v>4045</v>
      </c>
      <c r="C2870" t="str" cm="1">
        <f t="array" ref="C2870">CleanText(B2870)</f>
        <v>this is kids cartoon movie im sorry im not interested moreover i understand the language what they are speaking</v>
      </c>
      <c r="D2870">
        <v>0</v>
      </c>
      <c r="E2870">
        <v>1</v>
      </c>
      <c r="F2870" t="s">
        <v>10</v>
      </c>
      <c r="G2870" t="str" cm="1">
        <f t="array" ref="G2870">FindCountryName(F2870)</f>
        <v>None</v>
      </c>
      <c r="H2870" s="3">
        <v>45143.416180555556</v>
      </c>
      <c r="I2870" s="3">
        <v>45143.416898148149</v>
      </c>
      <c r="J2870" s="3">
        <v>41232.015381944446</v>
      </c>
      <c r="K2870" cm="1">
        <f t="array" ref="K2870">sentimentCalc(C2870)</f>
        <v>1</v>
      </c>
      <c r="L2870" t="str" cm="1">
        <f t="array" ref="L2870">sentimentCategory(K2870)</f>
        <v>Positive</v>
      </c>
    </row>
    <row r="2871" spans="1:12" x14ac:dyDescent="0.25">
      <c r="A2871" t="s">
        <v>249</v>
      </c>
      <c r="B2871" t="s">
        <v>250</v>
      </c>
      <c r="C2871" t="str" cm="1">
        <f t="array" ref="C2871">CleanText(B2871)</f>
        <v>this is lame everything including the heels its lame barbie sucks</v>
      </c>
      <c r="D2871">
        <v>0</v>
      </c>
      <c r="E2871">
        <v>1</v>
      </c>
      <c r="F2871" t="s">
        <v>10</v>
      </c>
      <c r="G2871" t="str" cm="1">
        <f t="array" ref="G2871">FindCountryName(F2871)</f>
        <v>None</v>
      </c>
      <c r="H2871" s="3">
        <v>45325.689872685187</v>
      </c>
      <c r="I2871" s="3">
        <v>45325.689872685187</v>
      </c>
      <c r="J2871" s="3">
        <v>39819.702222222222</v>
      </c>
      <c r="K2871" cm="1">
        <f t="array" ref="K2871">sentimentCalc(C2871)</f>
        <v>-7</v>
      </c>
      <c r="L2871" t="str" cm="1">
        <f t="array" ref="L2871">sentimentCategory(K2871)</f>
        <v>Negative</v>
      </c>
    </row>
    <row r="2872" spans="1:12" x14ac:dyDescent="0.25">
      <c r="A2872" t="s">
        <v>2848</v>
      </c>
      <c r="B2872" t="s">
        <v>2939</v>
      </c>
      <c r="C2872" t="str" cm="1">
        <f t="array" ref="C2872">CleanText(B2872)</f>
        <v>this is movie made by satan</v>
      </c>
      <c r="D2872">
        <v>3</v>
      </c>
      <c r="E2872">
        <v>3</v>
      </c>
      <c r="F2872" t="s">
        <v>2940</v>
      </c>
      <c r="G2872" t="str" cm="1">
        <f t="array" ref="G2872">FindCountryName(F2872)</f>
        <v>Tunisia</v>
      </c>
      <c r="H2872" s="3">
        <v>45155.657152777778</v>
      </c>
      <c r="I2872" s="3">
        <v>45155.657152777778</v>
      </c>
      <c r="J2872" s="3">
        <v>43597.397303240738</v>
      </c>
      <c r="K2872" cm="1">
        <f t="array" ref="K2872">sentimentCalc(C2872)</f>
        <v>0</v>
      </c>
      <c r="L2872" t="str" cm="1">
        <f t="array" ref="L2872">sentimentCategory(K2872)</f>
        <v>Neutral</v>
      </c>
    </row>
    <row r="2873" spans="1:12" x14ac:dyDescent="0.25">
      <c r="A2873" t="s">
        <v>1226</v>
      </c>
      <c r="B2873" t="s">
        <v>1227</v>
      </c>
      <c r="C2873" t="str" cm="1">
        <f t="array" ref="C2873">CleanText(B2873)</f>
        <v>this is my favorite movie and my inspiration</v>
      </c>
      <c r="D2873">
        <v>1</v>
      </c>
      <c r="E2873">
        <v>0</v>
      </c>
      <c r="F2873" t="s">
        <v>227</v>
      </c>
      <c r="G2873" t="str" cm="1">
        <f t="array" ref="G2873">FindCountryName(F2873)</f>
        <v>United States of America (the)</v>
      </c>
      <c r="H2873" s="3">
        <v>45273.951550925929</v>
      </c>
      <c r="I2873" s="3">
        <v>45273.951550925929</v>
      </c>
      <c r="J2873" s="3">
        <v>45087.232893518521</v>
      </c>
      <c r="K2873" cm="1">
        <f t="array" ref="K2873">sentimentCalc(C2873)</f>
        <v>4</v>
      </c>
      <c r="L2873" t="str" cm="1">
        <f t="array" ref="L2873">sentimentCategory(K2873)</f>
        <v>Positive</v>
      </c>
    </row>
    <row r="2874" spans="1:12" x14ac:dyDescent="0.25">
      <c r="A2874" t="s">
        <v>34</v>
      </c>
      <c r="B2874" t="s">
        <v>35</v>
      </c>
      <c r="C2874" t="str" cm="1">
        <f t="array" ref="C2874">CleanText(B2874)</f>
        <v>this is my nightmare</v>
      </c>
      <c r="D2874">
        <v>0</v>
      </c>
      <c r="E2874">
        <v>0</v>
      </c>
      <c r="F2874" t="s">
        <v>10</v>
      </c>
      <c r="G2874" t="str" cm="1">
        <f t="array" ref="G2874">FindCountryName(F2874)</f>
        <v>None</v>
      </c>
      <c r="H2874" s="3">
        <v>45347.59542824074</v>
      </c>
      <c r="I2874" s="3">
        <v>45347.59542824074</v>
      </c>
      <c r="J2874" s="3">
        <v>42269.363993055558</v>
      </c>
      <c r="K2874" cm="1">
        <f t="array" ref="K2874">sentimentCalc(C2874)</f>
        <v>0</v>
      </c>
      <c r="L2874" t="str" cm="1">
        <f t="array" ref="L2874">sentimentCategory(K2874)</f>
        <v>Neutral</v>
      </c>
    </row>
    <row r="2875" spans="1:12" x14ac:dyDescent="0.25">
      <c r="A2875" t="s">
        <v>1082</v>
      </c>
      <c r="B2875" t="s">
        <v>3042</v>
      </c>
      <c r="C2875" t="str" cm="1">
        <f t="array" ref="C2875">CleanText(B2875)</f>
        <v>this is not barbie barbie was never an average looking girl</v>
      </c>
      <c r="D2875">
        <v>0</v>
      </c>
      <c r="E2875">
        <v>3</v>
      </c>
      <c r="F2875" t="s">
        <v>10</v>
      </c>
      <c r="G2875" t="str" cm="1">
        <f t="array" ref="G2875">FindCountryName(F2875)</f>
        <v>None</v>
      </c>
      <c r="H2875" s="3">
        <v>45154.156342592592</v>
      </c>
      <c r="I2875" s="3">
        <v>45154.156331018516</v>
      </c>
      <c r="J2875" s="3">
        <v>41970.109363425923</v>
      </c>
      <c r="K2875" cm="1">
        <f t="array" ref="K2875">sentimentCalc(C2875)</f>
        <v>0</v>
      </c>
      <c r="L2875" t="str" cm="1">
        <f t="array" ref="L2875">sentimentCategory(K2875)</f>
        <v>Neutral</v>
      </c>
    </row>
    <row r="2876" spans="1:12" x14ac:dyDescent="0.25">
      <c r="A2876" t="s">
        <v>269</v>
      </c>
      <c r="B2876" t="s">
        <v>4339</v>
      </c>
      <c r="C2876" t="str" cm="1">
        <f t="array" ref="C2876">CleanText(B2876)</f>
        <v>this is now my favorite movie</v>
      </c>
      <c r="D2876">
        <v>0</v>
      </c>
      <c r="E2876">
        <v>1</v>
      </c>
      <c r="F2876" t="s">
        <v>10</v>
      </c>
      <c r="G2876" t="str" cm="1">
        <f t="array" ref="G2876">FindCountryName(F2876)</f>
        <v>None</v>
      </c>
      <c r="H2876" s="3">
        <v>45140.816458333335</v>
      </c>
      <c r="I2876" s="3">
        <v>45140.816458333335</v>
      </c>
      <c r="J2876" s="3">
        <v>43252.106574074074</v>
      </c>
      <c r="K2876" cm="1">
        <f t="array" ref="K2876">sentimentCalc(C2876)</f>
        <v>2</v>
      </c>
      <c r="L2876" t="str" cm="1">
        <f t="array" ref="L2876">sentimentCategory(K2876)</f>
        <v>Positive</v>
      </c>
    </row>
    <row r="2877" spans="1:12" x14ac:dyDescent="0.25">
      <c r="A2877" t="s">
        <v>2204</v>
      </c>
      <c r="B2877" t="s">
        <v>2205</v>
      </c>
      <c r="C2877" t="str" cm="1">
        <f t="array" ref="C2877">CleanText(B2877)</f>
        <v>this is one of the best movies ive seen in a while would watch it again if i could</v>
      </c>
      <c r="D2877">
        <v>34</v>
      </c>
      <c r="E2877">
        <v>1</v>
      </c>
      <c r="F2877" t="s">
        <v>10</v>
      </c>
      <c r="G2877" t="str" cm="1">
        <f t="array" ref="G2877">FindCountryName(F2877)</f>
        <v>None</v>
      </c>
      <c r="H2877" s="3">
        <v>45175.900821759256</v>
      </c>
      <c r="I2877" s="3">
        <v>45175.900821759256</v>
      </c>
      <c r="J2877" s="3">
        <v>45089.719131944446</v>
      </c>
      <c r="K2877" cm="1">
        <f t="array" ref="K2877">sentimentCalc(C2877)</f>
        <v>3</v>
      </c>
      <c r="L2877" t="str" cm="1">
        <f t="array" ref="L2877">sentimentCategory(K2877)</f>
        <v>Positive</v>
      </c>
    </row>
    <row r="2878" spans="1:12" x14ac:dyDescent="0.25">
      <c r="A2878" t="s">
        <v>256</v>
      </c>
      <c r="B2878" t="s">
        <v>2146</v>
      </c>
      <c r="C2878" t="str" cm="1">
        <f t="array" ref="C2878">CleanText(B2878)</f>
        <v>this is one of the best stupidest movie ill never watch</v>
      </c>
      <c r="D2878">
        <v>1</v>
      </c>
      <c r="E2878">
        <v>0</v>
      </c>
      <c r="F2878" t="s">
        <v>227</v>
      </c>
      <c r="G2878" t="str" cm="1">
        <f t="array" ref="G2878">FindCountryName(F2878)</f>
        <v>United States of America (the)</v>
      </c>
      <c r="H2878" s="3">
        <v>45178.397604166668</v>
      </c>
      <c r="I2878" s="3">
        <v>45178.397604166668</v>
      </c>
      <c r="J2878" s="3">
        <v>42556.531550925924</v>
      </c>
      <c r="K2878" cm="1">
        <f t="array" ref="K2878">sentimentCalc(C2878)</f>
        <v>1</v>
      </c>
      <c r="L2878" t="str" cm="1">
        <f t="array" ref="L2878">sentimentCategory(K2878)</f>
        <v>Positive</v>
      </c>
    </row>
    <row r="2879" spans="1:12" x14ac:dyDescent="0.25">
      <c r="A2879" t="s">
        <v>534</v>
      </c>
      <c r="B2879" t="s">
        <v>4004</v>
      </c>
      <c r="C2879" t="str" cm="1">
        <f t="array" ref="C2879">CleanText(B2879)</f>
        <v>this is propoganda</v>
      </c>
      <c r="D2879">
        <v>1</v>
      </c>
      <c r="E2879">
        <v>0</v>
      </c>
      <c r="F2879" t="s">
        <v>10</v>
      </c>
      <c r="G2879" t="str" cm="1">
        <f t="array" ref="G2879">FindCountryName(F2879)</f>
        <v>None</v>
      </c>
      <c r="H2879" s="3">
        <v>45143.790520833332</v>
      </c>
      <c r="I2879" s="3">
        <v>45143.790520833332</v>
      </c>
      <c r="J2879" s="3">
        <v>43220.39471064815</v>
      </c>
      <c r="K2879" cm="1">
        <f t="array" ref="K2879">sentimentCalc(C2879)</f>
        <v>0</v>
      </c>
      <c r="L2879" t="str" cm="1">
        <f t="array" ref="L2879">sentimentCategory(K2879)</f>
        <v>Neutral</v>
      </c>
    </row>
    <row r="2880" spans="1:12" x14ac:dyDescent="0.25">
      <c r="A2880" t="s">
        <v>481</v>
      </c>
      <c r="B2880" t="s">
        <v>3991</v>
      </c>
      <c r="C2880" t="str" cm="1">
        <f t="array" ref="C2880">CleanText(B2880)</f>
        <v>this is retarted</v>
      </c>
      <c r="D2880">
        <v>0</v>
      </c>
      <c r="E2880">
        <v>0</v>
      </c>
      <c r="F2880" t="s">
        <v>10</v>
      </c>
      <c r="G2880" t="str" cm="1">
        <f t="array" ref="G2880">FindCountryName(F2880)</f>
        <v>None</v>
      </c>
      <c r="H2880" s="3">
        <v>45143.927766203706</v>
      </c>
      <c r="I2880" s="3">
        <v>45143.927766203706</v>
      </c>
      <c r="J2880" s="3">
        <v>43368.784548611111</v>
      </c>
      <c r="K2880" cm="1">
        <f t="array" ref="K2880">sentimentCalc(C2880)</f>
        <v>0</v>
      </c>
      <c r="L2880" t="str" cm="1">
        <f t="array" ref="L2880">sentimentCategory(K2880)</f>
        <v>Neutral</v>
      </c>
    </row>
    <row r="2881" spans="1:12" x14ac:dyDescent="0.25">
      <c r="A2881" t="s">
        <v>4106</v>
      </c>
      <c r="B2881" t="s">
        <v>4107</v>
      </c>
      <c r="C2881" t="str" cm="1">
        <f t="array" ref="C2881">CleanText(B2881)</f>
        <v>this is so kiddish but im still gonna watch it</v>
      </c>
      <c r="D2881">
        <v>1</v>
      </c>
      <c r="E2881">
        <v>0</v>
      </c>
      <c r="F2881" t="s">
        <v>10</v>
      </c>
      <c r="G2881" t="str" cm="1">
        <f t="array" ref="G2881">FindCountryName(F2881)</f>
        <v>None</v>
      </c>
      <c r="H2881" s="3">
        <v>45142.829247685186</v>
      </c>
      <c r="I2881" s="3">
        <v>45142.829247685186</v>
      </c>
      <c r="J2881" s="3">
        <v>44528.286759259259</v>
      </c>
      <c r="K2881" cm="1">
        <f t="array" ref="K2881">sentimentCalc(C2881)</f>
        <v>0</v>
      </c>
      <c r="L2881" t="str" cm="1">
        <f t="array" ref="L2881">sentimentCategory(K2881)</f>
        <v>Neutral</v>
      </c>
    </row>
    <row r="2882" spans="1:12" x14ac:dyDescent="0.25">
      <c r="A2882" t="s">
        <v>60</v>
      </c>
      <c r="B2882" t="s">
        <v>4083</v>
      </c>
      <c r="C2882" t="str" cm="1">
        <f t="array" ref="C2882">CleanText(B2882)</f>
        <v>this is sooo funny now to listen to youngsters talking about barbie they think that the fashion ambitions just came out now im almost   please this been going on before i was born barbie s mother had a vision the doll was named after her child barbie would be  now</v>
      </c>
      <c r="D2882">
        <v>1</v>
      </c>
      <c r="E2882">
        <v>1</v>
      </c>
      <c r="F2882" t="s">
        <v>10</v>
      </c>
      <c r="G2882" t="str" cm="1">
        <f t="array" ref="G2882">FindCountryName(F2882)</f>
        <v>None</v>
      </c>
      <c r="H2882" s="3">
        <v>45143.04409722222</v>
      </c>
      <c r="I2882" s="3">
        <v>45144.106041666666</v>
      </c>
      <c r="J2882" s="3">
        <v>44684.109178240738</v>
      </c>
      <c r="K2882" cm="1">
        <f t="array" ref="K2882">sentimentCalc(C2882)</f>
        <v>6</v>
      </c>
      <c r="L2882" t="str" cm="1">
        <f t="array" ref="L2882">sentimentCategory(K2882)</f>
        <v>Positive</v>
      </c>
    </row>
    <row r="2883" spans="1:12" x14ac:dyDescent="0.25">
      <c r="A2883" t="s">
        <v>2848</v>
      </c>
      <c r="B2883" t="s">
        <v>2849</v>
      </c>
      <c r="C2883" t="str" cm="1">
        <f t="array" ref="C2883">CleanText(B2883)</f>
        <v>this is the best movie ever i think this solos all  of the five nights at freddys moviesthats what i would say if my brain was made of plastic and cardboard</v>
      </c>
      <c r="D2883">
        <v>0</v>
      </c>
      <c r="E2883">
        <v>1</v>
      </c>
      <c r="F2883" t="s">
        <v>227</v>
      </c>
      <c r="G2883" t="str" cm="1">
        <f t="array" ref="G2883">FindCountryName(F2883)</f>
        <v>United States of America (the)</v>
      </c>
      <c r="H2883" s="3">
        <v>45156.901886574073</v>
      </c>
      <c r="I2883" s="3">
        <v>45156.901886574073</v>
      </c>
      <c r="J2883" s="3">
        <v>44276.511261574073</v>
      </c>
      <c r="K2883" cm="1">
        <f t="array" ref="K2883">sentimentCalc(C2883)</f>
        <v>3</v>
      </c>
      <c r="L2883" t="str" cm="1">
        <f t="array" ref="L2883">sentimentCategory(K2883)</f>
        <v>Positive</v>
      </c>
    </row>
    <row r="2884" spans="1:12" x14ac:dyDescent="0.25">
      <c r="A2884" t="s">
        <v>362</v>
      </c>
      <c r="B2884" t="s">
        <v>2639</v>
      </c>
      <c r="C2884" t="str" cm="1">
        <f t="array" ref="C2884">CleanText(B2884)</f>
        <v>this is the most stupidest movie</v>
      </c>
      <c r="D2884">
        <v>0</v>
      </c>
      <c r="E2884">
        <v>0</v>
      </c>
      <c r="F2884" t="s">
        <v>10</v>
      </c>
      <c r="G2884" t="str" cm="1">
        <f t="array" ref="G2884">FindCountryName(F2884)</f>
        <v>None</v>
      </c>
      <c r="H2884" s="3">
        <v>45160.973368055558</v>
      </c>
      <c r="I2884" s="3">
        <v>45160.973356481481</v>
      </c>
      <c r="J2884" s="3">
        <v>42267.441944444443</v>
      </c>
      <c r="K2884" cm="1">
        <f t="array" ref="K2884">sentimentCalc(C2884)</f>
        <v>0</v>
      </c>
      <c r="L2884" t="str" cm="1">
        <f t="array" ref="L2884">sentimentCategory(K2884)</f>
        <v>Neutral</v>
      </c>
    </row>
    <row r="2885" spans="1:12" x14ac:dyDescent="0.25">
      <c r="A2885" t="s">
        <v>930</v>
      </c>
      <c r="B2885" t="s">
        <v>3291</v>
      </c>
      <c r="C2885" t="str" cm="1">
        <f t="array" ref="C2885">CleanText(B2885)</f>
        <v>this is the movie everyone is all crazy about</v>
      </c>
      <c r="D2885">
        <v>2</v>
      </c>
      <c r="E2885">
        <v>1</v>
      </c>
      <c r="F2885" t="s">
        <v>10</v>
      </c>
      <c r="G2885" t="str" cm="1">
        <f t="array" ref="G2885">FindCountryName(F2885)</f>
        <v>None</v>
      </c>
      <c r="H2885" s="3">
        <v>45150.683379629627</v>
      </c>
      <c r="I2885" s="3">
        <v>45150.683379629627</v>
      </c>
      <c r="J2885" s="3">
        <v>44780.033773148149</v>
      </c>
      <c r="K2885" cm="1">
        <f t="array" ref="K2885">sentimentCalc(C2885)</f>
        <v>-2</v>
      </c>
      <c r="L2885" t="str" cm="1">
        <f t="array" ref="L2885">sentimentCategory(K2885)</f>
        <v>Negative</v>
      </c>
    </row>
    <row r="2886" spans="1:12" x14ac:dyDescent="0.25">
      <c r="A2886" t="s">
        <v>808</v>
      </c>
      <c r="B2886" t="s">
        <v>809</v>
      </c>
      <c r="C2886" t="str" cm="1">
        <f t="array" ref="C2886">CleanText(B2886)</f>
        <v>this is the worst movie i have ever seen in my life</v>
      </c>
      <c r="D2886">
        <v>0</v>
      </c>
      <c r="E2886">
        <v>5</v>
      </c>
      <c r="F2886" t="s">
        <v>10</v>
      </c>
      <c r="G2886" t="str" cm="1">
        <f t="array" ref="G2886">FindCountryName(F2886)</f>
        <v>None</v>
      </c>
      <c r="H2886" s="3">
        <v>45306.481944444444</v>
      </c>
      <c r="I2886" s="3">
        <v>45306.481944444444</v>
      </c>
      <c r="J2886" s="3">
        <v>45130.194074074076</v>
      </c>
      <c r="K2886" cm="1">
        <f t="array" ref="K2886">sentimentCalc(C2886)</f>
        <v>-3</v>
      </c>
      <c r="L2886" t="str" cm="1">
        <f t="array" ref="L2886">sentimentCategory(K2886)</f>
        <v>Negative</v>
      </c>
    </row>
    <row r="2887" spans="1:12" x14ac:dyDescent="0.25">
      <c r="A2887" t="s">
        <v>2121</v>
      </c>
      <c r="B2887" t="s">
        <v>2122</v>
      </c>
      <c r="C2887" t="str" cm="1">
        <f t="array" ref="C2887">CleanText(B2887)</f>
        <v>this is what happens when you let toxic feminist get out of control</v>
      </c>
      <c r="D2887">
        <v>3</v>
      </c>
      <c r="E2887">
        <v>1</v>
      </c>
      <c r="F2887" t="s">
        <v>10</v>
      </c>
      <c r="G2887" t="str" cm="1">
        <f t="array" ref="G2887">FindCountryName(F2887)</f>
        <v>None</v>
      </c>
      <c r="H2887" s="3">
        <v>45179.740069444444</v>
      </c>
      <c r="I2887" s="3">
        <v>45179.740069444444</v>
      </c>
      <c r="J2887" s="3">
        <v>40933.910717592589</v>
      </c>
      <c r="K2887" cm="1">
        <f t="array" ref="K2887">sentimentCalc(C2887)</f>
        <v>0</v>
      </c>
      <c r="L2887" t="str" cm="1">
        <f t="array" ref="L2887">sentimentCategory(K2887)</f>
        <v>Neutral</v>
      </c>
    </row>
    <row r="2888" spans="1:12" x14ac:dyDescent="0.25">
      <c r="A2888" t="s">
        <v>2279</v>
      </c>
      <c r="B2888" t="s">
        <v>3393</v>
      </c>
      <c r="C2888" t="str" cm="1">
        <f t="array" ref="C2888">CleanText(B2888)</f>
        <v>this is what people are so excited about</v>
      </c>
      <c r="D2888">
        <v>7</v>
      </c>
      <c r="E2888">
        <v>1</v>
      </c>
      <c r="F2888" t="s">
        <v>10</v>
      </c>
      <c r="G2888" t="str" cm="1">
        <f t="array" ref="G2888">FindCountryName(F2888)</f>
        <v>None</v>
      </c>
      <c r="H2888" s="3">
        <v>45149.326122685183</v>
      </c>
      <c r="I2888" s="3">
        <v>45149.326122685183</v>
      </c>
      <c r="J2888" s="3">
        <v>44418.270914351851</v>
      </c>
      <c r="K2888" cm="1">
        <f t="array" ref="K2888">sentimentCalc(C2888)</f>
        <v>3</v>
      </c>
      <c r="L2888" t="str" cm="1">
        <f t="array" ref="L2888">sentimentCategory(K2888)</f>
        <v>Positive</v>
      </c>
    </row>
    <row r="2889" spans="1:12" x14ac:dyDescent="0.25">
      <c r="A2889" t="s">
        <v>878</v>
      </c>
      <c r="B2889" t="s">
        <v>1828</v>
      </c>
      <c r="C2889" t="str" cm="1">
        <f t="array" ref="C2889">CleanText(B2889)</f>
        <v>this is worst</v>
      </c>
      <c r="D2889">
        <v>0</v>
      </c>
      <c r="E2889">
        <v>0</v>
      </c>
      <c r="F2889" t="s">
        <v>10</v>
      </c>
      <c r="G2889" t="str" cm="1">
        <f t="array" ref="G2889">FindCountryName(F2889)</f>
        <v>None</v>
      </c>
      <c r="H2889" s="3">
        <v>45192.310694444444</v>
      </c>
      <c r="I2889" s="3">
        <v>45192.310694444444</v>
      </c>
      <c r="J2889" s="3">
        <v>42522.237754629627</v>
      </c>
      <c r="K2889" cm="1">
        <f t="array" ref="K2889">sentimentCalc(C2889)</f>
        <v>-3</v>
      </c>
      <c r="L2889" t="str" cm="1">
        <f t="array" ref="L2889">sentimentCategory(K2889)</f>
        <v>Negative</v>
      </c>
    </row>
    <row r="2890" spans="1:12" x14ac:dyDescent="0.25">
      <c r="A2890" t="s">
        <v>1114</v>
      </c>
      <c r="B2890" t="s">
        <v>1115</v>
      </c>
      <c r="C2890" t="str" cm="1">
        <f t="array" ref="C2890">CleanText(B2890)</f>
        <v>this lookin like the most obtuse movie ever made</v>
      </c>
      <c r="D2890">
        <v>0</v>
      </c>
      <c r="E2890">
        <v>0</v>
      </c>
      <c r="F2890" t="s">
        <v>10</v>
      </c>
      <c r="G2890" t="str" cm="1">
        <f t="array" ref="G2890">FindCountryName(F2890)</f>
        <v>None</v>
      </c>
      <c r="H2890" s="3">
        <v>45288.401608796295</v>
      </c>
      <c r="I2890" s="3">
        <v>45288.401608796295</v>
      </c>
      <c r="J2890" s="3">
        <v>39891.444849537038</v>
      </c>
      <c r="K2890" cm="1">
        <f t="array" ref="K2890">sentimentCalc(C2890)</f>
        <v>2</v>
      </c>
      <c r="L2890" t="str" cm="1">
        <f t="array" ref="L2890">sentimentCategory(K2890)</f>
        <v>Positive</v>
      </c>
    </row>
    <row r="2891" spans="1:12" x14ac:dyDescent="0.25">
      <c r="A2891" t="s">
        <v>2633</v>
      </c>
      <c r="B2891" t="s">
        <v>2753</v>
      </c>
      <c r="C2891" t="str" cm="1">
        <f t="array" ref="C2891">CleanText(B2891)</f>
        <v>this looks absolutely creepy weird unfunny and annoying</v>
      </c>
      <c r="D2891">
        <v>2</v>
      </c>
      <c r="E2891">
        <v>1</v>
      </c>
      <c r="F2891" t="s">
        <v>10</v>
      </c>
      <c r="G2891" t="str" cm="1">
        <f t="array" ref="G2891">FindCountryName(F2891)</f>
        <v>None</v>
      </c>
      <c r="H2891" s="3">
        <v>45158.603530092594</v>
      </c>
      <c r="I2891" s="3">
        <v>45158.603530092594</v>
      </c>
      <c r="J2891" s="3">
        <v>40986.396331018521</v>
      </c>
      <c r="K2891" cm="1">
        <f t="array" ref="K2891">sentimentCalc(C2891)</f>
        <v>-4</v>
      </c>
      <c r="L2891" t="str" cm="1">
        <f t="array" ref="L2891">sentimentCategory(K2891)</f>
        <v>Negative</v>
      </c>
    </row>
    <row r="2892" spans="1:12" x14ac:dyDescent="0.25">
      <c r="A2892" t="s">
        <v>453</v>
      </c>
      <c r="B2892" t="s">
        <v>2904</v>
      </c>
      <c r="C2892" t="str" cm="1">
        <f t="array" ref="C2892">CleanText(B2892)</f>
        <v>this looks amazing its like the director put actual diarrhea through a projector to make this film i didnt know that was possible</v>
      </c>
      <c r="D2892">
        <v>5</v>
      </c>
      <c r="E2892">
        <v>2</v>
      </c>
      <c r="F2892" t="s">
        <v>10</v>
      </c>
      <c r="G2892" t="str" cm="1">
        <f t="array" ref="G2892">FindCountryName(F2892)</f>
        <v>None</v>
      </c>
      <c r="H2892" s="3">
        <v>45156.151516203703</v>
      </c>
      <c r="I2892" s="3">
        <v>45156.151516203703</v>
      </c>
      <c r="J2892" s="3">
        <v>41016.084976851853</v>
      </c>
      <c r="K2892" cm="1">
        <f t="array" ref="K2892">sentimentCalc(C2892)</f>
        <v>6</v>
      </c>
      <c r="L2892" t="str" cm="1">
        <f t="array" ref="L2892">sentimentCategory(K2892)</f>
        <v>Positive</v>
      </c>
    </row>
    <row r="2893" spans="1:12" x14ac:dyDescent="0.25">
      <c r="A2893" t="s">
        <v>83</v>
      </c>
      <c r="B2893" t="s">
        <v>4179</v>
      </c>
      <c r="C2893" t="str" cm="1">
        <f t="array" ref="C2893">CleanText(B2893)</f>
        <v>this looks horrible i really dont get the hype</v>
      </c>
      <c r="D2893">
        <v>4</v>
      </c>
      <c r="E2893">
        <v>0</v>
      </c>
      <c r="F2893" t="s">
        <v>10</v>
      </c>
      <c r="G2893" t="str" cm="1">
        <f t="array" ref="G2893">FindCountryName(F2893)</f>
        <v>None</v>
      </c>
      <c r="H2893" s="3">
        <v>45142.269594907404</v>
      </c>
      <c r="I2893" s="3">
        <v>45142.269594907404</v>
      </c>
      <c r="J2893" s="3">
        <v>41763.710289351853</v>
      </c>
      <c r="K2893" cm="1">
        <f t="array" ref="K2893">sentimentCalc(C2893)</f>
        <v>-3</v>
      </c>
      <c r="L2893" t="str" cm="1">
        <f t="array" ref="L2893">sentimentCategory(K2893)</f>
        <v>Negative</v>
      </c>
    </row>
    <row r="2894" spans="1:12" x14ac:dyDescent="0.25">
      <c r="A2894" t="s">
        <v>126</v>
      </c>
      <c r="B2894" t="s">
        <v>3446</v>
      </c>
      <c r="C2894" t="str" cm="1">
        <f t="array" ref="C2894">CleanText(B2894)</f>
        <v>this made over  billion worldwide showings you gotta be kidding me right</v>
      </c>
      <c r="D2894">
        <v>4</v>
      </c>
      <c r="E2894">
        <v>0</v>
      </c>
      <c r="F2894" t="s">
        <v>10</v>
      </c>
      <c r="G2894" t="str" cm="1">
        <f t="array" ref="G2894">FindCountryName(F2894)</f>
        <v>None</v>
      </c>
      <c r="H2894" s="3">
        <v>45148.768310185187</v>
      </c>
      <c r="I2894" s="3">
        <v>45148.768310185187</v>
      </c>
      <c r="J2894" s="3">
        <v>42003.858935185184</v>
      </c>
      <c r="K2894" cm="1">
        <f t="array" ref="K2894">sentimentCalc(C2894)</f>
        <v>0</v>
      </c>
      <c r="L2894" t="str" cm="1">
        <f t="array" ref="L2894">sentimentCategory(K2894)</f>
        <v>Neutral</v>
      </c>
    </row>
    <row r="2895" spans="1:12" x14ac:dyDescent="0.25">
      <c r="A2895" t="s">
        <v>192</v>
      </c>
      <c r="B2895" t="s">
        <v>3223</v>
      </c>
      <c r="C2895" t="str" cm="1">
        <f t="array" ref="C2895">CleanText(B2895)</f>
        <v>this makes me so sad because i just rip out my barbies head</v>
      </c>
      <c r="D2895">
        <v>0</v>
      </c>
      <c r="E2895">
        <v>0</v>
      </c>
      <c r="F2895" t="s">
        <v>10</v>
      </c>
      <c r="G2895" t="str" cm="1">
        <f t="array" ref="G2895">FindCountryName(F2895)</f>
        <v>None</v>
      </c>
      <c r="H2895" s="3">
        <v>45151.623078703706</v>
      </c>
      <c r="I2895" s="3">
        <v>45151.623078703706</v>
      </c>
      <c r="J2895" s="3">
        <v>45020.986875000002</v>
      </c>
      <c r="K2895" cm="1">
        <f t="array" ref="K2895">sentimentCalc(C2895)</f>
        <v>-2</v>
      </c>
      <c r="L2895" t="str" cm="1">
        <f t="array" ref="L2895">sentimentCategory(K2895)</f>
        <v>Negative</v>
      </c>
    </row>
    <row r="2896" spans="1:12" x14ac:dyDescent="0.25">
      <c r="A2896" t="s">
        <v>2060</v>
      </c>
      <c r="B2896" t="s">
        <v>2603</v>
      </c>
      <c r="C2896" t="str" cm="1">
        <f t="array" ref="C2896">CleanText(B2896)</f>
        <v>this makes me want to kmsssss</v>
      </c>
      <c r="D2896">
        <v>0</v>
      </c>
      <c r="E2896">
        <v>0</v>
      </c>
      <c r="F2896" t="s">
        <v>10</v>
      </c>
      <c r="G2896" t="str" cm="1">
        <f t="array" ref="G2896">FindCountryName(F2896)</f>
        <v>None</v>
      </c>
      <c r="H2896" s="3">
        <v>45162.185069444444</v>
      </c>
      <c r="I2896" s="3">
        <v>45162.185069444444</v>
      </c>
      <c r="J2896" s="3">
        <v>44988.889814814815</v>
      </c>
      <c r="K2896" cm="1">
        <f t="array" ref="K2896">sentimentCalc(C2896)</f>
        <v>1</v>
      </c>
      <c r="L2896" t="str" cm="1">
        <f t="array" ref="L2896">sentimentCategory(K2896)</f>
        <v>Positive</v>
      </c>
    </row>
    <row r="2897" spans="1:12" x14ac:dyDescent="0.25">
      <c r="A2897" t="s">
        <v>1107</v>
      </c>
      <c r="B2897" t="s">
        <v>1813</v>
      </c>
      <c r="C2897" t="str" cm="1">
        <f t="array" ref="C2897">CleanText(B2897)</f>
        <v>this movei is for loser and not for real people oppenheimer barbie oppenheimer is for good people and strong</v>
      </c>
      <c r="D2897">
        <v>1</v>
      </c>
      <c r="E2897">
        <v>2</v>
      </c>
      <c r="F2897" t="s">
        <v>10</v>
      </c>
      <c r="G2897" t="str" cm="1">
        <f t="array" ref="G2897">FindCountryName(F2897)</f>
        <v>None</v>
      </c>
      <c r="H2897" s="3">
        <v>45193.305081018516</v>
      </c>
      <c r="I2897" s="3">
        <v>45193.305069444446</v>
      </c>
      <c r="J2897" s="3">
        <v>44120.590787037036</v>
      </c>
      <c r="K2897" cm="1">
        <f t="array" ref="K2897">sentimentCalc(C2897)</f>
        <v>2</v>
      </c>
      <c r="L2897" t="str" cm="1">
        <f t="array" ref="L2897">sentimentCategory(K2897)</f>
        <v>Positive</v>
      </c>
    </row>
    <row r="2898" spans="1:12" x14ac:dyDescent="0.25">
      <c r="A2898" t="s">
        <v>1498</v>
      </c>
      <c r="B2898" t="s">
        <v>2391</v>
      </c>
      <c r="C2898" t="str" cm="1">
        <f t="array" ref="C2898">CleanText(B2898)</f>
        <v>this movie addresses maladaptive daydreaming thats the kenergy and im feeling it</v>
      </c>
      <c r="D2898">
        <v>0</v>
      </c>
      <c r="E2898">
        <v>1</v>
      </c>
      <c r="F2898" t="s">
        <v>227</v>
      </c>
      <c r="G2898" t="str" cm="1">
        <f t="array" ref="G2898">FindCountryName(F2898)</f>
        <v>United States of America (the)</v>
      </c>
      <c r="H2898" s="3">
        <v>45169.330833333333</v>
      </c>
      <c r="I2898" s="3">
        <v>45169.330833333333</v>
      </c>
      <c r="J2898" s="3">
        <v>42775.434004629627</v>
      </c>
      <c r="K2898" cm="1">
        <f t="array" ref="K2898">sentimentCalc(C2898)</f>
        <v>1</v>
      </c>
      <c r="L2898" t="str" cm="1">
        <f t="array" ref="L2898">sentimentCategory(K2898)</f>
        <v>Positive</v>
      </c>
    </row>
    <row r="2899" spans="1:12" x14ac:dyDescent="0.25">
      <c r="A2899" t="s">
        <v>718</v>
      </c>
      <c r="B2899" t="s">
        <v>2476</v>
      </c>
      <c r="C2899" t="str" cm="1">
        <f t="array" ref="C2899">CleanText(B2899)</f>
        <v>this movie blows</v>
      </c>
      <c r="D2899">
        <v>0</v>
      </c>
      <c r="E2899">
        <v>0</v>
      </c>
      <c r="F2899" t="s">
        <v>227</v>
      </c>
      <c r="G2899" t="str" cm="1">
        <f t="array" ref="G2899">FindCountryName(F2899)</f>
        <v>United States of America (the)</v>
      </c>
      <c r="H2899" s="3">
        <v>45165.776400462964</v>
      </c>
      <c r="I2899" s="3">
        <v>45165.776400462964</v>
      </c>
      <c r="J2899" s="3">
        <v>42820.661747685182</v>
      </c>
      <c r="K2899" cm="1">
        <f t="array" ref="K2899">sentimentCalc(C2899)</f>
        <v>0</v>
      </c>
      <c r="L2899" t="str" cm="1">
        <f t="array" ref="L2899">sentimentCategory(K2899)</f>
        <v>Neutral</v>
      </c>
    </row>
    <row r="2900" spans="1:12" x14ac:dyDescent="0.25">
      <c r="A2900" t="s">
        <v>447</v>
      </c>
      <c r="B2900" t="s">
        <v>3711</v>
      </c>
      <c r="C2900" t="str" cm="1">
        <f t="array" ref="C2900">CleanText(B2900)</f>
        <v>this movie crossed a billioncrazy</v>
      </c>
      <c r="D2900">
        <v>1</v>
      </c>
      <c r="E2900">
        <v>0</v>
      </c>
      <c r="F2900" t="s">
        <v>10</v>
      </c>
      <c r="G2900" t="str" cm="1">
        <f t="array" ref="G2900">FindCountryName(F2900)</f>
        <v>None</v>
      </c>
      <c r="H2900" s="3">
        <v>45146.155162037037</v>
      </c>
      <c r="I2900" s="3">
        <v>45146.155162037037</v>
      </c>
      <c r="J2900" s="3">
        <v>43776.550081018519</v>
      </c>
      <c r="K2900" cm="1">
        <f t="array" ref="K2900">sentimentCalc(C2900)</f>
        <v>0</v>
      </c>
      <c r="L2900" t="str" cm="1">
        <f t="array" ref="L2900">sentimentCategory(K2900)</f>
        <v>Neutral</v>
      </c>
    </row>
    <row r="2901" spans="1:12" x14ac:dyDescent="0.25">
      <c r="A2901" t="s">
        <v>4354</v>
      </c>
      <c r="B2901" t="s">
        <v>4355</v>
      </c>
      <c r="C2901" t="str" cm="1">
        <f t="array" ref="C2901">CleanText(B2901)</f>
        <v>this movie fits disney no warner bros</v>
      </c>
      <c r="D2901">
        <v>0</v>
      </c>
      <c r="E2901">
        <v>0</v>
      </c>
      <c r="F2901" t="s">
        <v>10</v>
      </c>
      <c r="G2901" t="str" cm="1">
        <f t="array" ref="G2901">FindCountryName(F2901)</f>
        <v>None</v>
      </c>
      <c r="H2901" s="3">
        <v>45140.716493055559</v>
      </c>
      <c r="I2901" s="3">
        <v>45140.716493055559</v>
      </c>
      <c r="J2901" s="3">
        <v>44921.823067129626</v>
      </c>
      <c r="K2901" cm="1">
        <f t="array" ref="K2901">sentimentCalc(C2901)</f>
        <v>-1</v>
      </c>
      <c r="L2901" t="str" cm="1">
        <f t="array" ref="L2901">sentimentCategory(K2901)</f>
        <v>Negative</v>
      </c>
    </row>
    <row r="2902" spans="1:12" x14ac:dyDescent="0.25">
      <c r="A2902" t="s">
        <v>1796</v>
      </c>
      <c r="B2902" t="s">
        <v>1797</v>
      </c>
      <c r="C2902" t="str" cm="1">
        <f t="array" ref="C2902">CleanText(B2902)</f>
        <v>this movie has been written by ia no doubt</v>
      </c>
      <c r="D2902">
        <v>0</v>
      </c>
      <c r="E2902">
        <v>2</v>
      </c>
      <c r="F2902" t="s">
        <v>10</v>
      </c>
      <c r="G2902" t="str" cm="1">
        <f t="array" ref="G2902">FindCountryName(F2902)</f>
        <v>None</v>
      </c>
      <c r="H2902" s="3">
        <v>45194.303541666668</v>
      </c>
      <c r="I2902" s="3">
        <v>45194.303530092591</v>
      </c>
      <c r="J2902" s="3">
        <v>45194.302361111113</v>
      </c>
      <c r="K2902" cm="1">
        <f t="array" ref="K2902">sentimentCalc(C2902)</f>
        <v>-2</v>
      </c>
      <c r="L2902" t="str" cm="1">
        <f t="array" ref="L2902">sentimentCategory(K2902)</f>
        <v>Negative</v>
      </c>
    </row>
    <row r="2903" spans="1:12" x14ac:dyDescent="0.25">
      <c r="A2903" t="s">
        <v>66</v>
      </c>
      <c r="B2903" t="s">
        <v>2191</v>
      </c>
      <c r="C2903" t="str" cm="1">
        <f t="array" ref="C2903">CleanText(B2903)</f>
        <v>this movie has everything i waited the entire movie for the song i am a barbie girl and the way they put it and timed it and made it made me so excited</v>
      </c>
      <c r="D2903">
        <v>5</v>
      </c>
      <c r="E2903">
        <v>0</v>
      </c>
      <c r="F2903" t="s">
        <v>10</v>
      </c>
      <c r="G2903" t="str" cm="1">
        <f t="array" ref="G2903">FindCountryName(F2903)</f>
        <v>None</v>
      </c>
      <c r="H2903" s="3">
        <v>45176.475555555553</v>
      </c>
      <c r="I2903" s="3">
        <v>45176.475555555553</v>
      </c>
      <c r="J2903" s="3">
        <v>42366.5859375</v>
      </c>
      <c r="K2903" cm="1">
        <f t="array" ref="K2903">sentimentCalc(C2903)</f>
        <v>3</v>
      </c>
      <c r="L2903" t="str" cm="1">
        <f t="array" ref="L2903">sentimentCategory(K2903)</f>
        <v>Positive</v>
      </c>
    </row>
    <row r="2904" spans="1:12" x14ac:dyDescent="0.25">
      <c r="A2904" t="s">
        <v>1754</v>
      </c>
      <c r="B2904" t="s">
        <v>1755</v>
      </c>
      <c r="C2904" t="str" cm="1">
        <f t="array" ref="C2904">CleanText(B2904)</f>
        <v>this movie is a    easy unless they are stupid enough to put will ferrell in it and then it is a fn</v>
      </c>
      <c r="D2904">
        <v>1</v>
      </c>
      <c r="E2904">
        <v>1</v>
      </c>
      <c r="F2904" t="s">
        <v>10</v>
      </c>
      <c r="G2904" t="str" cm="1">
        <f t="array" ref="G2904">FindCountryName(F2904)</f>
        <v>None</v>
      </c>
      <c r="H2904" s="3">
        <v>45196.932638888888</v>
      </c>
      <c r="I2904" s="3">
        <v>45196.932638888888</v>
      </c>
      <c r="J2904" s="3">
        <v>39050.619756944441</v>
      </c>
      <c r="K2904" cm="1">
        <f t="array" ref="K2904">sentimentCalc(C2904)</f>
        <v>-1</v>
      </c>
      <c r="L2904" t="str" cm="1">
        <f t="array" ref="L2904">sentimentCategory(K2904)</f>
        <v>Negative</v>
      </c>
    </row>
    <row r="2905" spans="1:12" x14ac:dyDescent="0.25">
      <c r="A2905" t="s">
        <v>3205</v>
      </c>
      <c r="B2905" t="s">
        <v>4454</v>
      </c>
      <c r="C2905" t="str" cm="1">
        <f t="array" ref="C2905">CleanText(B2905)</f>
        <v>this movie is a huge disappointment</v>
      </c>
      <c r="D2905">
        <v>6</v>
      </c>
      <c r="E2905">
        <v>0</v>
      </c>
      <c r="F2905" t="s">
        <v>10</v>
      </c>
      <c r="G2905" t="str" cm="1">
        <f t="array" ref="G2905">FindCountryName(F2905)</f>
        <v>None</v>
      </c>
      <c r="H2905" s="3">
        <v>45140.198217592595</v>
      </c>
      <c r="I2905" s="3">
        <v>45140.198217592595</v>
      </c>
      <c r="J2905" s="3">
        <v>40214.529814814814</v>
      </c>
      <c r="K2905" cm="1">
        <f t="array" ref="K2905">sentimentCalc(C2905)</f>
        <v>-1</v>
      </c>
      <c r="L2905" t="str" cm="1">
        <f t="array" ref="L2905">sentimentCategory(K2905)</f>
        <v>Negative</v>
      </c>
    </row>
    <row r="2906" spans="1:12" x14ac:dyDescent="0.25">
      <c r="A2906" t="s">
        <v>508</v>
      </c>
      <c r="B2906" t="s">
        <v>509</v>
      </c>
      <c r="C2906" t="str" cm="1">
        <f t="array" ref="C2906">CleanText(B2906)</f>
        <v>this movie is a marketing strategy</v>
      </c>
      <c r="D2906">
        <v>1</v>
      </c>
      <c r="E2906">
        <v>0</v>
      </c>
      <c r="F2906" t="s">
        <v>10</v>
      </c>
      <c r="G2906" t="str" cm="1">
        <f t="array" ref="G2906">FindCountryName(F2906)</f>
        <v>None</v>
      </c>
      <c r="H2906" s="3">
        <v>45317.561319444445</v>
      </c>
      <c r="I2906" s="3">
        <v>45317.561319444445</v>
      </c>
      <c r="J2906" s="3">
        <v>43572.779733796298</v>
      </c>
      <c r="K2906" cm="1">
        <f t="array" ref="K2906">sentimentCalc(C2906)</f>
        <v>0</v>
      </c>
      <c r="L2906" t="str" cm="1">
        <f t="array" ref="L2906">sentimentCategory(K2906)</f>
        <v>Neutral</v>
      </c>
    </row>
    <row r="2907" spans="1:12" x14ac:dyDescent="0.25">
      <c r="A2907" t="s">
        <v>830</v>
      </c>
      <c r="B2907" t="s">
        <v>2241</v>
      </c>
      <c r="C2907" t="str" cm="1">
        <f t="array" ref="C2907">CleanText(B2907)</f>
        <v>this movie is a one big sexist movie</v>
      </c>
      <c r="D2907">
        <v>6</v>
      </c>
      <c r="E2907">
        <v>2</v>
      </c>
      <c r="F2907" t="s">
        <v>10</v>
      </c>
      <c r="G2907" t="str" cm="1">
        <f t="array" ref="G2907">FindCountryName(F2907)</f>
        <v>None</v>
      </c>
      <c r="H2907" s="3">
        <v>45174.670937499999</v>
      </c>
      <c r="I2907" s="3">
        <v>45174.670937499999</v>
      </c>
      <c r="J2907" s="3">
        <v>44178.956296296295</v>
      </c>
      <c r="K2907" cm="1">
        <f t="array" ref="K2907">sentimentCalc(C2907)</f>
        <v>1</v>
      </c>
      <c r="L2907" t="str" cm="1">
        <f t="array" ref="L2907">sentimentCategory(K2907)</f>
        <v>Positive</v>
      </c>
    </row>
    <row r="2908" spans="1:12" x14ac:dyDescent="0.25">
      <c r="A2908" t="s">
        <v>2277</v>
      </c>
      <c r="B2908" t="s">
        <v>2278</v>
      </c>
      <c r="C2908" t="str" cm="1">
        <f t="array" ref="C2908">CleanText(B2908)</f>
        <v>this movie is absolute garbage omg how woke this is</v>
      </c>
      <c r="D2908">
        <v>7</v>
      </c>
      <c r="E2908">
        <v>1</v>
      </c>
      <c r="F2908" t="s">
        <v>10</v>
      </c>
      <c r="G2908" t="str" cm="1">
        <f t="array" ref="G2908">FindCountryName(F2908)</f>
        <v>None</v>
      </c>
      <c r="H2908" s="3">
        <v>45173.045324074075</v>
      </c>
      <c r="I2908" s="3">
        <v>45173.045324074075</v>
      </c>
      <c r="J2908" s="3">
        <v>45007.500439814816</v>
      </c>
      <c r="K2908" cm="1">
        <f t="array" ref="K2908">sentimentCalc(C2908)</f>
        <v>0</v>
      </c>
      <c r="L2908" t="str" cm="1">
        <f t="array" ref="L2908">sentimentCategory(K2908)</f>
        <v>Neutral</v>
      </c>
    </row>
    <row r="2909" spans="1:12" x14ac:dyDescent="0.25">
      <c r="A2909" t="s">
        <v>3141</v>
      </c>
      <c r="B2909" t="s">
        <v>3142</v>
      </c>
      <c r="C2909" t="str" cm="1">
        <f t="array" ref="C2909">CleanText(B2909)</f>
        <v>this movie is amazing</v>
      </c>
      <c r="D2909">
        <v>2</v>
      </c>
      <c r="E2909">
        <v>0</v>
      </c>
      <c r="F2909" t="s">
        <v>10</v>
      </c>
      <c r="G2909" t="str" cm="1">
        <f t="array" ref="G2909">FindCountryName(F2909)</f>
        <v>None</v>
      </c>
      <c r="H2909" s="3">
        <v>45152.748182870368</v>
      </c>
      <c r="I2909" s="3">
        <v>45152.748182870368</v>
      </c>
      <c r="J2909" s="3">
        <v>45007.679201388892</v>
      </c>
      <c r="K2909" cm="1">
        <f t="array" ref="K2909">sentimentCalc(C2909)</f>
        <v>4</v>
      </c>
      <c r="L2909" t="str" cm="1">
        <f t="array" ref="L2909">sentimentCategory(K2909)</f>
        <v>Positive</v>
      </c>
    </row>
    <row r="2910" spans="1:12" x14ac:dyDescent="0.25">
      <c r="A2910" t="s">
        <v>197</v>
      </c>
      <c r="B2910" t="s">
        <v>3165</v>
      </c>
      <c r="C2910" t="str" cm="1">
        <f t="array" ref="C2910">CleanText(B2910)</f>
        <v>this movie is as real as it can get except the stars are not of yellow and orange heritagethe rest is prwtty much true</v>
      </c>
      <c r="D2910">
        <v>0</v>
      </c>
      <c r="E2910">
        <v>0</v>
      </c>
      <c r="F2910" t="s">
        <v>10</v>
      </c>
      <c r="G2910" t="str" cm="1">
        <f t="array" ref="G2910">FindCountryName(F2910)</f>
        <v>None</v>
      </c>
      <c r="H2910" s="3">
        <v>45152.532337962963</v>
      </c>
      <c r="I2910" s="3">
        <v>45152.532337962963</v>
      </c>
      <c r="J2910" s="3">
        <v>44156.390266203707</v>
      </c>
      <c r="K2910" cm="1">
        <f t="array" ref="K2910">sentimentCalc(C2910)</f>
        <v>2</v>
      </c>
      <c r="L2910" t="str" cm="1">
        <f t="array" ref="L2910">sentimentCategory(K2910)</f>
        <v>Positive</v>
      </c>
    </row>
    <row r="2911" spans="1:12" x14ac:dyDescent="0.25">
      <c r="A2911" t="s">
        <v>358</v>
      </c>
      <c r="B2911" t="s">
        <v>2509</v>
      </c>
      <c r="C2911" t="str" cm="1">
        <f t="array" ref="C2911">CleanText(B2911)</f>
        <v>this movie is candy coated poison for children</v>
      </c>
      <c r="D2911">
        <v>4</v>
      </c>
      <c r="E2911">
        <v>3</v>
      </c>
      <c r="F2911" t="s">
        <v>10</v>
      </c>
      <c r="G2911" t="str" cm="1">
        <f t="array" ref="G2911">FindCountryName(F2911)</f>
        <v>None</v>
      </c>
      <c r="H2911" s="3">
        <v>45164.775682870371</v>
      </c>
      <c r="I2911" s="3">
        <v>45164.775682870371</v>
      </c>
      <c r="J2911" s="3">
        <v>41585.824965277781</v>
      </c>
      <c r="K2911" cm="1">
        <f t="array" ref="K2911">sentimentCalc(C2911)</f>
        <v>-2</v>
      </c>
      <c r="L2911" t="str" cm="1">
        <f t="array" ref="L2911">sentimentCategory(K2911)</f>
        <v>Negative</v>
      </c>
    </row>
    <row r="2912" spans="1:12" x14ac:dyDescent="0.25">
      <c r="A2912" t="s">
        <v>555</v>
      </c>
      <c r="B2912" t="s">
        <v>4021</v>
      </c>
      <c r="C2912" t="str" cm="1">
        <f t="array" ref="C2912">CleanText(B2912)</f>
        <v>this movie is completely garbage lol</v>
      </c>
      <c r="D2912">
        <v>5</v>
      </c>
      <c r="E2912">
        <v>0</v>
      </c>
      <c r="F2912" t="s">
        <v>10</v>
      </c>
      <c r="G2912" t="str" cm="1">
        <f t="array" ref="G2912">FindCountryName(F2912)</f>
        <v>None</v>
      </c>
      <c r="H2912" s="3">
        <v>45143.612291666665</v>
      </c>
      <c r="I2912" s="3">
        <v>45143.612291666665</v>
      </c>
      <c r="J2912" s="3">
        <v>43058.895370370374</v>
      </c>
      <c r="K2912" cm="1">
        <f t="array" ref="K2912">sentimentCalc(C2912)</f>
        <v>0</v>
      </c>
      <c r="L2912" t="str" cm="1">
        <f t="array" ref="L2912">sentimentCategory(K2912)</f>
        <v>Neutral</v>
      </c>
    </row>
    <row r="2913" spans="1:12" x14ac:dyDescent="0.25">
      <c r="A2913" t="s">
        <v>2521</v>
      </c>
      <c r="B2913" t="s">
        <v>3947</v>
      </c>
      <c r="C2913" t="str" cm="1">
        <f t="array" ref="C2913">CleanText(B2913)</f>
        <v>this movie is embarrassing</v>
      </c>
      <c r="D2913">
        <v>2</v>
      </c>
      <c r="E2913">
        <v>0</v>
      </c>
      <c r="F2913" t="s">
        <v>10</v>
      </c>
      <c r="G2913" t="str" cm="1">
        <f t="array" ref="G2913">FindCountryName(F2913)</f>
        <v>None</v>
      </c>
      <c r="H2913" s="3">
        <v>45144.329895833333</v>
      </c>
      <c r="I2913" s="3">
        <v>45144.329895833333</v>
      </c>
      <c r="J2913" s="3">
        <v>44824.195590277777</v>
      </c>
      <c r="K2913" cm="1">
        <f t="array" ref="K2913">sentimentCalc(C2913)</f>
        <v>-2</v>
      </c>
      <c r="L2913" t="str" cm="1">
        <f t="array" ref="L2913">sentimentCategory(K2913)</f>
        <v>Negative</v>
      </c>
    </row>
    <row r="2914" spans="1:12" x14ac:dyDescent="0.25">
      <c r="A2914" t="s">
        <v>902</v>
      </c>
      <c r="B2914" t="s">
        <v>903</v>
      </c>
      <c r="C2914" t="str" cm="1">
        <f t="array" ref="C2914">CleanText(B2914)</f>
        <v>this movie is fantastic</v>
      </c>
      <c r="D2914">
        <v>1</v>
      </c>
      <c r="E2914">
        <v>0</v>
      </c>
      <c r="F2914" t="s">
        <v>10</v>
      </c>
      <c r="G2914" t="str" cm="1">
        <f t="array" ref="G2914">FindCountryName(F2914)</f>
        <v>None</v>
      </c>
      <c r="H2914" s="3">
        <v>45299.295590277776</v>
      </c>
      <c r="I2914" s="3">
        <v>45299.295590277776</v>
      </c>
      <c r="J2914" s="3">
        <v>45286.065358796295</v>
      </c>
      <c r="K2914" cm="1">
        <f t="array" ref="K2914">sentimentCalc(C2914)</f>
        <v>4</v>
      </c>
      <c r="L2914" t="str" cm="1">
        <f t="array" ref="L2914">sentimentCategory(K2914)</f>
        <v>Positive</v>
      </c>
    </row>
    <row r="2915" spans="1:12" x14ac:dyDescent="0.25">
      <c r="A2915" t="s">
        <v>722</v>
      </c>
      <c r="B2915" t="s">
        <v>3340</v>
      </c>
      <c r="C2915" t="str" cm="1">
        <f t="array" ref="C2915">CleanText(B2915)</f>
        <v>this movie is for my brother</v>
      </c>
      <c r="D2915">
        <v>0</v>
      </c>
      <c r="E2915">
        <v>1</v>
      </c>
      <c r="F2915" t="s">
        <v>1073</v>
      </c>
      <c r="G2915" t="str" cm="1">
        <f t="array" ref="G2915">FindCountryName(F2915)</f>
        <v>India</v>
      </c>
      <c r="H2915" s="3">
        <v>45150.111215277779</v>
      </c>
      <c r="I2915" s="3">
        <v>45150.111215277779</v>
      </c>
      <c r="J2915" s="3">
        <v>44074.437581018516</v>
      </c>
      <c r="K2915" cm="1">
        <f t="array" ref="K2915">sentimentCalc(C2915)</f>
        <v>0</v>
      </c>
      <c r="L2915" t="str" cm="1">
        <f t="array" ref="L2915">sentimentCategory(K2915)</f>
        <v>Neutral</v>
      </c>
    </row>
    <row r="2916" spans="1:12" x14ac:dyDescent="0.25">
      <c r="A2916" t="s">
        <v>195</v>
      </c>
      <c r="B2916" t="s">
        <v>3675</v>
      </c>
      <c r="C2916" t="str" cm="1">
        <f t="array" ref="C2916">CleanText(B2916)</f>
        <v>this movie is funny in like triumph of the will was funny</v>
      </c>
      <c r="D2916">
        <v>1</v>
      </c>
      <c r="E2916">
        <v>0</v>
      </c>
      <c r="F2916" t="s">
        <v>10</v>
      </c>
      <c r="G2916" t="str" cm="1">
        <f t="array" ref="G2916">FindCountryName(F2916)</f>
        <v>None</v>
      </c>
      <c r="H2916" s="3">
        <v>45146.539571759262</v>
      </c>
      <c r="I2916" s="3">
        <v>45146.539571759262</v>
      </c>
      <c r="J2916" s="3">
        <v>44280.947858796295</v>
      </c>
      <c r="K2916" cm="1">
        <f t="array" ref="K2916">sentimentCalc(C2916)</f>
        <v>14</v>
      </c>
      <c r="L2916" t="str" cm="1">
        <f t="array" ref="L2916">sentimentCategory(K2916)</f>
        <v>Positive</v>
      </c>
    </row>
    <row r="2917" spans="1:12" x14ac:dyDescent="0.25">
      <c r="A2917" t="s">
        <v>2576</v>
      </c>
      <c r="B2917" t="s">
        <v>2577</v>
      </c>
      <c r="C2917" t="str" cm="1">
        <f t="array" ref="C2917">CleanText(B2917)</f>
        <v>this movie is haram</v>
      </c>
      <c r="D2917">
        <v>1</v>
      </c>
      <c r="E2917">
        <v>0</v>
      </c>
      <c r="F2917" t="s">
        <v>10</v>
      </c>
      <c r="G2917" t="str" cm="1">
        <f t="array" ref="G2917">FindCountryName(F2917)</f>
        <v>None</v>
      </c>
      <c r="H2917" s="3">
        <v>45162.789548611108</v>
      </c>
      <c r="I2917" s="3">
        <v>45162.789548611108</v>
      </c>
      <c r="J2917" s="3">
        <v>45101.337048611109</v>
      </c>
      <c r="K2917" cm="1">
        <f t="array" ref="K2917">sentimentCalc(C2917)</f>
        <v>0</v>
      </c>
      <c r="L2917" t="str" cm="1">
        <f t="array" ref="L2917">sentimentCategory(K2917)</f>
        <v>Neutral</v>
      </c>
    </row>
    <row r="2918" spans="1:12" x14ac:dyDescent="0.25">
      <c r="A2918" t="s">
        <v>1055</v>
      </c>
      <c r="B2918" t="s">
        <v>2948</v>
      </c>
      <c r="C2918" t="str" cm="1">
        <f t="array" ref="C2918">CleanText(B2918)</f>
        <v>this movie is just a demonic push to raise another generation of young women to kill their babies and destroy traditional values</v>
      </c>
      <c r="D2918">
        <v>3</v>
      </c>
      <c r="E2918">
        <v>14</v>
      </c>
      <c r="F2918" t="s">
        <v>10</v>
      </c>
      <c r="G2918" t="str" cm="1">
        <f t="array" ref="G2918">FindCountryName(F2918)</f>
        <v>None</v>
      </c>
      <c r="H2918" s="3">
        <v>45155.549050925925</v>
      </c>
      <c r="I2918" s="3">
        <v>45155.549224537041</v>
      </c>
      <c r="J2918" s="3">
        <v>43220.047997685186</v>
      </c>
      <c r="K2918" cm="1">
        <f t="array" ref="K2918">sentimentCalc(C2918)</f>
        <v>-6</v>
      </c>
      <c r="L2918" t="str" cm="1">
        <f t="array" ref="L2918">sentimentCategory(K2918)</f>
        <v>Negative</v>
      </c>
    </row>
    <row r="2919" spans="1:12" x14ac:dyDescent="0.25">
      <c r="A2919" t="s">
        <v>2734</v>
      </c>
      <c r="B2919" t="s">
        <v>2735</v>
      </c>
      <c r="C2919" t="str" cm="1">
        <f t="array" ref="C2919">CleanText(B2919)</f>
        <v>this movie is just like every other movie today women empowerment and making it seem like women have n i rights they dont have top jobs in real world this movie is full of lies</v>
      </c>
      <c r="D2919">
        <v>0</v>
      </c>
      <c r="E2919">
        <v>0</v>
      </c>
      <c r="F2919" t="s">
        <v>10</v>
      </c>
      <c r="G2919" t="str" cm="1">
        <f t="array" ref="G2919">FindCountryName(F2919)</f>
        <v>None</v>
      </c>
      <c r="H2919" s="3">
        <v>45158.996006944442</v>
      </c>
      <c r="I2919" s="3">
        <v>45158.996006944442</v>
      </c>
      <c r="J2919" s="3">
        <v>44591.00335648148</v>
      </c>
      <c r="K2919" cm="1">
        <f t="array" ref="K2919">sentimentCalc(C2919)</f>
        <v>6</v>
      </c>
      <c r="L2919" t="str" cm="1">
        <f t="array" ref="L2919">sentimentCategory(K2919)</f>
        <v>Positive</v>
      </c>
    </row>
    <row r="2920" spans="1:12" x14ac:dyDescent="0.25">
      <c r="A2920" t="s">
        <v>2680</v>
      </c>
      <c r="B2920" t="s">
        <v>2681</v>
      </c>
      <c r="C2920" t="str" cm="1">
        <f t="array" ref="C2920">CleanText(B2920)</f>
        <v>this movie is just terrible</v>
      </c>
      <c r="D2920">
        <v>1</v>
      </c>
      <c r="E2920">
        <v>0</v>
      </c>
      <c r="F2920" t="s">
        <v>10</v>
      </c>
      <c r="G2920" t="str" cm="1">
        <f t="array" ref="G2920">FindCountryName(F2920)</f>
        <v>None</v>
      </c>
      <c r="H2920" s="3">
        <v>45160.233946759261</v>
      </c>
      <c r="I2920" s="3">
        <v>45160.233935185184</v>
      </c>
      <c r="J2920" s="3">
        <v>42273.222754629627</v>
      </c>
      <c r="K2920" cm="1">
        <f t="array" ref="K2920">sentimentCalc(C2920)</f>
        <v>-3</v>
      </c>
      <c r="L2920" t="str" cm="1">
        <f t="array" ref="L2920">sentimentCategory(K2920)</f>
        <v>Negative</v>
      </c>
    </row>
    <row r="2921" spans="1:12" x14ac:dyDescent="0.25">
      <c r="A2921" t="s">
        <v>195</v>
      </c>
      <c r="B2921" t="s">
        <v>1664</v>
      </c>
      <c r="C2921" t="str" cm="1">
        <f t="array" ref="C2921">CleanText(B2921)</f>
        <v>this movie is kinda corny af but overall a light</v>
      </c>
      <c r="D2921">
        <v>1</v>
      </c>
      <c r="E2921">
        <v>0</v>
      </c>
      <c r="F2921" t="s">
        <v>1350</v>
      </c>
      <c r="G2921" t="str" cm="1">
        <f t="array" ref="G2921">FindCountryName(F2921)</f>
        <v>Brazil</v>
      </c>
      <c r="H2921" s="3">
        <v>45204.225219907406</v>
      </c>
      <c r="I2921" s="3">
        <v>45204.225219907406</v>
      </c>
      <c r="J2921" s="3">
        <v>41942.661180555559</v>
      </c>
      <c r="K2921" cm="1">
        <f t="array" ref="K2921">sentimentCalc(C2921)</f>
        <v>0</v>
      </c>
      <c r="L2921" t="str" cm="1">
        <f t="array" ref="L2921">sentimentCategory(K2921)</f>
        <v>Neutral</v>
      </c>
    </row>
    <row r="2922" spans="1:12" x14ac:dyDescent="0.25">
      <c r="A2922" t="s">
        <v>378</v>
      </c>
      <c r="B2922" t="s">
        <v>1088</v>
      </c>
      <c r="C2922" t="str" cm="1">
        <f t="array" ref="C2922">CleanText(B2922)</f>
        <v>this movie is like a miracle sent down from heaven thank you greta gerwig for creating a masterpiece</v>
      </c>
      <c r="D2922">
        <v>10</v>
      </c>
      <c r="E2922">
        <v>0</v>
      </c>
      <c r="F2922" t="s">
        <v>10</v>
      </c>
      <c r="G2922" t="str" cm="1">
        <f t="array" ref="G2922">FindCountryName(F2922)</f>
        <v>None</v>
      </c>
      <c r="H2922" s="3">
        <v>45291.000173611108</v>
      </c>
      <c r="I2922" s="3">
        <v>45291.000173611108</v>
      </c>
      <c r="J2922" s="3">
        <v>42789.863171296296</v>
      </c>
      <c r="K2922" cm="1">
        <f t="array" ref="K2922">sentimentCalc(C2922)</f>
        <v>14</v>
      </c>
      <c r="L2922" t="str" cm="1">
        <f t="array" ref="L2922">sentimentCategory(K2922)</f>
        <v>Positive</v>
      </c>
    </row>
    <row r="2923" spans="1:12" x14ac:dyDescent="0.25">
      <c r="A2923" t="s">
        <v>512</v>
      </c>
      <c r="B2923" t="s">
        <v>4310</v>
      </c>
      <c r="C2923" t="str" cm="1">
        <f t="array" ref="C2923">CleanText(B2923)</f>
        <v>this movie is more about ken than barbie</v>
      </c>
      <c r="D2923">
        <v>0</v>
      </c>
      <c r="E2923">
        <v>0</v>
      </c>
      <c r="F2923" t="s">
        <v>10</v>
      </c>
      <c r="G2923" t="str" cm="1">
        <f t="array" ref="G2923">FindCountryName(F2923)</f>
        <v>None</v>
      </c>
      <c r="H2923" s="3">
        <v>45141.069456018522</v>
      </c>
      <c r="I2923" s="3">
        <v>45141.069456018522</v>
      </c>
      <c r="J2923" s="3">
        <v>40840.899351851855</v>
      </c>
      <c r="K2923" cm="1">
        <f t="array" ref="K2923">sentimentCalc(C2923)</f>
        <v>0</v>
      </c>
      <c r="L2923" t="str" cm="1">
        <f t="array" ref="L2923">sentimentCategory(K2923)</f>
        <v>Neutral</v>
      </c>
    </row>
    <row r="2924" spans="1:12" x14ac:dyDescent="0.25">
      <c r="A2924" t="s">
        <v>4025</v>
      </c>
      <c r="B2924" t="s">
        <v>4026</v>
      </c>
      <c r="C2924" t="str" cm="1">
        <f t="array" ref="C2924">CleanText(B2924)</f>
        <v>this movie is my most favorite i love barbielove from  pakistan</v>
      </c>
      <c r="D2924">
        <v>0</v>
      </c>
      <c r="E2924">
        <v>0</v>
      </c>
      <c r="F2924" t="s">
        <v>10</v>
      </c>
      <c r="G2924" t="str" cm="1">
        <f t="array" ref="G2924">FindCountryName(F2924)</f>
        <v>None</v>
      </c>
      <c r="H2924" s="3">
        <v>45143.601273148146</v>
      </c>
      <c r="I2924" s="3">
        <v>45143.601273148146</v>
      </c>
      <c r="J2924" s="3">
        <v>44762.575335648151</v>
      </c>
      <c r="K2924" cm="1">
        <f t="array" ref="K2924">sentimentCalc(C2924)</f>
        <v>5</v>
      </c>
      <c r="L2924" t="str" cm="1">
        <f t="array" ref="L2924">sentimentCategory(K2924)</f>
        <v>Positive</v>
      </c>
    </row>
    <row r="2925" spans="1:12" x14ac:dyDescent="0.25">
      <c r="A2925" t="s">
        <v>3970</v>
      </c>
      <c r="B2925" t="s">
        <v>3971</v>
      </c>
      <c r="C2925" t="str" cm="1">
        <f t="array" ref="C2925">CleanText(B2925)</f>
        <v>this movie is not for children because children are angels of the earth i am  years old and i see this movie talking about issues that i personally cannot accept  why u wanna my children watch this movie</v>
      </c>
      <c r="D2925">
        <v>1</v>
      </c>
      <c r="E2925">
        <v>2</v>
      </c>
      <c r="F2925" t="s">
        <v>3611</v>
      </c>
      <c r="G2925" t="str" cm="1">
        <f t="array" ref="G2925">FindCountryName(F2925)</f>
        <v>Jordan</v>
      </c>
      <c r="H2925" s="3">
        <v>45144.132361111115</v>
      </c>
      <c r="I2925" s="3">
        <v>45144.132361111115</v>
      </c>
      <c r="J2925" s="3">
        <v>42190.475289351853</v>
      </c>
      <c r="K2925" cm="1">
        <f t="array" ref="K2925">sentimentCalc(C2925)</f>
        <v>1</v>
      </c>
      <c r="L2925" t="str" cm="1">
        <f t="array" ref="L2925">sentimentCategory(K2925)</f>
        <v>Positive</v>
      </c>
    </row>
    <row r="2926" spans="1:12" x14ac:dyDescent="0.25">
      <c r="A2926" t="s">
        <v>2778</v>
      </c>
      <c r="B2926" t="s">
        <v>2779</v>
      </c>
      <c r="C2926" t="str" cm="1">
        <f t="array" ref="C2926">CleanText(B2926)</f>
        <v>this movie is not for the boys enjoy girls</v>
      </c>
      <c r="D2926">
        <v>0</v>
      </c>
      <c r="E2926">
        <v>0</v>
      </c>
      <c r="F2926" t="s">
        <v>10</v>
      </c>
      <c r="G2926" t="str" cm="1">
        <f t="array" ref="G2926">FindCountryName(F2926)</f>
        <v>None</v>
      </c>
      <c r="H2926" s="3">
        <v>45158.063692129632</v>
      </c>
      <c r="I2926" s="3">
        <v>45158.063692129632</v>
      </c>
      <c r="J2926" s="3">
        <v>39005.718807870369</v>
      </c>
      <c r="K2926" cm="1">
        <f t="array" ref="K2926">sentimentCalc(C2926)</f>
        <v>2</v>
      </c>
      <c r="L2926" t="str" cm="1">
        <f t="array" ref="L2926">sentimentCategory(K2926)</f>
        <v>Positive</v>
      </c>
    </row>
    <row r="2927" spans="1:12" x14ac:dyDescent="0.25">
      <c r="A2927" t="s">
        <v>1363</v>
      </c>
      <c r="B2927" t="s">
        <v>1364</v>
      </c>
      <c r="C2927" t="str" cm="1">
        <f t="array" ref="C2927">CleanText(B2927)</f>
        <v>this movie is not worth watching its just hyped nonsense</v>
      </c>
      <c r="D2927">
        <v>2</v>
      </c>
      <c r="E2927">
        <v>3</v>
      </c>
      <c r="F2927" t="s">
        <v>10</v>
      </c>
      <c r="G2927" t="str" cm="1">
        <f t="array" ref="G2927">FindCountryName(F2927)</f>
        <v>None</v>
      </c>
      <c r="H2927" s="3">
        <v>45239.118877314817</v>
      </c>
      <c r="I2927" s="3">
        <v>45239.118877314817</v>
      </c>
      <c r="J2927" s="3">
        <v>45152.228807870371</v>
      </c>
      <c r="K2927" cm="1">
        <f t="array" ref="K2927">sentimentCalc(C2927)</f>
        <v>0</v>
      </c>
      <c r="L2927" t="str" cm="1">
        <f t="array" ref="L2927">sentimentCategory(K2927)</f>
        <v>Neutral</v>
      </c>
    </row>
    <row r="2928" spans="1:12" x14ac:dyDescent="0.25">
      <c r="A2928" t="s">
        <v>4365</v>
      </c>
      <c r="B2928" t="s">
        <v>4366</v>
      </c>
      <c r="C2928" t="str" cm="1">
        <f t="array" ref="C2928">CleanText(B2928)</f>
        <v>this movie is nothing but another pathetic attempt at ruining another generation of girls with male hating feminist propaganda about the patriarchy</v>
      </c>
      <c r="D2928">
        <v>3</v>
      </c>
      <c r="E2928">
        <v>3</v>
      </c>
      <c r="F2928" t="s">
        <v>10</v>
      </c>
      <c r="G2928" t="str" cm="1">
        <f t="array" ref="G2928">FindCountryName(F2928)</f>
        <v>None</v>
      </c>
      <c r="H2928" s="3">
        <v>45140.637986111113</v>
      </c>
      <c r="I2928" s="3">
        <v>45140.637986111113</v>
      </c>
      <c r="J2928" s="3">
        <v>44685.442557870374</v>
      </c>
      <c r="K2928" cm="1">
        <f t="array" ref="K2928">sentimentCalc(C2928)</f>
        <v>-9</v>
      </c>
      <c r="L2928" t="str" cm="1">
        <f t="array" ref="L2928">sentimentCategory(K2928)</f>
        <v>Negative</v>
      </c>
    </row>
    <row r="2929" spans="1:12" x14ac:dyDescent="0.25">
      <c r="A2929" t="s">
        <v>4029</v>
      </c>
      <c r="B2929" t="s">
        <v>4030</v>
      </c>
      <c r="C2929" t="str" cm="1">
        <f t="array" ref="C2929">CleanText(B2929)</f>
        <v>this movie is nothing but sexist hot garbage that literally gives you a headache nothing but feminist garbage and when they were trashing on men they should of been throwing that tranny red head to the wolves</v>
      </c>
      <c r="D2929">
        <v>4</v>
      </c>
      <c r="E2929">
        <v>2</v>
      </c>
      <c r="F2929" t="s">
        <v>10</v>
      </c>
      <c r="G2929" t="str" cm="1">
        <f t="array" ref="G2929">FindCountryName(F2929)</f>
        <v>None</v>
      </c>
      <c r="H2929" s="3">
        <v>45143.560613425929</v>
      </c>
      <c r="I2929" s="3">
        <v>45143.560613425929</v>
      </c>
      <c r="J2929" s="3">
        <v>44138.615706018521</v>
      </c>
      <c r="K2929" cm="1">
        <f t="array" ref="K2929">sentimentCalc(C2929)</f>
        <v>0</v>
      </c>
      <c r="L2929" t="str" cm="1">
        <f t="array" ref="L2929">sentimentCategory(K2929)</f>
        <v>Neutral</v>
      </c>
    </row>
    <row r="2930" spans="1:12" x14ac:dyDescent="0.25">
      <c r="A2930" t="s">
        <v>3638</v>
      </c>
      <c r="B2930" t="s">
        <v>4459</v>
      </c>
      <c r="C2930" t="str" cm="1">
        <f t="array" ref="C2930">CleanText(B2930)</f>
        <v>this movie is nothing more than an antimen propaganda dont expose your children to this garbage</v>
      </c>
      <c r="D2930">
        <v>3</v>
      </c>
      <c r="E2930">
        <v>1</v>
      </c>
      <c r="F2930" t="s">
        <v>1050</v>
      </c>
      <c r="G2930" t="str" cm="1">
        <f t="array" ref="G2930">FindCountryName(F2930)</f>
        <v>Germany</v>
      </c>
      <c r="H2930" s="3">
        <v>45140.174398148149</v>
      </c>
      <c r="I2930" s="3">
        <v>45140.174398148149</v>
      </c>
      <c r="J2930" s="3">
        <v>41755.793067129627</v>
      </c>
      <c r="K2930" cm="1">
        <f t="array" ref="K2930">sentimentCalc(C2930)</f>
        <v>-3</v>
      </c>
      <c r="L2930" t="str" cm="1">
        <f t="array" ref="L2930">sentimentCategory(K2930)</f>
        <v>Negative</v>
      </c>
    </row>
    <row r="2931" spans="1:12" x14ac:dyDescent="0.25">
      <c r="A2931" t="s">
        <v>98</v>
      </c>
      <c r="B2931" t="s">
        <v>3038</v>
      </c>
      <c r="C2931" t="str" cm="1">
        <f t="array" ref="C2931">CleanText(B2931)</f>
        <v>this movie is one of the worst</v>
      </c>
      <c r="D2931">
        <v>3</v>
      </c>
      <c r="E2931">
        <v>0</v>
      </c>
      <c r="F2931" t="s">
        <v>10</v>
      </c>
      <c r="G2931" t="str" cm="1">
        <f t="array" ref="G2931">FindCountryName(F2931)</f>
        <v>None</v>
      </c>
      <c r="H2931" s="3">
        <v>45154.215590277781</v>
      </c>
      <c r="I2931" s="3">
        <v>45154.215590277781</v>
      </c>
      <c r="J2931" s="3">
        <v>42434.724317129629</v>
      </c>
      <c r="K2931" cm="1">
        <f t="array" ref="K2931">sentimentCalc(C2931)</f>
        <v>-3</v>
      </c>
      <c r="L2931" t="str" cm="1">
        <f t="array" ref="L2931">sentimentCategory(K2931)</f>
        <v>Negative</v>
      </c>
    </row>
    <row r="2932" spans="1:12" x14ac:dyDescent="0.25">
      <c r="A2932" t="s">
        <v>571</v>
      </c>
      <c r="B2932" t="s">
        <v>2772</v>
      </c>
      <c r="C2932" t="str" cm="1">
        <f t="array" ref="C2932">CleanText(B2932)</f>
        <v>this movie is quite pink opposite movie should be barniehard drunk dirty beard unemployed divorced half bald and in  ages</v>
      </c>
      <c r="D2932">
        <v>0</v>
      </c>
      <c r="E2932">
        <v>0</v>
      </c>
      <c r="F2932" t="s">
        <v>10</v>
      </c>
      <c r="G2932" t="str" cm="1">
        <f t="array" ref="G2932">FindCountryName(F2932)</f>
        <v>None</v>
      </c>
      <c r="H2932" s="3">
        <v>45158.198148148149</v>
      </c>
      <c r="I2932" s="3">
        <v>45158.198148148149</v>
      </c>
      <c r="J2932" s="3">
        <v>41534.637037037035</v>
      </c>
      <c r="K2932" cm="1">
        <f t="array" ref="K2932">sentimentCalc(C2932)</f>
        <v>-4</v>
      </c>
      <c r="L2932" t="str" cm="1">
        <f t="array" ref="L2932">sentimentCategory(K2932)</f>
        <v>Negative</v>
      </c>
    </row>
    <row r="2933" spans="1:12" x14ac:dyDescent="0.25">
      <c r="A2933" t="s">
        <v>126</v>
      </c>
      <c r="B2933" t="s">
        <v>645</v>
      </c>
      <c r="C2933" t="str" cm="1">
        <f t="array" ref="C2933">CleanText(B2933)</f>
        <v>this movie is really for kids</v>
      </c>
      <c r="D2933">
        <v>1</v>
      </c>
      <c r="E2933">
        <v>1</v>
      </c>
      <c r="F2933" t="s">
        <v>10</v>
      </c>
      <c r="G2933" t="str" cm="1">
        <f t="array" ref="G2933">FindCountryName(F2933)</f>
        <v>None</v>
      </c>
      <c r="H2933" s="3">
        <v>45314.294606481482</v>
      </c>
      <c r="I2933" s="3">
        <v>45314.294606481482</v>
      </c>
      <c r="J2933" s="3">
        <v>43187.735798611109</v>
      </c>
      <c r="K2933" cm="1">
        <f t="array" ref="K2933">sentimentCalc(C2933)</f>
        <v>0</v>
      </c>
      <c r="L2933" t="str" cm="1">
        <f t="array" ref="L2933">sentimentCategory(K2933)</f>
        <v>Neutral</v>
      </c>
    </row>
    <row r="2934" spans="1:12" x14ac:dyDescent="0.25">
      <c r="A2934" t="s">
        <v>1692</v>
      </c>
      <c r="B2934" t="s">
        <v>4190</v>
      </c>
      <c r="C2934" t="str" cm="1">
        <f t="array" ref="C2934">CleanText(B2934)</f>
        <v>this movie is so boring and its very inappropriate and it also has bad words in it</v>
      </c>
      <c r="D2934">
        <v>7</v>
      </c>
      <c r="E2934">
        <v>2</v>
      </c>
      <c r="F2934" t="s">
        <v>10</v>
      </c>
      <c r="G2934" t="str" cm="1">
        <f t="array" ref="G2934">FindCountryName(F2934)</f>
        <v>None</v>
      </c>
      <c r="H2934" s="3">
        <v>45142.157500000001</v>
      </c>
      <c r="I2934" s="3">
        <v>45142.157500000001</v>
      </c>
      <c r="J2934" s="3">
        <v>45120.823923611111</v>
      </c>
      <c r="K2934" cm="1">
        <f t="array" ref="K2934">sentimentCalc(C2934)</f>
        <v>-6</v>
      </c>
      <c r="L2934" t="str" cm="1">
        <f t="array" ref="L2934">sentimentCategory(K2934)</f>
        <v>Negative</v>
      </c>
    </row>
    <row r="2935" spans="1:12" x14ac:dyDescent="0.25">
      <c r="A2935" t="s">
        <v>2313</v>
      </c>
      <c r="B2935" t="s">
        <v>2314</v>
      </c>
      <c r="C2935" t="str" cm="1">
        <f t="array" ref="C2935">CleanText(B2935)</f>
        <v>this movie is so freaking trash lmao</v>
      </c>
      <c r="D2935">
        <v>0</v>
      </c>
      <c r="E2935">
        <v>0</v>
      </c>
      <c r="F2935" t="s">
        <v>10</v>
      </c>
      <c r="G2935" t="str" cm="1">
        <f t="array" ref="G2935">FindCountryName(F2935)</f>
        <v>None</v>
      </c>
      <c r="H2935" s="3">
        <v>45172.18136574074</v>
      </c>
      <c r="I2935" s="3">
        <v>45172.18136574074</v>
      </c>
      <c r="J2935" s="3">
        <v>42381.308692129627</v>
      </c>
      <c r="K2935" cm="1">
        <f t="array" ref="K2935">sentimentCalc(C2935)</f>
        <v>0</v>
      </c>
      <c r="L2935" t="str" cm="1">
        <f t="array" ref="L2935">sentimentCategory(K2935)</f>
        <v>Neutral</v>
      </c>
    </row>
    <row r="2936" spans="1:12" x14ac:dyDescent="0.25">
      <c r="A2936" t="s">
        <v>1869</v>
      </c>
      <c r="B2936" t="s">
        <v>4348</v>
      </c>
      <c r="C2936" t="str" cm="1">
        <f t="array" ref="C2936">CleanText(B2936)</f>
        <v>this movie is so good</v>
      </c>
      <c r="D2936">
        <v>3</v>
      </c>
      <c r="E2936">
        <v>7</v>
      </c>
      <c r="F2936" t="s">
        <v>10</v>
      </c>
      <c r="G2936" t="str" cm="1">
        <f t="array" ref="G2936">FindCountryName(F2936)</f>
        <v>None</v>
      </c>
      <c r="H2936" s="3">
        <v>45140.747013888889</v>
      </c>
      <c r="I2936" s="3">
        <v>45140.747013888889</v>
      </c>
      <c r="J2936" s="3">
        <v>44773.231550925928</v>
      </c>
      <c r="K2936" cm="1">
        <f t="array" ref="K2936">sentimentCalc(C2936)</f>
        <v>3</v>
      </c>
      <c r="L2936" t="str" cm="1">
        <f t="array" ref="L2936">sentimentCategory(K2936)</f>
        <v>Positive</v>
      </c>
    </row>
    <row r="2937" spans="1:12" x14ac:dyDescent="0.25">
      <c r="A2937" t="s">
        <v>118</v>
      </c>
      <c r="B2937" t="s">
        <v>2358</v>
      </c>
      <c r="C2937" t="str" cm="1">
        <f t="array" ref="C2937">CleanText(B2937)</f>
        <v>this movie is so good i love the actors good job on the movie</v>
      </c>
      <c r="D2937">
        <v>0</v>
      </c>
      <c r="E2937">
        <v>0</v>
      </c>
      <c r="F2937" t="s">
        <v>10</v>
      </c>
      <c r="G2937" t="str" cm="1">
        <f t="array" ref="G2937">FindCountryName(F2937)</f>
        <v>None</v>
      </c>
      <c r="H2937" s="3">
        <v>45170.971504629626</v>
      </c>
      <c r="I2937" s="3">
        <v>45170.971504629626</v>
      </c>
      <c r="J2937" s="3">
        <v>44114.506828703707</v>
      </c>
      <c r="K2937" cm="1">
        <f t="array" ref="K2937">sentimentCalc(C2937)</f>
        <v>9</v>
      </c>
      <c r="L2937" t="str" cm="1">
        <f t="array" ref="L2937">sentimentCategory(K2937)</f>
        <v>Positive</v>
      </c>
    </row>
    <row r="2938" spans="1:12" x14ac:dyDescent="0.25">
      <c r="A2938" t="s">
        <v>372</v>
      </c>
      <c r="B2938" t="s">
        <v>1810</v>
      </c>
      <c r="C2938" t="str" cm="1">
        <f t="array" ref="C2938">CleanText(B2938)</f>
        <v>this movie is soo over rated because of nick minaji</v>
      </c>
      <c r="D2938">
        <v>2</v>
      </c>
      <c r="E2938">
        <v>1</v>
      </c>
      <c r="F2938" t="s">
        <v>10</v>
      </c>
      <c r="G2938" t="str" cm="1">
        <f t="array" ref="G2938">FindCountryName(F2938)</f>
        <v>None</v>
      </c>
      <c r="H2938" s="3">
        <v>45193.531504629631</v>
      </c>
      <c r="I2938" s="3">
        <v>45193.531504629631</v>
      </c>
      <c r="J2938" s="3">
        <v>44309.429375</v>
      </c>
      <c r="K2938" cm="1">
        <f t="array" ref="K2938">sentimentCalc(C2938)</f>
        <v>0</v>
      </c>
      <c r="L2938" t="str" cm="1">
        <f t="array" ref="L2938">sentimentCategory(K2938)</f>
        <v>Neutral</v>
      </c>
    </row>
    <row r="2939" spans="1:12" x14ac:dyDescent="0.25">
      <c r="A2939" t="s">
        <v>569</v>
      </c>
      <c r="B2939" t="s">
        <v>2242</v>
      </c>
      <c r="C2939" t="str" cm="1">
        <f t="array" ref="C2939">CleanText(B2939)</f>
        <v>this movie is still lit as today</v>
      </c>
      <c r="D2939">
        <v>2</v>
      </c>
      <c r="E2939">
        <v>0</v>
      </c>
      <c r="F2939" t="s">
        <v>10</v>
      </c>
      <c r="G2939" t="str" cm="1">
        <f t="array" ref="G2939">FindCountryName(F2939)</f>
        <v>None</v>
      </c>
      <c r="H2939" s="3">
        <v>45174.527858796297</v>
      </c>
      <c r="I2939" s="3">
        <v>45174.527858796297</v>
      </c>
      <c r="J2939" s="3">
        <v>41001.187395833331</v>
      </c>
      <c r="K2939" cm="1">
        <f t="array" ref="K2939">sentimentCalc(C2939)</f>
        <v>0</v>
      </c>
      <c r="L2939" t="str" cm="1">
        <f t="array" ref="L2939">sentimentCategory(K2939)</f>
        <v>Neutral</v>
      </c>
    </row>
    <row r="2940" spans="1:12" x14ac:dyDescent="0.25">
      <c r="A2940" t="s">
        <v>817</v>
      </c>
      <c r="B2940" t="s">
        <v>1260</v>
      </c>
      <c r="C2940" t="str" cm="1">
        <f t="array" ref="C2940">CleanText(B2940)</f>
        <v>this movie is the most boring and the stupidest ive ever seen i watched it in its premiere i wanted to hang myself it was a total torture i wanted so bad to leave the cinema but it was all full we didnt laugh once it had so much marketing but it wasnt nearby up to the expectations that was extremely disappointing hated the fact that they take us as we are stupid or retarded plastic beach and stupidity very sexist and extreme shocked about how people can get influenced by smart marketing not worth your time dont watch it</v>
      </c>
      <c r="D2940">
        <v>4</v>
      </c>
      <c r="E2940">
        <v>6</v>
      </c>
      <c r="F2940" t="s">
        <v>10</v>
      </c>
      <c r="G2940" t="str" cm="1">
        <f t="array" ref="G2940">FindCountryName(F2940)</f>
        <v>None</v>
      </c>
      <c r="H2940" s="3">
        <v>45263.943310185183</v>
      </c>
      <c r="I2940" s="3">
        <v>45263.943310185183</v>
      </c>
      <c r="J2940" s="3">
        <v>41950.869027777779</v>
      </c>
      <c r="K2940" cm="1">
        <f t="array" ref="K2940">sentimentCalc(C2940)</f>
        <v>-16</v>
      </c>
      <c r="L2940" t="str" cm="1">
        <f t="array" ref="L2940">sentimentCategory(K2940)</f>
        <v>Negative</v>
      </c>
    </row>
    <row r="2941" spans="1:12" x14ac:dyDescent="0.25">
      <c r="A2941" t="s">
        <v>871</v>
      </c>
      <c r="B2941" t="s">
        <v>3006</v>
      </c>
      <c r="C2941" t="str" cm="1">
        <f t="array" ref="C2941">CleanText(B2941)</f>
        <v>this movie lets teh world see how hard it is to be a girl</v>
      </c>
      <c r="D2941">
        <v>1</v>
      </c>
      <c r="E2941">
        <v>0</v>
      </c>
      <c r="F2941" t="s">
        <v>10</v>
      </c>
      <c r="G2941" t="str" cm="1">
        <f t="array" ref="G2941">FindCountryName(F2941)</f>
        <v>None</v>
      </c>
      <c r="H2941" s="3">
        <v>45154.58525462963</v>
      </c>
      <c r="I2941" s="3">
        <v>45154.58525462963</v>
      </c>
      <c r="J2941" s="3">
        <v>44812.594328703701</v>
      </c>
      <c r="K2941" cm="1">
        <f t="array" ref="K2941">sentimentCalc(C2941)</f>
        <v>-1</v>
      </c>
      <c r="L2941" t="str" cm="1">
        <f t="array" ref="L2941">sentimentCategory(K2941)</f>
        <v>Negative</v>
      </c>
    </row>
    <row r="2942" spans="1:12" x14ac:dyDescent="0.25">
      <c r="A2942" t="s">
        <v>135</v>
      </c>
      <c r="B2942" t="s">
        <v>2075</v>
      </c>
      <c r="C2942" t="str" cm="1">
        <f t="array" ref="C2942">CleanText(B2942)</f>
        <v>this movie made for people who get buggered in the rear is already streaming while i have to wait another month for oppenheimer</v>
      </c>
      <c r="D2942">
        <v>2</v>
      </c>
      <c r="E2942">
        <v>4</v>
      </c>
      <c r="F2942" t="s">
        <v>10</v>
      </c>
      <c r="G2942" t="str" cm="1">
        <f t="array" ref="G2942">FindCountryName(F2942)</f>
        <v>None</v>
      </c>
      <c r="H2942" s="3">
        <v>45181.78292824074</v>
      </c>
      <c r="I2942" s="3">
        <v>45181.78292824074</v>
      </c>
      <c r="J2942" s="3">
        <v>41908.771261574075</v>
      </c>
      <c r="K2942" cm="1">
        <f t="array" ref="K2942">sentimentCalc(C2942)</f>
        <v>0</v>
      </c>
      <c r="L2942" t="str" cm="1">
        <f t="array" ref="L2942">sentimentCategory(K2942)</f>
        <v>Neutral</v>
      </c>
    </row>
    <row r="2943" spans="1:12" x14ac:dyDescent="0.25">
      <c r="A2943" t="s">
        <v>2157</v>
      </c>
      <c r="B2943" t="s">
        <v>2158</v>
      </c>
      <c r="C2943" t="str" cm="1">
        <f t="array" ref="C2943">CleanText(B2943)</f>
        <v>this movie made me realize that no female on earth should be dating a male</v>
      </c>
      <c r="D2943">
        <v>2</v>
      </c>
      <c r="E2943">
        <v>0</v>
      </c>
      <c r="F2943" t="s">
        <v>10</v>
      </c>
      <c r="G2943" t="str" cm="1">
        <f t="array" ref="G2943">FindCountryName(F2943)</f>
        <v>None</v>
      </c>
      <c r="H2943" s="3">
        <v>45177.560150462959</v>
      </c>
      <c r="I2943" s="3">
        <v>45177.56013888889</v>
      </c>
      <c r="J2943" s="3">
        <v>42463.251134259262</v>
      </c>
      <c r="K2943" cm="1">
        <f t="array" ref="K2943">sentimentCalc(C2943)</f>
        <v>-1</v>
      </c>
      <c r="L2943" t="str" cm="1">
        <f t="array" ref="L2943">sentimentCategory(K2943)</f>
        <v>Negative</v>
      </c>
    </row>
    <row r="2944" spans="1:12" x14ac:dyDescent="0.25">
      <c r="A2944" t="s">
        <v>2437</v>
      </c>
      <c r="B2944" t="s">
        <v>2438</v>
      </c>
      <c r="C2944" t="str" cm="1">
        <f t="array" ref="C2944">CleanText(B2944)</f>
        <v>this movie marks the era who said you are not allowed to be idiotic idiot fun</v>
      </c>
      <c r="D2944">
        <v>0</v>
      </c>
      <c r="E2944">
        <v>0</v>
      </c>
      <c r="F2944" t="s">
        <v>10</v>
      </c>
      <c r="G2944" t="str" cm="1">
        <f t="array" ref="G2944">FindCountryName(F2944)</f>
        <v>None</v>
      </c>
      <c r="H2944" s="3">
        <v>45167.266458333332</v>
      </c>
      <c r="I2944" s="3">
        <v>45167.266446759262</v>
      </c>
      <c r="J2944" s="3">
        <v>40817.425011574072</v>
      </c>
      <c r="K2944" cm="1">
        <f t="array" ref="K2944">sentimentCalc(C2944)</f>
        <v>-2</v>
      </c>
      <c r="L2944" t="str" cm="1">
        <f t="array" ref="L2944">sentimentCategory(K2944)</f>
        <v>Negative</v>
      </c>
    </row>
    <row r="2945" spans="1:12" x14ac:dyDescent="0.25">
      <c r="A2945" t="s">
        <v>501</v>
      </c>
      <c r="B2945" t="s">
        <v>502</v>
      </c>
      <c r="C2945" t="str" cm="1">
        <f t="array" ref="C2945">CleanText(B2945)</f>
        <v>this movie masterpiece for women i like this movie letsss watch</v>
      </c>
      <c r="D2945">
        <v>0</v>
      </c>
      <c r="E2945">
        <v>0</v>
      </c>
      <c r="F2945" t="s">
        <v>10</v>
      </c>
      <c r="G2945" t="str" cm="1">
        <f t="array" ref="G2945">FindCountryName(F2945)</f>
        <v>None</v>
      </c>
      <c r="H2945" s="3">
        <v>45318.251631944448</v>
      </c>
      <c r="I2945" s="3">
        <v>45318.251631944448</v>
      </c>
      <c r="J2945" s="3">
        <v>43797.592511574076</v>
      </c>
      <c r="K2945" cm="1">
        <f t="array" ref="K2945">sentimentCalc(C2945)</f>
        <v>6</v>
      </c>
      <c r="L2945" t="str" cm="1">
        <f t="array" ref="L2945">sentimentCategory(K2945)</f>
        <v>Positive</v>
      </c>
    </row>
    <row r="2946" spans="1:12" x14ac:dyDescent="0.25">
      <c r="A2946" t="s">
        <v>1296</v>
      </c>
      <c r="B2946" t="s">
        <v>3046</v>
      </c>
      <c r="C2946" t="str" cm="1">
        <f t="array" ref="C2946">CleanText(B2946)</f>
        <v>this movie promotes gayism which is not a healthy sign</v>
      </c>
      <c r="D2946">
        <v>6</v>
      </c>
      <c r="E2946">
        <v>1</v>
      </c>
      <c r="F2946" t="s">
        <v>10</v>
      </c>
      <c r="G2946" t="str" cm="1">
        <f t="array" ref="G2946">FindCountryName(F2946)</f>
        <v>None</v>
      </c>
      <c r="H2946" s="3">
        <v>45154.066342592596</v>
      </c>
      <c r="I2946" s="3">
        <v>45154.066342592596</v>
      </c>
      <c r="J2946" s="3">
        <v>41548.28733796296</v>
      </c>
      <c r="K2946" cm="1">
        <f t="array" ref="K2946">sentimentCalc(C2946)</f>
        <v>3</v>
      </c>
      <c r="L2946" t="str" cm="1">
        <f t="array" ref="L2946">sentimentCategory(K2946)</f>
        <v>Positive</v>
      </c>
    </row>
    <row r="2947" spans="1:12" x14ac:dyDescent="0.25">
      <c r="A2947" t="s">
        <v>3992</v>
      </c>
      <c r="B2947" t="s">
        <v>4315</v>
      </c>
      <c r="C2947" t="str" cm="1">
        <f t="array" ref="C2947">CleanText(B2947)</f>
        <v>this movie really hits me maybe because im still at point of existential crisis finding a meaning of what my purpose is definitely a  recommended</v>
      </c>
      <c r="D2947">
        <v>31</v>
      </c>
      <c r="E2947">
        <v>5</v>
      </c>
      <c r="F2947" t="s">
        <v>10</v>
      </c>
      <c r="G2947" t="str" cm="1">
        <f t="array" ref="G2947">FindCountryName(F2947)</f>
        <v>None</v>
      </c>
      <c r="H2947" s="3">
        <v>45141.020405092589</v>
      </c>
      <c r="I2947" s="3">
        <v>45141.020405092589</v>
      </c>
      <c r="J2947" s="3">
        <v>43152.180127314816</v>
      </c>
      <c r="K2947" cm="1">
        <f t="array" ref="K2947">sentimentCalc(C2947)</f>
        <v>-1</v>
      </c>
      <c r="L2947" t="str" cm="1">
        <f t="array" ref="L2947">sentimentCategory(K2947)</f>
        <v>Negative</v>
      </c>
    </row>
    <row r="2948" spans="1:12" x14ac:dyDescent="0.25">
      <c r="A2948" t="s">
        <v>532</v>
      </c>
      <c r="B2948" t="s">
        <v>3493</v>
      </c>
      <c r="C2948" t="str" cm="1">
        <f t="array" ref="C2948">CleanText(B2948)</f>
        <v>this movie should have came out in october to be closer to the upcoming holiday season one thing is for sure this christmas season people will be fighting for the last barbie on the shelve like turboman in jingle all the way</v>
      </c>
      <c r="D2948">
        <v>0</v>
      </c>
      <c r="E2948">
        <v>0</v>
      </c>
      <c r="F2948" t="s">
        <v>227</v>
      </c>
      <c r="G2948" t="str" cm="1">
        <f t="array" ref="G2948">FindCountryName(F2948)</f>
        <v>United States of America (the)</v>
      </c>
      <c r="H2948" s="3">
        <v>45148.297708333332</v>
      </c>
      <c r="I2948" s="3">
        <v>45148.297708333332</v>
      </c>
      <c r="J2948" s="3">
        <v>40379.144513888888</v>
      </c>
      <c r="K2948" cm="1">
        <f t="array" ref="K2948">sentimentCalc(C2948)</f>
        <v>2</v>
      </c>
      <c r="L2948" t="str" cm="1">
        <f t="array" ref="L2948">sentimentCategory(K2948)</f>
        <v>Positive</v>
      </c>
    </row>
    <row r="2949" spans="1:12" x14ac:dyDescent="0.25">
      <c r="A2949" t="s">
        <v>1884</v>
      </c>
      <c r="B2949" t="s">
        <v>1885</v>
      </c>
      <c r="C2949" t="str" cm="1">
        <f t="array" ref="C2949">CleanText(B2949)</f>
        <v>this movie should win an award for its production design on another notebarbenheimer achievement unlockedfinal verdictchoose barbie for more explosive plotchoose oppenheimer formore impressive bombshellwho woulda thunk</v>
      </c>
      <c r="D2949">
        <v>1</v>
      </c>
      <c r="E2949">
        <v>1</v>
      </c>
      <c r="F2949" t="s">
        <v>10</v>
      </c>
      <c r="G2949" t="str" cm="1">
        <f t="array" ref="G2949">FindCountryName(F2949)</f>
        <v>None</v>
      </c>
      <c r="H2949" s="3">
        <v>45188.730416666665</v>
      </c>
      <c r="I2949" s="3">
        <v>45188.730416666665</v>
      </c>
      <c r="J2949" s="3">
        <v>44997.00403935185</v>
      </c>
      <c r="K2949" cm="1">
        <f t="array" ref="K2949">sentimentCalc(C2949)</f>
        <v>10</v>
      </c>
      <c r="L2949" t="str" cm="1">
        <f t="array" ref="L2949">sentimentCategory(K2949)</f>
        <v>Positive</v>
      </c>
    </row>
    <row r="2950" spans="1:12" x14ac:dyDescent="0.25">
      <c r="A2950" t="s">
        <v>1267</v>
      </c>
      <c r="B2950" t="s">
        <v>1284</v>
      </c>
      <c r="C2950" t="str" cm="1">
        <f t="array" ref="C2950">CleanText(B2950)</f>
        <v>this movie sucked honestly majorly high expectations and it lacked in nearly everything</v>
      </c>
      <c r="D2950">
        <v>4</v>
      </c>
      <c r="E2950">
        <v>0</v>
      </c>
      <c r="F2950" t="s">
        <v>10</v>
      </c>
      <c r="G2950" t="str" cm="1">
        <f t="array" ref="G2950">FindCountryName(F2950)</f>
        <v>None</v>
      </c>
      <c r="H2950" s="3">
        <v>45257.95517361111</v>
      </c>
      <c r="I2950" s="3">
        <v>45257.95517361111</v>
      </c>
      <c r="J2950" s="3">
        <v>43626.698831018519</v>
      </c>
      <c r="K2950" cm="1">
        <f t="array" ref="K2950">sentimentCalc(C2950)</f>
        <v>0</v>
      </c>
      <c r="L2950" t="str" cm="1">
        <f t="array" ref="L2950">sentimentCategory(K2950)</f>
        <v>Neutral</v>
      </c>
    </row>
    <row r="2951" spans="1:12" x14ac:dyDescent="0.25">
      <c r="A2951" t="s">
        <v>90</v>
      </c>
      <c r="B2951" t="s">
        <v>2114</v>
      </c>
      <c r="C2951" t="str" cm="1">
        <f t="array" ref="C2951">CleanText(B2951)</f>
        <v>this movie sucked one of the most boring movies ive ever seen</v>
      </c>
      <c r="D2951">
        <v>3</v>
      </c>
      <c r="E2951">
        <v>5</v>
      </c>
      <c r="F2951" t="s">
        <v>10</v>
      </c>
      <c r="G2951" t="str" cm="1">
        <f t="array" ref="G2951">FindCountryName(F2951)</f>
        <v>None</v>
      </c>
      <c r="H2951" s="3">
        <v>45180.148078703707</v>
      </c>
      <c r="I2951" s="3">
        <v>45180.148078703707</v>
      </c>
      <c r="J2951" s="3">
        <v>41285.704502314817</v>
      </c>
      <c r="K2951" cm="1">
        <f t="array" ref="K2951">sentimentCalc(C2951)</f>
        <v>-3</v>
      </c>
      <c r="L2951" t="str" cm="1">
        <f t="array" ref="L2951">sentimentCategory(K2951)</f>
        <v>Negative</v>
      </c>
    </row>
    <row r="2952" spans="1:12" x14ac:dyDescent="0.25">
      <c r="A2952" t="s">
        <v>211</v>
      </c>
      <c r="B2952" t="s">
        <v>842</v>
      </c>
      <c r="C2952" t="str" cm="1">
        <f t="array" ref="C2952">CleanText(B2952)</f>
        <v>this movie sucks</v>
      </c>
      <c r="D2952">
        <v>1</v>
      </c>
      <c r="E2952">
        <v>0</v>
      </c>
      <c r="F2952" t="s">
        <v>10</v>
      </c>
      <c r="G2952" t="str" cm="1">
        <f t="array" ref="G2952">FindCountryName(F2952)</f>
        <v>None</v>
      </c>
      <c r="H2952" s="3">
        <v>45301.556689814817</v>
      </c>
      <c r="I2952" s="3">
        <v>45301.556689814817</v>
      </c>
      <c r="J2952" s="3">
        <v>44823.920127314814</v>
      </c>
      <c r="K2952" cm="1">
        <f t="array" ref="K2952">sentimentCalc(C2952)</f>
        <v>-3</v>
      </c>
      <c r="L2952" t="str" cm="1">
        <f t="array" ref="L2952">sentimentCategory(K2952)</f>
        <v>Negative</v>
      </c>
    </row>
    <row r="2953" spans="1:12" x14ac:dyDescent="0.25">
      <c r="A2953" t="s">
        <v>3861</v>
      </c>
      <c r="B2953" t="s">
        <v>3862</v>
      </c>
      <c r="C2953" t="str" cm="1">
        <f t="array" ref="C2953">CleanText(B2953)</f>
        <v>this movie sucks i rate it a  steve is better then ken</v>
      </c>
      <c r="D2953">
        <v>2</v>
      </c>
      <c r="E2953">
        <v>0</v>
      </c>
      <c r="F2953" t="s">
        <v>10</v>
      </c>
      <c r="G2953" t="str" cm="1">
        <f t="array" ref="G2953">FindCountryName(F2953)</f>
        <v>None</v>
      </c>
      <c r="H2953" s="3">
        <v>45144.911597222221</v>
      </c>
      <c r="I2953" s="3">
        <v>45144.911597222221</v>
      </c>
      <c r="J2953" s="3">
        <v>45090.983923611115</v>
      </c>
      <c r="K2953" cm="1">
        <f t="array" ref="K2953">sentimentCalc(C2953)</f>
        <v>-1</v>
      </c>
      <c r="L2953" t="str" cm="1">
        <f t="array" ref="L2953">sentimentCategory(K2953)</f>
        <v>Negative</v>
      </c>
    </row>
    <row r="2954" spans="1:12" x14ac:dyDescent="0.25">
      <c r="A2954" t="s">
        <v>2105</v>
      </c>
      <c r="B2954" t="s">
        <v>2106</v>
      </c>
      <c r="C2954" t="str" cm="1">
        <f t="array" ref="C2954">CleanText(B2954)</f>
        <v>this movie surpassed all my expectations i literally could not stop laughing then crying at the end the humor look and feel of this movie the messages and satire margot robbie and ryan gosling are perfection</v>
      </c>
      <c r="D2954">
        <v>708</v>
      </c>
      <c r="E2954">
        <v>35</v>
      </c>
      <c r="F2954" t="s">
        <v>10</v>
      </c>
      <c r="G2954" t="str" cm="1">
        <f t="array" ref="G2954">FindCountryName(F2954)</f>
        <v>None</v>
      </c>
      <c r="H2954" s="3">
        <v>45180.465995370374</v>
      </c>
      <c r="I2954" s="3">
        <v>45180.466319444444</v>
      </c>
      <c r="J2954" s="3">
        <v>42231.614178240743</v>
      </c>
      <c r="K2954" cm="1">
        <f t="array" ref="K2954">sentimentCalc(C2954)</f>
        <v>0</v>
      </c>
      <c r="L2954" t="str" cm="1">
        <f t="array" ref="L2954">sentimentCategory(K2954)</f>
        <v>Neutral</v>
      </c>
    </row>
    <row r="2955" spans="1:12" x14ac:dyDescent="0.25">
      <c r="A2955" t="s">
        <v>1325</v>
      </c>
      <c r="B2955" t="s">
        <v>3708</v>
      </c>
      <c r="C2955" t="str" cm="1">
        <f t="array" ref="C2955">CleanText(B2955)</f>
        <v>this movie was absolutely not the fun funny entertaining movie i thought it would be it was actually offensive towards men women and relationshipsplease explain what you got out of this movie its was complete stupidity  nonsense</v>
      </c>
      <c r="D2955">
        <v>2</v>
      </c>
      <c r="E2955">
        <v>0</v>
      </c>
      <c r="F2955" t="s">
        <v>10</v>
      </c>
      <c r="G2955" t="str" cm="1">
        <f t="array" ref="G2955">FindCountryName(F2955)</f>
        <v>None</v>
      </c>
      <c r="H2955" s="3">
        <v>45146.206863425927</v>
      </c>
      <c r="I2955" s="3">
        <v>45146.206863425927</v>
      </c>
      <c r="J2955" s="3">
        <v>42265.896562499998</v>
      </c>
      <c r="K2955" cm="1">
        <f t="array" ref="K2955">sentimentCalc(C2955)</f>
        <v>8</v>
      </c>
      <c r="L2955" t="str" cm="1">
        <f t="array" ref="L2955">sentimentCategory(K2955)</f>
        <v>Positive</v>
      </c>
    </row>
    <row r="2956" spans="1:12" x14ac:dyDescent="0.25">
      <c r="A2956" t="s">
        <v>235</v>
      </c>
      <c r="B2956" t="s">
        <v>2131</v>
      </c>
      <c r="C2956" t="str" cm="1">
        <f t="array" ref="C2956">CleanText(B2956)</f>
        <v>this movie was amazing</v>
      </c>
      <c r="D2956">
        <v>0</v>
      </c>
      <c r="E2956">
        <v>0</v>
      </c>
      <c r="F2956" t="s">
        <v>10</v>
      </c>
      <c r="G2956" t="str" cm="1">
        <f t="array" ref="G2956">FindCountryName(F2956)</f>
        <v>None</v>
      </c>
      <c r="H2956" s="3">
        <v>45179.312118055554</v>
      </c>
      <c r="I2956" s="3">
        <v>45179.312118055554</v>
      </c>
      <c r="J2956" s="3">
        <v>44884.103865740741</v>
      </c>
      <c r="K2956" cm="1">
        <f t="array" ref="K2956">sentimentCalc(C2956)</f>
        <v>4</v>
      </c>
      <c r="L2956" t="str" cm="1">
        <f t="array" ref="L2956">sentimentCategory(K2956)</f>
        <v>Positive</v>
      </c>
    </row>
    <row r="2957" spans="1:12" x14ac:dyDescent="0.25">
      <c r="A2957" t="s">
        <v>385</v>
      </c>
      <c r="B2957" t="s">
        <v>2535</v>
      </c>
      <c r="C2957" t="str" cm="1">
        <f t="array" ref="C2957">CleanText(B2957)</f>
        <v>this movie was amazing well done</v>
      </c>
      <c r="D2957">
        <v>2</v>
      </c>
      <c r="E2957">
        <v>0</v>
      </c>
      <c r="F2957" t="s">
        <v>10</v>
      </c>
      <c r="G2957" t="str" cm="1">
        <f t="array" ref="G2957">FindCountryName(F2957)</f>
        <v>None</v>
      </c>
      <c r="H2957" s="3">
        <v>45163.926979166667</v>
      </c>
      <c r="I2957" s="3">
        <v>45163.926979166667</v>
      </c>
      <c r="J2957" s="3">
        <v>45163.923009259262</v>
      </c>
      <c r="K2957" cm="1">
        <f t="array" ref="K2957">sentimentCalc(C2957)</f>
        <v>4</v>
      </c>
      <c r="L2957" t="str" cm="1">
        <f t="array" ref="L2957">sentimentCategory(K2957)</f>
        <v>Positive</v>
      </c>
    </row>
    <row r="2958" spans="1:12" x14ac:dyDescent="0.25">
      <c r="A2958" t="s">
        <v>3014</v>
      </c>
      <c r="B2958" t="s">
        <v>3022</v>
      </c>
      <c r="C2958" t="str" cm="1">
        <f t="array" ref="C2958">CleanText(B2958)</f>
        <v>this movie was amazing for me going to the theater to watch this movie was like going to church i felt the healing there was healing in my life during this movie   very good reconciliation of inner worlds</v>
      </c>
      <c r="D2958">
        <v>65</v>
      </c>
      <c r="E2958">
        <v>11</v>
      </c>
      <c r="F2958" t="s">
        <v>10</v>
      </c>
      <c r="G2958" t="str" cm="1">
        <f t="array" ref="G2958">FindCountryName(F2958)</f>
        <v>None</v>
      </c>
      <c r="H2958" s="3">
        <v>45154.379259259258</v>
      </c>
      <c r="I2958" s="3">
        <v>45154.379247685189</v>
      </c>
      <c r="J2958" s="3">
        <v>41491.626701388886</v>
      </c>
      <c r="K2958" cm="1">
        <f t="array" ref="K2958">sentimentCalc(C2958)</f>
        <v>9</v>
      </c>
      <c r="L2958" t="str" cm="1">
        <f t="array" ref="L2958">sentimentCategory(K2958)</f>
        <v>Positive</v>
      </c>
    </row>
    <row r="2959" spans="1:12" x14ac:dyDescent="0.25">
      <c r="A2959" t="s">
        <v>28</v>
      </c>
      <c r="B2959" t="s">
        <v>268</v>
      </c>
      <c r="C2959" t="str" cm="1">
        <f t="array" ref="C2959">CleanText(B2959)</f>
        <v>this movie was banned in vietnam because it was ninedash line map south china sea im from vietnam  hoang sa truong sa islands are in vietnam are in vietnam</v>
      </c>
      <c r="D2959">
        <v>2</v>
      </c>
      <c r="E2959">
        <v>7</v>
      </c>
      <c r="F2959" t="s">
        <v>10</v>
      </c>
      <c r="G2959" t="str" cm="1">
        <f t="array" ref="G2959">FindCountryName(F2959)</f>
        <v>None</v>
      </c>
      <c r="H2959" s="3">
        <v>45322.895289351851</v>
      </c>
      <c r="I2959" s="3">
        <v>45322.900150462963</v>
      </c>
      <c r="J2959" s="3">
        <v>43378.585405092592</v>
      </c>
      <c r="K2959" cm="1">
        <f t="array" ref="K2959">sentimentCalc(C2959)</f>
        <v>-2</v>
      </c>
      <c r="L2959" t="str" cm="1">
        <f t="array" ref="L2959">sentimentCategory(K2959)</f>
        <v>Negative</v>
      </c>
    </row>
    <row r="2960" spans="1:12" x14ac:dyDescent="0.25">
      <c r="A2960" t="s">
        <v>256</v>
      </c>
      <c r="B2960" t="s">
        <v>1122</v>
      </c>
      <c r="C2960" t="str" cm="1">
        <f t="array" ref="C2960">CleanText(B2960)</f>
        <v>this movie was better than i thought it would be but the little girl in me was slightly disappointed they didnt slide in the think pink song on the radio or something that was a great barbie song</v>
      </c>
      <c r="D2960">
        <v>0</v>
      </c>
      <c r="E2960">
        <v>0</v>
      </c>
      <c r="F2960" t="s">
        <v>10</v>
      </c>
      <c r="G2960" t="str" cm="1">
        <f t="array" ref="G2960">FindCountryName(F2960)</f>
        <v>None</v>
      </c>
      <c r="H2960" s="3">
        <v>45286.980150462965</v>
      </c>
      <c r="I2960" s="3">
        <v>45286.980150462965</v>
      </c>
      <c r="J2960" s="3">
        <v>41212.393321759257</v>
      </c>
      <c r="K2960" cm="1">
        <f t="array" ref="K2960">sentimentCalc(C2960)</f>
        <v>3</v>
      </c>
      <c r="L2960" t="str" cm="1">
        <f t="array" ref="L2960">sentimentCategory(K2960)</f>
        <v>Positive</v>
      </c>
    </row>
    <row r="2961" spans="1:12" x14ac:dyDescent="0.25">
      <c r="A2961" t="s">
        <v>1505</v>
      </c>
      <c r="B2961" t="s">
        <v>1829</v>
      </c>
      <c r="C2961" t="str" cm="1">
        <f t="array" ref="C2961">CleanText(B2961)</f>
        <v>this movie was biased towards women and sexist against men unfair and total bull really bad humour didnt even break a smile really cringy and stupid i rate it a  out of  waste of money and time</v>
      </c>
      <c r="D2961">
        <v>1</v>
      </c>
      <c r="E2961">
        <v>3</v>
      </c>
      <c r="F2961" t="s">
        <v>845</v>
      </c>
      <c r="G2961" t="str" cm="1">
        <f t="array" ref="G2961">FindCountryName(F2961)</f>
        <v>Australia</v>
      </c>
      <c r="H2961" s="3">
        <v>45192.218009259261</v>
      </c>
      <c r="I2961" s="3">
        <v>45192.218009259261</v>
      </c>
      <c r="J2961" s="3">
        <v>43951.161296296297</v>
      </c>
      <c r="K2961" cm="1">
        <f t="array" ref="K2961">sentimentCalc(C2961)</f>
        <v>-6</v>
      </c>
      <c r="L2961" t="str" cm="1">
        <f t="array" ref="L2961">sentimentCategory(K2961)</f>
        <v>Negative</v>
      </c>
    </row>
    <row r="2962" spans="1:12" x14ac:dyDescent="0.25">
      <c r="A2962" t="s">
        <v>1871</v>
      </c>
      <c r="B2962" t="s">
        <v>2272</v>
      </c>
      <c r="C2962" t="str" cm="1">
        <f t="array" ref="C2962">CleanText(B2962)</f>
        <v>this movie was definitely not what i expected it to be kuddos to the creative team behind it</v>
      </c>
      <c r="D2962">
        <v>28</v>
      </c>
      <c r="E2962">
        <v>1</v>
      </c>
      <c r="F2962" t="s">
        <v>2273</v>
      </c>
      <c r="G2962" t="str" cm="1">
        <f t="array" ref="G2962">FindCountryName(F2962)</f>
        <v>Kenya</v>
      </c>
      <c r="H2962" s="3">
        <v>45173.115439814814</v>
      </c>
      <c r="I2962" s="3">
        <v>45173.115439814814</v>
      </c>
      <c r="J2962" s="3">
        <v>43199.515185185184</v>
      </c>
      <c r="K2962" cm="1">
        <f t="array" ref="K2962">sentimentCalc(C2962)</f>
        <v>2</v>
      </c>
      <c r="L2962" t="str" cm="1">
        <f t="array" ref="L2962">sentimentCategory(K2962)</f>
        <v>Positive</v>
      </c>
    </row>
    <row r="2963" spans="1:12" x14ac:dyDescent="0.25">
      <c r="A2963" t="s">
        <v>925</v>
      </c>
      <c r="B2963" t="s">
        <v>926</v>
      </c>
      <c r="C2963" t="str" cm="1">
        <f t="array" ref="C2963">CleanText(B2963)</f>
        <v>this movie was great not because of the plot but because its self awareness</v>
      </c>
      <c r="D2963">
        <v>1</v>
      </c>
      <c r="E2963">
        <v>0</v>
      </c>
      <c r="F2963" t="s">
        <v>10</v>
      </c>
      <c r="G2963" t="str" cm="1">
        <f t="array" ref="G2963">FindCountryName(F2963)</f>
        <v>None</v>
      </c>
      <c r="H2963" s="3">
        <v>45299.267013888886</v>
      </c>
      <c r="I2963" s="3">
        <v>45299.267013888886</v>
      </c>
      <c r="J2963" s="3">
        <v>42784.328611111108</v>
      </c>
      <c r="K2963" cm="1">
        <f t="array" ref="K2963">sentimentCalc(C2963)</f>
        <v>3</v>
      </c>
      <c r="L2963" t="str" cm="1">
        <f t="array" ref="L2963">sentimentCategory(K2963)</f>
        <v>Positive</v>
      </c>
    </row>
    <row r="2964" spans="1:12" x14ac:dyDescent="0.25">
      <c r="A2964" t="s">
        <v>90</v>
      </c>
      <c r="B2964" t="s">
        <v>2498</v>
      </c>
      <c r="C2964" t="str" cm="1">
        <f t="array" ref="C2964">CleanText(B2964)</f>
        <v>this movie was hilarious</v>
      </c>
      <c r="D2964">
        <v>1</v>
      </c>
      <c r="E2964">
        <v>0</v>
      </c>
      <c r="F2964" t="s">
        <v>227</v>
      </c>
      <c r="G2964" t="str" cm="1">
        <f t="array" ref="G2964">FindCountryName(F2964)</f>
        <v>United States of America (the)</v>
      </c>
      <c r="H2964" s="3">
        <v>45164.980185185188</v>
      </c>
      <c r="I2964" s="3">
        <v>45164.980173611111</v>
      </c>
      <c r="J2964" s="3">
        <v>42234.066620370373</v>
      </c>
      <c r="K2964" cm="1">
        <f t="array" ref="K2964">sentimentCalc(C2964)</f>
        <v>2</v>
      </c>
      <c r="L2964" t="str" cm="1">
        <f t="array" ref="L2964">sentimentCategory(K2964)</f>
        <v>Positive</v>
      </c>
    </row>
    <row r="2965" spans="1:12" x14ac:dyDescent="0.25">
      <c r="A2965" t="s">
        <v>114</v>
      </c>
      <c r="B2965" t="s">
        <v>1097</v>
      </c>
      <c r="C2965" t="str" cm="1">
        <f t="array" ref="C2965">CleanText(B2965)</f>
        <v>this movie was mediocre i saw it and it just didnt live up to all of the hype</v>
      </c>
      <c r="D2965">
        <v>1</v>
      </c>
      <c r="E2965">
        <v>1</v>
      </c>
      <c r="F2965" t="s">
        <v>10</v>
      </c>
      <c r="G2965" t="str" cm="1">
        <f t="array" ref="G2965">FindCountryName(F2965)</f>
        <v>None</v>
      </c>
      <c r="H2965" s="3">
        <v>45289.898877314816</v>
      </c>
      <c r="I2965" s="3">
        <v>45289.898877314816</v>
      </c>
      <c r="J2965" s="3">
        <v>41011.851979166669</v>
      </c>
      <c r="K2965" cm="1">
        <f t="array" ref="K2965">sentimentCalc(C2965)</f>
        <v>0</v>
      </c>
      <c r="L2965" t="str" cm="1">
        <f t="array" ref="L2965">sentimentCategory(K2965)</f>
        <v>Neutral</v>
      </c>
    </row>
    <row r="2966" spans="1:12" x14ac:dyDescent="0.25">
      <c r="A2966" t="s">
        <v>1189</v>
      </c>
      <c r="B2966" t="s">
        <v>1190</v>
      </c>
      <c r="C2966" t="str" cm="1">
        <f t="array" ref="C2966">CleanText(B2966)</f>
        <v>this movie was nothing special and the plot honestly made no sense i really thought this was something amazing by the hype people had for this movie but honestly it wasnt good medicare at best and not something i would rewatch wich is a lot cause most of the time i rewach movies if they are  but this nope not worth it trash filed with politics wrapped up in pink</v>
      </c>
      <c r="D2966">
        <v>2</v>
      </c>
      <c r="E2966">
        <v>1</v>
      </c>
      <c r="F2966" t="s">
        <v>10</v>
      </c>
      <c r="G2966" t="str" cm="1">
        <f t="array" ref="G2966">FindCountryName(F2966)</f>
        <v>None</v>
      </c>
      <c r="H2966" s="3">
        <v>45279.211481481485</v>
      </c>
      <c r="I2966" s="3">
        <v>45279.212233796294</v>
      </c>
      <c r="J2966" s="3">
        <v>42242.69599537037</v>
      </c>
      <c r="K2966" cm="1">
        <f t="array" ref="K2966">sentimentCalc(C2966)</f>
        <v>11</v>
      </c>
      <c r="L2966" t="str" cm="1">
        <f t="array" ref="L2966">sentimentCategory(K2966)</f>
        <v>Positive</v>
      </c>
    </row>
    <row r="2967" spans="1:12" x14ac:dyDescent="0.25">
      <c r="A2967" t="s">
        <v>62</v>
      </c>
      <c r="B2967" t="s">
        <v>3201</v>
      </c>
      <c r="C2967" t="str" cm="1">
        <f t="array" ref="C2967">CleanText(B2967)</f>
        <v>this movie was so amazing definitely worth watching in theaters with your friends so you can all gag over it at the caf after</v>
      </c>
      <c r="D2967">
        <v>36</v>
      </c>
      <c r="E2967">
        <v>2</v>
      </c>
      <c r="F2967" t="s">
        <v>10</v>
      </c>
      <c r="G2967" t="str" cm="1">
        <f t="array" ref="G2967">FindCountryName(F2967)</f>
        <v>None</v>
      </c>
      <c r="H2967" s="3">
        <v>45152.035925925928</v>
      </c>
      <c r="I2967" s="3">
        <v>45152.035925925928</v>
      </c>
      <c r="J2967" s="3">
        <v>40974.774097222224</v>
      </c>
      <c r="K2967" cm="1">
        <f t="array" ref="K2967">sentimentCalc(C2967)</f>
        <v>4</v>
      </c>
      <c r="L2967" t="str" cm="1">
        <f t="array" ref="L2967">sentimentCategory(K2967)</f>
        <v>Positive</v>
      </c>
    </row>
    <row r="2968" spans="1:12" x14ac:dyDescent="0.25">
      <c r="A2968" t="s">
        <v>3063</v>
      </c>
      <c r="B2968" t="s">
        <v>3197</v>
      </c>
      <c r="C2968" t="str" cm="1">
        <f t="array" ref="C2968">CleanText(B2968)</f>
        <v>this movie was so bad l had to ask for a refund</v>
      </c>
      <c r="D2968">
        <v>6</v>
      </c>
      <c r="E2968">
        <v>0</v>
      </c>
      <c r="F2968" t="s">
        <v>3198</v>
      </c>
      <c r="G2968" t="str" cm="1">
        <f t="array" ref="G2968">FindCountryName(F2968)</f>
        <v>Romania</v>
      </c>
      <c r="H2968" s="3">
        <v>45152.088819444441</v>
      </c>
      <c r="I2968" s="3">
        <v>45152.088807870372</v>
      </c>
      <c r="J2968" s="3">
        <v>40118.444733796299</v>
      </c>
      <c r="K2968" cm="1">
        <f t="array" ref="K2968">sentimentCalc(C2968)</f>
        <v>-3</v>
      </c>
      <c r="L2968" t="str" cm="1">
        <f t="array" ref="L2968">sentimentCategory(K2968)</f>
        <v>Negative</v>
      </c>
    </row>
    <row r="2969" spans="1:12" x14ac:dyDescent="0.25">
      <c r="A2969" t="s">
        <v>66</v>
      </c>
      <c r="B2969" t="s">
        <v>2814</v>
      </c>
      <c r="C2969" t="str" cm="1">
        <f t="array" ref="C2969">CleanText(B2969)</f>
        <v>this movie was so freaking awesome</v>
      </c>
      <c r="D2969">
        <v>4</v>
      </c>
      <c r="E2969">
        <v>0</v>
      </c>
      <c r="F2969" t="s">
        <v>10</v>
      </c>
      <c r="G2969" t="str" cm="1">
        <f t="array" ref="G2969">FindCountryName(F2969)</f>
        <v>None</v>
      </c>
      <c r="H2969" s="3">
        <v>45157.537164351852</v>
      </c>
      <c r="I2969" s="3">
        <v>45157.537152777775</v>
      </c>
      <c r="J2969" s="3">
        <v>42798.004340277781</v>
      </c>
      <c r="K2969" cm="1">
        <f t="array" ref="K2969">sentimentCalc(C2969)</f>
        <v>4</v>
      </c>
      <c r="L2969" t="str" cm="1">
        <f t="array" ref="L2969">sentimentCategory(K2969)</f>
        <v>Positive</v>
      </c>
    </row>
    <row r="2970" spans="1:12" x14ac:dyDescent="0.25">
      <c r="A2970" t="s">
        <v>840</v>
      </c>
      <c r="B2970" t="s">
        <v>2236</v>
      </c>
      <c r="C2970" t="str" cm="1">
        <f t="array" ref="C2970">CleanText(B2970)</f>
        <v>this movie was so much better than what i expect to be dont judge a movie by its poster</v>
      </c>
      <c r="D2970">
        <v>105</v>
      </c>
      <c r="E2970">
        <v>6</v>
      </c>
      <c r="F2970" t="s">
        <v>1073</v>
      </c>
      <c r="G2970" t="str" cm="1">
        <f t="array" ref="G2970">FindCountryName(F2970)</f>
        <v>India</v>
      </c>
      <c r="H2970" s="3">
        <v>45175.055324074077</v>
      </c>
      <c r="I2970" s="3">
        <v>45175.055312500001</v>
      </c>
      <c r="J2970" s="3">
        <v>40750.348437499997</v>
      </c>
      <c r="K2970" cm="1">
        <f t="array" ref="K2970">sentimentCalc(C2970)</f>
        <v>2</v>
      </c>
      <c r="L2970" t="str" cm="1">
        <f t="array" ref="L2970">sentimentCategory(K2970)</f>
        <v>Positive</v>
      </c>
    </row>
    <row r="2971" spans="1:12" x14ac:dyDescent="0.25">
      <c r="A2971" t="s">
        <v>1764</v>
      </c>
      <c r="B2971" t="s">
        <v>4105</v>
      </c>
      <c r="C2971" t="str" cm="1">
        <f t="array" ref="C2971">CleanText(B2971)</f>
        <v>this movie was such a disappointment no real plot or obstacles everything just solved themselves so quickly it had potential to be something more than a anticlimactic movie even my girlfriend disliked the movie and she was the only reason we went to go watch it in the first place</v>
      </c>
      <c r="D2971">
        <v>2</v>
      </c>
      <c r="E2971">
        <v>0</v>
      </c>
      <c r="F2971" t="s">
        <v>10</v>
      </c>
      <c r="G2971" t="str" cm="1">
        <f t="array" ref="G2971">FindCountryName(F2971)</f>
        <v>None</v>
      </c>
      <c r="H2971" s="3">
        <v>45142.846226851849</v>
      </c>
      <c r="I2971" s="3">
        <v>45142.846226851849</v>
      </c>
      <c r="J2971" s="3">
        <v>41621.859652777777</v>
      </c>
      <c r="K2971" cm="1">
        <f t="array" ref="K2971">sentimentCalc(C2971)</f>
        <v>-4</v>
      </c>
      <c r="L2971" t="str" cm="1">
        <f t="array" ref="L2971">sentimentCategory(K2971)</f>
        <v>Negative</v>
      </c>
    </row>
    <row r="2972" spans="1:12" x14ac:dyDescent="0.25">
      <c r="A2972" t="s">
        <v>4352</v>
      </c>
      <c r="B2972" t="s">
        <v>4353</v>
      </c>
      <c r="C2972" t="str" cm="1">
        <f t="array" ref="C2972">CleanText(B2972)</f>
        <v>this movie was the bombi strongly recommend</v>
      </c>
      <c r="D2972">
        <v>2</v>
      </c>
      <c r="E2972">
        <v>3</v>
      </c>
      <c r="F2972" t="s">
        <v>10</v>
      </c>
      <c r="G2972" t="str" cm="1">
        <f t="array" ref="G2972">FindCountryName(F2972)</f>
        <v>None</v>
      </c>
      <c r="H2972" s="3">
        <v>45140.719456018516</v>
      </c>
      <c r="I2972" s="3">
        <v>45140.719456018516</v>
      </c>
      <c r="J2972" s="3">
        <v>44814.824374999997</v>
      </c>
      <c r="K2972" cm="1">
        <f t="array" ref="K2972">sentimentCalc(C2972)</f>
        <v>2</v>
      </c>
      <c r="L2972" t="str" cm="1">
        <f t="array" ref="L2972">sentimentCategory(K2972)</f>
        <v>Positive</v>
      </c>
    </row>
    <row r="2973" spans="1:12" x14ac:dyDescent="0.25">
      <c r="A2973" t="s">
        <v>228</v>
      </c>
      <c r="B2973" t="s">
        <v>2252</v>
      </c>
      <c r="C2973" t="str" cm="1">
        <f t="array" ref="C2973">CleanText(B2973)</f>
        <v>this movie was the worst i see so far so boring and stupid</v>
      </c>
      <c r="D2973">
        <v>5</v>
      </c>
      <c r="E2973">
        <v>0</v>
      </c>
      <c r="F2973" t="s">
        <v>10</v>
      </c>
      <c r="G2973" t="str" cm="1">
        <f t="array" ref="G2973">FindCountryName(F2973)</f>
        <v>None</v>
      </c>
      <c r="H2973" s="3">
        <v>45173.913946759261</v>
      </c>
      <c r="I2973" s="3">
        <v>45173.913935185185</v>
      </c>
      <c r="J2973" s="3">
        <v>45150.21570601852</v>
      </c>
      <c r="K2973" cm="1">
        <f t="array" ref="K2973">sentimentCalc(C2973)</f>
        <v>-8</v>
      </c>
      <c r="L2973" t="str" cm="1">
        <f t="array" ref="L2973">sentimentCategory(K2973)</f>
        <v>Negative</v>
      </c>
    </row>
    <row r="2974" spans="1:12" x14ac:dyDescent="0.25">
      <c r="A2974" t="s">
        <v>1051</v>
      </c>
      <c r="B2974" t="s">
        <v>1069</v>
      </c>
      <c r="C2974" t="str" cm="1">
        <f t="array" ref="C2974">CleanText(B2974)</f>
        <v>this needs more dislikes</v>
      </c>
      <c r="D2974">
        <v>1</v>
      </c>
      <c r="E2974">
        <v>4</v>
      </c>
      <c r="F2974" t="s">
        <v>10</v>
      </c>
      <c r="G2974" t="str" cm="1">
        <f t="array" ref="G2974">FindCountryName(F2974)</f>
        <v>None</v>
      </c>
      <c r="H2974" s="3">
        <v>45294.659791666665</v>
      </c>
      <c r="I2974" s="3">
        <v>45294.659791666665</v>
      </c>
      <c r="J2974" s="3">
        <v>44963.831122685187</v>
      </c>
      <c r="K2974" cm="1">
        <f t="array" ref="K2974">sentimentCalc(C2974)</f>
        <v>0</v>
      </c>
      <c r="L2974" t="str" cm="1">
        <f t="array" ref="L2974">sentimentCategory(K2974)</f>
        <v>Neutral</v>
      </c>
    </row>
    <row r="2975" spans="1:12" x14ac:dyDescent="0.25">
      <c r="A2975" t="s">
        <v>2914</v>
      </c>
      <c r="B2975" t="s">
        <v>3928</v>
      </c>
      <c r="C2975" t="str" cm="1">
        <f t="array" ref="C2975">CleanText(B2975)</f>
        <v>this ones for the boys</v>
      </c>
      <c r="D2975">
        <v>0</v>
      </c>
      <c r="E2975">
        <v>0</v>
      </c>
      <c r="F2975" t="s">
        <v>10</v>
      </c>
      <c r="G2975" t="str" cm="1">
        <f t="array" ref="G2975">FindCountryName(F2975)</f>
        <v>None</v>
      </c>
      <c r="H2975" s="3">
        <v>45144.448009259257</v>
      </c>
      <c r="I2975" s="3">
        <v>45144.448009259257</v>
      </c>
      <c r="J2975" s="3">
        <v>40306.484768518516</v>
      </c>
      <c r="K2975" cm="1">
        <f t="array" ref="K2975">sentimentCalc(C2975)</f>
        <v>0</v>
      </c>
      <c r="L2975" t="str" cm="1">
        <f t="array" ref="L2975">sentimentCategory(K2975)</f>
        <v>Neutral</v>
      </c>
    </row>
    <row r="2976" spans="1:12" x14ac:dyDescent="0.25">
      <c r="A2976" t="s">
        <v>225</v>
      </c>
      <c r="B2976" t="s">
        <v>2858</v>
      </c>
      <c r="C2976" t="str" cm="1">
        <f t="array" ref="C2976">CleanText(B2976)</f>
        <v>this propaganda movie is garbage i thought it was gonna be fun n games about dolls they turned it into advertisement for the trashy feminism and menbashing dont waist your money</v>
      </c>
      <c r="D2976">
        <v>2</v>
      </c>
      <c r="E2976">
        <v>7</v>
      </c>
      <c r="F2976" t="s">
        <v>10</v>
      </c>
      <c r="G2976" t="str" cm="1">
        <f t="array" ref="G2976">FindCountryName(F2976)</f>
        <v>None</v>
      </c>
      <c r="H2976" s="3">
        <v>45156.785011574073</v>
      </c>
      <c r="I2976" s="3">
        <v>45156.785011574073</v>
      </c>
      <c r="J2976" s="3">
        <v>43398.619108796294</v>
      </c>
      <c r="K2976" cm="1">
        <f t="array" ref="K2976">sentimentCalc(C2976)</f>
        <v>2</v>
      </c>
      <c r="L2976" t="str" cm="1">
        <f t="array" ref="L2976">sentimentCategory(K2976)</f>
        <v>Positive</v>
      </c>
    </row>
    <row r="2977" spans="1:12" x14ac:dyDescent="0.25">
      <c r="A2977" t="s">
        <v>1819</v>
      </c>
      <c r="B2977" t="s">
        <v>2666</v>
      </c>
      <c r="C2977" t="str" cm="1">
        <f t="array" ref="C2977">CleanText(B2977)</f>
        <v>this seems like one of these its soo stupid its funny movieshopefully it doesnt cross into the so stupid its annoying category</v>
      </c>
      <c r="D2977">
        <v>0</v>
      </c>
      <c r="E2977">
        <v>0</v>
      </c>
      <c r="F2977" t="s">
        <v>1050</v>
      </c>
      <c r="G2977" t="str" cm="1">
        <f t="array" ref="G2977">FindCountryName(F2977)</f>
        <v>Germany</v>
      </c>
      <c r="H2977" s="3">
        <v>45160.474918981483</v>
      </c>
      <c r="I2977" s="3">
        <v>45160.474918981483</v>
      </c>
      <c r="J2977" s="3">
        <v>39002.450590277775</v>
      </c>
      <c r="K2977" cm="1">
        <f t="array" ref="K2977">sentimentCalc(C2977)</f>
        <v>0</v>
      </c>
      <c r="L2977" t="str" cm="1">
        <f t="array" ref="L2977">sentimentCategory(K2977)</f>
        <v>Neutral</v>
      </c>
    </row>
    <row r="2978" spans="1:12" x14ac:dyDescent="0.25">
      <c r="A2978" t="s">
        <v>1822</v>
      </c>
      <c r="B2978" t="s">
        <v>3199</v>
      </c>
      <c r="C2978" t="str" cm="1">
        <f t="array" ref="C2978">CleanText(B2978)</f>
        <v>this show how stupid and ignorant our world is the bible say it my people will perish because of lack of knowledge fake</v>
      </c>
      <c r="D2978">
        <v>3</v>
      </c>
      <c r="E2978">
        <v>2</v>
      </c>
      <c r="F2978" t="s">
        <v>10</v>
      </c>
      <c r="G2978" t="str" cm="1">
        <f t="array" ref="G2978">FindCountryName(F2978)</f>
        <v>None</v>
      </c>
      <c r="H2978" s="3">
        <v>45152.07471064815</v>
      </c>
      <c r="I2978" s="3">
        <v>45152.07471064815</v>
      </c>
      <c r="J2978" s="3">
        <v>41346.66202546296</v>
      </c>
      <c r="K2978" cm="1">
        <f t="array" ref="K2978">sentimentCalc(C2978)</f>
        <v>-9</v>
      </c>
      <c r="L2978" t="str" cm="1">
        <f t="array" ref="L2978">sentimentCategory(K2978)</f>
        <v>Negative</v>
      </c>
    </row>
    <row r="2979" spans="1:12" x14ac:dyDescent="0.25">
      <c r="A2979" t="s">
        <v>1129</v>
      </c>
      <c r="B2979" t="s">
        <v>1130</v>
      </c>
      <c r="C2979" t="str" cm="1">
        <f t="array" ref="C2979">CleanText(B2979)</f>
        <v>this so pretty and interesting</v>
      </c>
      <c r="D2979">
        <v>0</v>
      </c>
      <c r="E2979">
        <v>0</v>
      </c>
      <c r="F2979" t="s">
        <v>10</v>
      </c>
      <c r="G2979" t="str" cm="1">
        <f t="array" ref="G2979">FindCountryName(F2979)</f>
        <v>None</v>
      </c>
      <c r="H2979" s="3">
        <v>45285.458611111113</v>
      </c>
      <c r="I2979" s="3">
        <v>45285.458611111113</v>
      </c>
      <c r="J2979" s="3">
        <v>45285.458587962959</v>
      </c>
      <c r="K2979" cm="1">
        <f t="array" ref="K2979">sentimentCalc(C2979)</f>
        <v>3</v>
      </c>
      <c r="L2979" t="str" cm="1">
        <f t="array" ref="L2979">sentimentCategory(K2979)</f>
        <v>Positive</v>
      </c>
    </row>
    <row r="2980" spans="1:12" x14ac:dyDescent="0.25">
      <c r="A2980" t="s">
        <v>1334</v>
      </c>
      <c r="B2980" t="s">
        <v>1335</v>
      </c>
      <c r="C2980" t="str" cm="1">
        <f t="array" ref="C2980">CleanText(B2980)</f>
        <v>this sound like a good movie fr</v>
      </c>
      <c r="D2980">
        <v>2</v>
      </c>
      <c r="E2980">
        <v>0</v>
      </c>
      <c r="F2980" t="s">
        <v>10</v>
      </c>
      <c r="G2980" t="str" cm="1">
        <f t="array" ref="G2980">FindCountryName(F2980)</f>
        <v>None</v>
      </c>
      <c r="H2980" s="3">
        <v>45242.899768518517</v>
      </c>
      <c r="I2980" s="3">
        <v>45242.899768518517</v>
      </c>
      <c r="J2980" s="3">
        <v>42701.589282407411</v>
      </c>
      <c r="K2980" cm="1">
        <f t="array" ref="K2980">sentimentCalc(C2980)</f>
        <v>5</v>
      </c>
      <c r="L2980" t="str" cm="1">
        <f t="array" ref="L2980">sentimentCategory(K2980)</f>
        <v>Positive</v>
      </c>
    </row>
    <row r="2981" spans="1:12" x14ac:dyDescent="0.25">
      <c r="A2981" t="s">
        <v>1076</v>
      </c>
      <c r="B2981" t="s">
        <v>3160</v>
      </c>
      <c r="C2981" t="str" cm="1">
        <f t="array" ref="C2981">CleanText(B2981)</f>
        <v>this story is addiction of cinimatvreelsyoutube instagramsoical media and festivals peoples celebrities pretending business money knowledge plan about explaing this movie</v>
      </c>
      <c r="D2981">
        <v>0</v>
      </c>
      <c r="E2981">
        <v>0</v>
      </c>
      <c r="F2981" t="s">
        <v>10</v>
      </c>
      <c r="G2981" t="str" cm="1">
        <f t="array" ref="G2981">FindCountryName(F2981)</f>
        <v>None</v>
      </c>
      <c r="H2981" s="3">
        <v>45152.546168981484</v>
      </c>
      <c r="I2981" s="3">
        <v>45152.546168981484</v>
      </c>
      <c r="J2981" s="3">
        <v>44141.852395833332</v>
      </c>
      <c r="K2981" cm="1">
        <f t="array" ref="K2981">sentimentCalc(C2981)</f>
        <v>-1</v>
      </c>
      <c r="L2981" t="str" cm="1">
        <f t="array" ref="L2981">sentimentCategory(K2981)</f>
        <v>Negative</v>
      </c>
    </row>
    <row r="2982" spans="1:12" x14ac:dyDescent="0.25">
      <c r="A2982" t="s">
        <v>296</v>
      </c>
      <c r="B2982" t="s">
        <v>3558</v>
      </c>
      <c r="C2982" t="str" cm="1">
        <f t="array" ref="C2982">CleanText(B2982)</f>
        <v>this sucks</v>
      </c>
      <c r="D2982">
        <v>0</v>
      </c>
      <c r="E2982">
        <v>0</v>
      </c>
      <c r="F2982" t="s">
        <v>10</v>
      </c>
      <c r="G2982" t="str" cm="1">
        <f t="array" ref="G2982">FindCountryName(F2982)</f>
        <v>None</v>
      </c>
      <c r="H2982" s="3">
        <v>45147.530474537038</v>
      </c>
      <c r="I2982" s="3">
        <v>45147.530474537038</v>
      </c>
      <c r="J2982" s="3">
        <v>43307.275717592594</v>
      </c>
      <c r="K2982" cm="1">
        <f t="array" ref="K2982">sentimentCalc(C2982)</f>
        <v>-3</v>
      </c>
      <c r="L2982" t="str" cm="1">
        <f t="array" ref="L2982">sentimentCategory(K2982)</f>
        <v>Negative</v>
      </c>
    </row>
    <row r="2983" spans="1:12" x14ac:dyDescent="0.25">
      <c r="A2983" t="s">
        <v>103</v>
      </c>
      <c r="B2983" t="s">
        <v>2846</v>
      </c>
      <c r="C2983" t="str" cm="1">
        <f t="array" ref="C2983">CleanText(B2983)</f>
        <v>this trailer is cringe and makes me want to vomit</v>
      </c>
      <c r="D2983">
        <v>0</v>
      </c>
      <c r="E2983">
        <v>3</v>
      </c>
      <c r="F2983" t="s">
        <v>10</v>
      </c>
      <c r="G2983" t="str" cm="1">
        <f t="array" ref="G2983">FindCountryName(F2983)</f>
        <v>None</v>
      </c>
      <c r="H2983" s="3">
        <v>45156.917187500003</v>
      </c>
      <c r="I2983" s="3">
        <v>45156.917175925926</v>
      </c>
      <c r="J2983" s="3">
        <v>43701.762187499997</v>
      </c>
      <c r="K2983" cm="1">
        <f t="array" ref="K2983">sentimentCalc(C2983)</f>
        <v>1</v>
      </c>
      <c r="L2983" t="str" cm="1">
        <f t="array" ref="L2983">sentimentCategory(K2983)</f>
        <v>Positive</v>
      </c>
    </row>
    <row r="2984" spans="1:12" x14ac:dyDescent="0.25">
      <c r="A2984" t="s">
        <v>2863</v>
      </c>
      <c r="B2984" t="s">
        <v>2864</v>
      </c>
      <c r="C2984" t="str" cm="1">
        <f t="array" ref="C2984">CleanText(B2984)</f>
        <v>this vid is at  mil views</v>
      </c>
      <c r="D2984">
        <v>1</v>
      </c>
      <c r="E2984">
        <v>0</v>
      </c>
      <c r="F2984" t="s">
        <v>10</v>
      </c>
      <c r="G2984" t="str" cm="1">
        <f t="array" ref="G2984">FindCountryName(F2984)</f>
        <v>None</v>
      </c>
      <c r="H2984" s="3">
        <v>45156.698310185187</v>
      </c>
      <c r="I2984" s="3">
        <v>45156.698310185187</v>
      </c>
      <c r="J2984" s="3">
        <v>44993.734432870369</v>
      </c>
      <c r="K2984" cm="1">
        <f t="array" ref="K2984">sentimentCalc(C2984)</f>
        <v>0</v>
      </c>
      <c r="L2984" t="str" cm="1">
        <f t="array" ref="L2984">sentimentCategory(K2984)</f>
        <v>Neutral</v>
      </c>
    </row>
    <row r="2985" spans="1:12" x14ac:dyDescent="0.25">
      <c r="A2985" t="s">
        <v>3697</v>
      </c>
      <c r="B2985" t="s">
        <v>3698</v>
      </c>
      <c r="C2985" t="str" cm="1">
        <f t="array" ref="C2985">CleanText(B2985)</f>
        <v>this video makes me awkwarkly happy</v>
      </c>
      <c r="D2985">
        <v>0</v>
      </c>
      <c r="E2985">
        <v>0</v>
      </c>
      <c r="F2985" t="s">
        <v>10</v>
      </c>
      <c r="G2985" t="str" cm="1">
        <f t="array" ref="G2985">FindCountryName(F2985)</f>
        <v>None</v>
      </c>
      <c r="H2985" s="3">
        <v>45146.325636574074</v>
      </c>
      <c r="I2985" s="3">
        <v>45146.325636574074</v>
      </c>
      <c r="J2985" s="3">
        <v>44614.686238425929</v>
      </c>
      <c r="K2985" cm="1">
        <f t="array" ref="K2985">sentimentCalc(C2985)</f>
        <v>3</v>
      </c>
      <c r="L2985" t="str" cm="1">
        <f t="array" ref="L2985">sentimentCategory(K2985)</f>
        <v>Positive</v>
      </c>
    </row>
    <row r="2986" spans="1:12" x14ac:dyDescent="0.25">
      <c r="A2986" t="s">
        <v>442</v>
      </c>
      <c r="B2986" t="s">
        <v>1432</v>
      </c>
      <c r="C2986" t="str" cm="1">
        <f t="array" ref="C2986">CleanText(B2986)</f>
        <v>this was a great franchise starter now its time for the sequels and spinoffs barbie  kenbarbie malibu driftthe barbiebarbie fivebarbie barbie the f of the barbieallan  ken a barbie storyb the barbie sagabarbie x</v>
      </c>
      <c r="D2986">
        <v>7</v>
      </c>
      <c r="E2986">
        <v>0</v>
      </c>
      <c r="F2986" t="s">
        <v>139</v>
      </c>
      <c r="G2986" t="str" cm="1">
        <f t="array" ref="G2986">FindCountryName(F2986)</f>
        <v>Turkey</v>
      </c>
      <c r="H2986" s="3">
        <v>45227.417013888888</v>
      </c>
      <c r="I2986" s="3">
        <v>45227.420219907406</v>
      </c>
      <c r="J2986" s="3">
        <v>42409.367418981485</v>
      </c>
      <c r="K2986" cm="1">
        <f t="array" ref="K2986">sentimentCalc(C2986)</f>
        <v>3</v>
      </c>
      <c r="L2986" t="str" cm="1">
        <f t="array" ref="L2986">sentimentCategory(K2986)</f>
        <v>Positive</v>
      </c>
    </row>
    <row r="2987" spans="1:12" x14ac:dyDescent="0.25">
      <c r="A2987" t="s">
        <v>955</v>
      </c>
      <c r="B2987" t="s">
        <v>4066</v>
      </c>
      <c r="C2987" t="str" cm="1">
        <f t="array" ref="C2987">CleanText(B2987)</f>
        <v>this was a great movie its completely unsubtle with its message but it suits the absurdity of the premise the ending was a lot more emotional that i thought it would be i recommend seeing it</v>
      </c>
      <c r="D2987">
        <v>85</v>
      </c>
      <c r="E2987">
        <v>8</v>
      </c>
      <c r="F2987" t="s">
        <v>10</v>
      </c>
      <c r="G2987" t="str" cm="1">
        <f t="array" ref="G2987">FindCountryName(F2987)</f>
        <v>None</v>
      </c>
      <c r="H2987" s="3">
        <v>45143.165289351855</v>
      </c>
      <c r="I2987" s="3">
        <v>45143.165289351855</v>
      </c>
      <c r="J2987" s="3">
        <v>41091.663993055554</v>
      </c>
      <c r="K2987" cm="1">
        <f t="array" ref="K2987">sentimentCalc(C2987)</f>
        <v>5</v>
      </c>
      <c r="L2987" t="str" cm="1">
        <f t="array" ref="L2987">sentimentCategory(K2987)</f>
        <v>Positive</v>
      </c>
    </row>
    <row r="2988" spans="1:12" x14ac:dyDescent="0.25">
      <c r="A2988" t="s">
        <v>2192</v>
      </c>
      <c r="B2988" t="s">
        <v>2193</v>
      </c>
      <c r="C2988" t="str" cm="1">
        <f t="array" ref="C2988">CleanText(B2988)</f>
        <v>this was actually better than i thought tbh entered with zero expectations and came out impressed except for some cringe scenes here and there its actually deeper than it seems</v>
      </c>
      <c r="D2988">
        <v>0</v>
      </c>
      <c r="E2988">
        <v>0</v>
      </c>
      <c r="F2988" t="s">
        <v>10</v>
      </c>
      <c r="G2988" t="str" cm="1">
        <f t="array" ref="G2988">FindCountryName(F2988)</f>
        <v>None</v>
      </c>
      <c r="H2988" s="3">
        <v>45176.419421296298</v>
      </c>
      <c r="I2988" s="3">
        <v>45176.419409722221</v>
      </c>
      <c r="J2988" s="3">
        <v>42998.600868055553</v>
      </c>
      <c r="K2988" cm="1">
        <f t="array" ref="K2988">sentimentCalc(C2988)</f>
        <v>5</v>
      </c>
      <c r="L2988" t="str" cm="1">
        <f t="array" ref="L2988">sentimentCategory(K2988)</f>
        <v>Positive</v>
      </c>
    </row>
    <row r="2989" spans="1:12" x14ac:dyDescent="0.25">
      <c r="A2989" t="s">
        <v>207</v>
      </c>
      <c r="B2989" t="s">
        <v>3383</v>
      </c>
      <c r="C2989" t="str" cm="1">
        <f t="array" ref="C2989">CleanText(B2989)</f>
        <v>this was honestly such a great movie i highly recommend that you go watch it</v>
      </c>
      <c r="D2989">
        <v>1</v>
      </c>
      <c r="E2989">
        <v>0</v>
      </c>
      <c r="F2989" t="s">
        <v>10</v>
      </c>
      <c r="G2989" t="str" cm="1">
        <f t="array" ref="G2989">FindCountryName(F2989)</f>
        <v>None</v>
      </c>
      <c r="H2989" s="3">
        <v>45149.399953703702</v>
      </c>
      <c r="I2989" s="3">
        <v>45149.399953703702</v>
      </c>
      <c r="J2989" s="3">
        <v>42861.191122685188</v>
      </c>
      <c r="K2989" cm="1">
        <f t="array" ref="K2989">sentimentCalc(C2989)</f>
        <v>5</v>
      </c>
      <c r="L2989" t="str" cm="1">
        <f t="array" ref="L2989">sentimentCategory(K2989)</f>
        <v>Positive</v>
      </c>
    </row>
    <row r="2990" spans="1:12" x14ac:dyDescent="0.25">
      <c r="A2990" t="s">
        <v>284</v>
      </c>
      <c r="B2990" t="s">
        <v>1062</v>
      </c>
      <c r="C2990" t="str" cm="1">
        <f t="array" ref="C2990">CleanText(B2990)</f>
        <v>this was one of the single worst movies ive ever watched watching a middleaged man play ken was sad not comical some of the worst oneliners ever uttered in a movie a literal childrens playset and there are adults in this country that watched this its scary</v>
      </c>
      <c r="D2990">
        <v>1</v>
      </c>
      <c r="E2990">
        <v>2</v>
      </c>
      <c r="F2990" t="s">
        <v>10</v>
      </c>
      <c r="G2990" t="str" cm="1">
        <f t="array" ref="G2990">FindCountryName(F2990)</f>
        <v>None</v>
      </c>
      <c r="H2990" s="3">
        <v>45296.043124999997</v>
      </c>
      <c r="I2990" s="3">
        <v>45296.043124999997</v>
      </c>
      <c r="J2990" s="3">
        <v>44557.475231481483</v>
      </c>
      <c r="K2990" cm="1">
        <f t="array" ref="K2990">sentimentCalc(C2990)</f>
        <v>-10</v>
      </c>
      <c r="L2990" t="str" cm="1">
        <f t="array" ref="L2990">sentimentCategory(K2990)</f>
        <v>Negative</v>
      </c>
    </row>
    <row r="2991" spans="1:12" x14ac:dyDescent="0.25">
      <c r="A2991" t="s">
        <v>365</v>
      </c>
      <c r="B2991" t="s">
        <v>3178</v>
      </c>
      <c r="C2991" t="str" cm="1">
        <f t="array" ref="C2991">CleanText(B2991)</f>
        <v>this was really disappointing people hyped it up soo much and for what nothing</v>
      </c>
      <c r="D2991">
        <v>5</v>
      </c>
      <c r="E2991">
        <v>1</v>
      </c>
      <c r="F2991" t="s">
        <v>10</v>
      </c>
      <c r="G2991" t="str" cm="1">
        <f t="array" ref="G2991">FindCountryName(F2991)</f>
        <v>None</v>
      </c>
      <c r="H2991" s="3">
        <v>45152.364479166667</v>
      </c>
      <c r="I2991" s="3">
        <v>45152.364479166667</v>
      </c>
      <c r="J2991" s="3">
        <v>44784.808541666665</v>
      </c>
      <c r="K2991" cm="1">
        <f t="array" ref="K2991">sentimentCalc(C2991)</f>
        <v>-2</v>
      </c>
      <c r="L2991" t="str" cm="1">
        <f t="array" ref="L2991">sentimentCategory(K2991)</f>
        <v>Negative</v>
      </c>
    </row>
    <row r="2992" spans="1:12" x14ac:dyDescent="0.25">
      <c r="A2992" t="s">
        <v>118</v>
      </c>
      <c r="B2992" t="s">
        <v>2748</v>
      </c>
      <c r="C2992" t="str" cm="1">
        <f t="array" ref="C2992">CleanText(B2992)</f>
        <v>this was so accurate to how it was playing with barbies when i was young i was smiling the whole time and even cried some i cant wait to see it again my husband teared up at the end and he never played with barbies</v>
      </c>
      <c r="D2992">
        <v>345</v>
      </c>
      <c r="E2992">
        <v>13</v>
      </c>
      <c r="F2992" t="s">
        <v>10</v>
      </c>
      <c r="G2992" t="str" cm="1">
        <f t="array" ref="G2992">FindCountryName(F2992)</f>
        <v>None</v>
      </c>
      <c r="H2992" s="3">
        <v>45158.676990740743</v>
      </c>
      <c r="I2992" s="3">
        <v>45158.676990740743</v>
      </c>
      <c r="J2992" s="3">
        <v>44259.166400462964</v>
      </c>
      <c r="K2992" cm="1">
        <f t="array" ref="K2992">sentimentCalc(C2992)</f>
        <v>0</v>
      </c>
      <c r="L2992" t="str" cm="1">
        <f t="array" ref="L2992">sentimentCategory(K2992)</f>
        <v>Neutral</v>
      </c>
    </row>
    <row r="2993" spans="1:12" x14ac:dyDescent="0.25">
      <c r="A2993" t="s">
        <v>692</v>
      </c>
      <c r="B2993" t="s">
        <v>2876</v>
      </c>
      <c r="C2993" t="str" cm="1">
        <f t="array" ref="C2993">CleanText(B2993)</f>
        <v>this was the best movie i ever saw made me wanna become a woman</v>
      </c>
      <c r="D2993">
        <v>0</v>
      </c>
      <c r="E2993">
        <v>0</v>
      </c>
      <c r="F2993" t="s">
        <v>10</v>
      </c>
      <c r="G2993" t="str" cm="1">
        <f t="array" ref="G2993">FindCountryName(F2993)</f>
        <v>None</v>
      </c>
      <c r="H2993" s="3">
        <v>45156.55296296296</v>
      </c>
      <c r="I2993" s="3">
        <v>45156.552951388891</v>
      </c>
      <c r="J2993" s="3">
        <v>42330.660509259258</v>
      </c>
      <c r="K2993" cm="1">
        <f t="array" ref="K2993">sentimentCalc(C2993)</f>
        <v>3</v>
      </c>
      <c r="L2993" t="str" cm="1">
        <f t="array" ref="L2993">sentimentCategory(K2993)</f>
        <v>Positive</v>
      </c>
    </row>
    <row r="2994" spans="1:12" x14ac:dyDescent="0.25">
      <c r="A2994" t="s">
        <v>1165</v>
      </c>
      <c r="B2994" t="s">
        <v>1166</v>
      </c>
      <c r="C2994" t="str" cm="1">
        <f t="array" ref="C2994">CleanText(B2994)</f>
        <v>this was the worst movie full of woke  nonsensepray kids turn it offfriends hated it too and they didnt finish the movie eithereveryone thought it would be upbeat but satanic instead</v>
      </c>
      <c r="D2994">
        <v>2</v>
      </c>
      <c r="E2994">
        <v>3</v>
      </c>
      <c r="F2994" t="s">
        <v>10</v>
      </c>
      <c r="G2994" t="str" cm="1">
        <f t="array" ref="G2994">FindCountryName(F2994)</f>
        <v>None</v>
      </c>
      <c r="H2994" s="3">
        <v>45281.470983796295</v>
      </c>
      <c r="I2994" s="3">
        <v>45281.472662037035</v>
      </c>
      <c r="J2994" s="3">
        <v>44512.371608796297</v>
      </c>
      <c r="K2994" cm="1">
        <f t="array" ref="K2994">sentimentCalc(C2994)</f>
        <v>-6</v>
      </c>
      <c r="L2994" t="str" cm="1">
        <f t="array" ref="L2994">sentimentCategory(K2994)</f>
        <v>Negative</v>
      </c>
    </row>
    <row r="2995" spans="1:12" x14ac:dyDescent="0.25">
      <c r="A2995" t="s">
        <v>609</v>
      </c>
      <c r="B2995" t="s">
        <v>1640</v>
      </c>
      <c r="C2995" t="str" cm="1">
        <f t="array" ref="C2995">CleanText(B2995)</f>
        <v>this was the worst movie ive ever seen</v>
      </c>
      <c r="D2995">
        <v>1</v>
      </c>
      <c r="E2995">
        <v>0</v>
      </c>
      <c r="F2995" t="s">
        <v>10</v>
      </c>
      <c r="G2995" t="str" cm="1">
        <f t="array" ref="G2995">FindCountryName(F2995)</f>
        <v>None</v>
      </c>
      <c r="H2995" s="3">
        <v>45206.520532407405</v>
      </c>
      <c r="I2995" s="3">
        <v>45206.520532407405</v>
      </c>
      <c r="J2995" s="3">
        <v>40790.815613425926</v>
      </c>
      <c r="K2995" cm="1">
        <f t="array" ref="K2995">sentimentCalc(C2995)</f>
        <v>-3</v>
      </c>
      <c r="L2995" t="str" cm="1">
        <f t="array" ref="L2995">sentimentCategory(K2995)</f>
        <v>Negative</v>
      </c>
    </row>
    <row r="2996" spans="1:12" x14ac:dyDescent="0.25">
      <c r="A2996" t="s">
        <v>360</v>
      </c>
      <c r="B2996" t="s">
        <v>2088</v>
      </c>
      <c r="C2996" t="str" cm="1">
        <f t="array" ref="C2996">CleanText(B2996)</f>
        <v>this was the worst movie ive seen this year idk how it made so much money</v>
      </c>
      <c r="D2996">
        <v>4</v>
      </c>
      <c r="E2996">
        <v>1</v>
      </c>
      <c r="F2996" t="s">
        <v>10</v>
      </c>
      <c r="G2996" t="str" cm="1">
        <f t="array" ref="G2996">FindCountryName(F2996)</f>
        <v>None</v>
      </c>
      <c r="H2996" s="3">
        <v>45181.181805555556</v>
      </c>
      <c r="I2996" s="3">
        <v>45181.181805555556</v>
      </c>
      <c r="J2996" s="3">
        <v>42045.816481481481</v>
      </c>
      <c r="K2996" cm="1">
        <f t="array" ref="K2996">sentimentCalc(C2996)</f>
        <v>-3</v>
      </c>
      <c r="L2996" t="str" cm="1">
        <f t="array" ref="L2996">sentimentCategory(K2996)</f>
        <v>Negative</v>
      </c>
    </row>
    <row r="2997" spans="1:12" x14ac:dyDescent="0.25">
      <c r="A2997" t="s">
        <v>620</v>
      </c>
      <c r="B2997" t="s">
        <v>2253</v>
      </c>
      <c r="C2997" t="str" cm="1">
        <f t="array" ref="C2997">CleanText(B2997)</f>
        <v>this whole movie seemed like a vivid lucid dream</v>
      </c>
      <c r="D2997">
        <v>0</v>
      </c>
      <c r="E2997">
        <v>0</v>
      </c>
      <c r="F2997" t="s">
        <v>10</v>
      </c>
      <c r="G2997" t="str" cm="1">
        <f t="array" ref="G2997">FindCountryName(F2997)</f>
        <v>None</v>
      </c>
      <c r="H2997" s="3">
        <v>45173.879733796297</v>
      </c>
      <c r="I2997" s="3">
        <v>45173.87972222222</v>
      </c>
      <c r="J2997" s="3">
        <v>42365.715740740743</v>
      </c>
      <c r="K2997" cm="1">
        <f t="array" ref="K2997">sentimentCalc(C2997)</f>
        <v>3</v>
      </c>
      <c r="L2997" t="str" cm="1">
        <f t="array" ref="L2997">sentimentCategory(K2997)</f>
        <v>Positive</v>
      </c>
    </row>
    <row r="2998" spans="1:12" x14ac:dyDescent="0.25">
      <c r="A2998" t="s">
        <v>1498</v>
      </c>
      <c r="B2998" t="s">
        <v>3856</v>
      </c>
      <c r="C2998" t="str" cm="1">
        <f t="array" ref="C2998">CleanText(B2998)</f>
        <v>thought id hate this movie but i fell in love with it ive seen it twice and plan to see it again</v>
      </c>
      <c r="D2998">
        <v>9</v>
      </c>
      <c r="E2998">
        <v>0</v>
      </c>
      <c r="F2998" t="s">
        <v>10</v>
      </c>
      <c r="G2998" t="str" cm="1">
        <f t="array" ref="G2998">FindCountryName(F2998)</f>
        <v>None</v>
      </c>
      <c r="H2998" s="3">
        <v>45144.969178240739</v>
      </c>
      <c r="I2998" s="3">
        <v>45144.969178240739</v>
      </c>
      <c r="J2998" s="3">
        <v>39472.992361111108</v>
      </c>
      <c r="K2998" cm="1">
        <f t="array" ref="K2998">sentimentCalc(C2998)</f>
        <v>0</v>
      </c>
      <c r="L2998" t="str" cm="1">
        <f t="array" ref="L2998">sentimentCategory(K2998)</f>
        <v>Neutral</v>
      </c>
    </row>
    <row r="2999" spans="1:12" x14ac:dyDescent="0.25">
      <c r="A2999" t="s">
        <v>3812</v>
      </c>
      <c r="B2999" t="s">
        <v>3814</v>
      </c>
      <c r="C2999" t="str" cm="1">
        <f t="array" ref="C2999">CleanText(B2999)</f>
        <v>time waste</v>
      </c>
      <c r="D2999">
        <v>0</v>
      </c>
      <c r="E2999">
        <v>0</v>
      </c>
      <c r="F2999" t="s">
        <v>10</v>
      </c>
      <c r="G2999" t="str" cm="1">
        <f t="array" ref="G2999">FindCountryName(F2999)</f>
        <v>None</v>
      </c>
      <c r="H2999" s="3">
        <v>45145.307905092595</v>
      </c>
      <c r="I2999" s="3">
        <v>45145.307905092595</v>
      </c>
      <c r="J2999" s="3">
        <v>44384.953726851854</v>
      </c>
      <c r="K2999" cm="1">
        <f t="array" ref="K2999">sentimentCalc(C2999)</f>
        <v>-1</v>
      </c>
      <c r="L2999" t="str" cm="1">
        <f t="array" ref="L2999">sentimentCategory(K2999)</f>
        <v>Negative</v>
      </c>
    </row>
    <row r="3000" spans="1:12" x14ac:dyDescent="0.25">
      <c r="A3000" t="s">
        <v>481</v>
      </c>
      <c r="B3000" t="s">
        <v>4235</v>
      </c>
      <c r="C3000" t="str" cm="1">
        <f t="array" ref="C3000">CleanText(B3000)</f>
        <v>tired and without sense</v>
      </c>
      <c r="D3000">
        <v>2</v>
      </c>
      <c r="E3000">
        <v>0</v>
      </c>
      <c r="F3000" t="s">
        <v>10</v>
      </c>
      <c r="G3000" t="str" cm="1">
        <f t="array" ref="G3000">FindCountryName(F3000)</f>
        <v>None</v>
      </c>
      <c r="H3000" s="3">
        <v>45141.633877314816</v>
      </c>
      <c r="I3000" s="3">
        <v>45141.633877314816</v>
      </c>
      <c r="J3000" s="3">
        <v>41034.757175925923</v>
      </c>
      <c r="K3000" cm="1">
        <f t="array" ref="K3000">sentimentCalc(C3000)</f>
        <v>-2</v>
      </c>
      <c r="L3000" t="str" cm="1">
        <f t="array" ref="L3000">sentimentCategory(K3000)</f>
        <v>Negative</v>
      </c>
    </row>
    <row r="3001" spans="1:12" x14ac:dyDescent="0.25">
      <c r="A3001" t="s">
        <v>13</v>
      </c>
      <c r="B3001" t="s">
        <v>3542</v>
      </c>
      <c r="C3001" t="str" cm="1">
        <f t="array" ref="C3001">CleanText(B3001)</f>
        <v>to all the men who went to see this with their wife girlfriend and went freelyha ha ha ha</v>
      </c>
      <c r="D3001">
        <v>0</v>
      </c>
      <c r="E3001">
        <v>0</v>
      </c>
      <c r="F3001" t="s">
        <v>10</v>
      </c>
      <c r="G3001" t="str" cm="1">
        <f t="array" ref="G3001">FindCountryName(F3001)</f>
        <v>None</v>
      </c>
      <c r="H3001" s="3">
        <v>45147.668113425927</v>
      </c>
      <c r="I3001" s="3">
        <v>45147.668113425927</v>
      </c>
      <c r="J3001" s="3">
        <v>39497.67800925926</v>
      </c>
      <c r="K3001" cm="1">
        <f t="array" ref="K3001">sentimentCalc(C3001)</f>
        <v>0</v>
      </c>
      <c r="L3001" t="str" cm="1">
        <f t="array" ref="L3001">sentimentCategory(K3001)</f>
        <v>Neutral</v>
      </c>
    </row>
    <row r="3002" spans="1:12" x14ac:dyDescent="0.25">
      <c r="A3002" t="s">
        <v>1076</v>
      </c>
      <c r="B3002" t="s">
        <v>1420</v>
      </c>
      <c r="C3002" t="str" cm="1">
        <f t="array" ref="C3002">CleanText(B3002)</f>
        <v>to bad the fat girl was in the movie but other then that great movie</v>
      </c>
      <c r="D3002">
        <v>0</v>
      </c>
      <c r="E3002">
        <v>2</v>
      </c>
      <c r="F3002" t="s">
        <v>10</v>
      </c>
      <c r="G3002" t="str" cm="1">
        <f t="array" ref="G3002">FindCountryName(F3002)</f>
        <v>None</v>
      </c>
      <c r="H3002" s="3">
        <v>45231.546759259261</v>
      </c>
      <c r="I3002" s="3">
        <v>45231.546759259261</v>
      </c>
      <c r="J3002" s="3">
        <v>42019.441412037035</v>
      </c>
      <c r="K3002" cm="1">
        <f t="array" ref="K3002">sentimentCalc(C3002)</f>
        <v>0</v>
      </c>
      <c r="L3002" t="str" cm="1">
        <f t="array" ref="L3002">sentimentCategory(K3002)</f>
        <v>Neutral</v>
      </c>
    </row>
    <row r="3003" spans="1:12" x14ac:dyDescent="0.25">
      <c r="A3003" t="s">
        <v>1215</v>
      </c>
      <c r="B3003" t="s">
        <v>3574</v>
      </c>
      <c r="C3003" t="str" cm="1">
        <f t="array" ref="C3003">CleanText(B3003)</f>
        <v>to watch the nd movie search small soldiers</v>
      </c>
      <c r="D3003">
        <v>1</v>
      </c>
      <c r="E3003">
        <v>0</v>
      </c>
      <c r="F3003" t="s">
        <v>10</v>
      </c>
      <c r="G3003" t="str" cm="1">
        <f t="array" ref="G3003">FindCountryName(F3003)</f>
        <v>None</v>
      </c>
      <c r="H3003" s="3">
        <v>45147.467372685183</v>
      </c>
      <c r="I3003" s="3">
        <v>45150.593530092592</v>
      </c>
      <c r="J3003" s="3">
        <v>41270.955868055556</v>
      </c>
      <c r="K3003" cm="1">
        <f t="array" ref="K3003">sentimentCalc(C3003)</f>
        <v>0</v>
      </c>
      <c r="L3003" t="str" cm="1">
        <f t="array" ref="L3003">sentimentCategory(K3003)</f>
        <v>Neutral</v>
      </c>
    </row>
    <row r="3004" spans="1:12" x14ac:dyDescent="0.25">
      <c r="A3004" t="s">
        <v>1634</v>
      </c>
      <c r="B3004" t="s">
        <v>1635</v>
      </c>
      <c r="C3004" t="str" cm="1">
        <f t="array" ref="C3004">CleanText(B3004)</f>
        <v>todos os filmes da barbie so muito bons  esse e muito bom  engraado</v>
      </c>
      <c r="D3004">
        <v>0</v>
      </c>
      <c r="E3004">
        <v>0</v>
      </c>
      <c r="F3004" t="s">
        <v>10</v>
      </c>
      <c r="G3004" t="str" cm="1">
        <f t="array" ref="G3004">FindCountryName(F3004)</f>
        <v>None</v>
      </c>
      <c r="H3004" s="3">
        <v>45207.301979166667</v>
      </c>
      <c r="I3004" s="3">
        <v>45207.301979166667</v>
      </c>
      <c r="J3004" s="3">
        <v>44400.456388888888</v>
      </c>
      <c r="K3004" cm="1">
        <f t="array" ref="K3004">sentimentCalc(C3004)</f>
        <v>0</v>
      </c>
      <c r="L3004" t="str" cm="1">
        <f t="array" ref="L3004">sentimentCategory(K3004)</f>
        <v>Neutral</v>
      </c>
    </row>
    <row r="3005" spans="1:12" x14ac:dyDescent="0.25">
      <c r="A3005" t="s">
        <v>1539</v>
      </c>
      <c r="B3005" t="s">
        <v>1540</v>
      </c>
      <c r="C3005" t="str" cm="1">
        <f t="array" ref="C3005">CleanText(B3005)</f>
        <v>toes</v>
      </c>
      <c r="D3005">
        <v>0</v>
      </c>
      <c r="E3005">
        <v>1</v>
      </c>
      <c r="F3005" t="s">
        <v>10</v>
      </c>
      <c r="G3005" t="str" cm="1">
        <f t="array" ref="G3005">FindCountryName(F3005)</f>
        <v>None</v>
      </c>
      <c r="H3005" s="3">
        <v>45214.851215277777</v>
      </c>
      <c r="I3005" s="3">
        <v>45214.851215277777</v>
      </c>
      <c r="J3005" s="3">
        <v>45127.111909722225</v>
      </c>
      <c r="K3005" cm="1">
        <f t="array" ref="K3005">sentimentCalc(C3005)</f>
        <v>0</v>
      </c>
      <c r="L3005" t="str" cm="1">
        <f t="array" ref="L3005">sentimentCategory(K3005)</f>
        <v>Neutral</v>
      </c>
    </row>
    <row r="3006" spans="1:12" x14ac:dyDescent="0.25">
      <c r="A3006" t="s">
        <v>878</v>
      </c>
      <c r="B3006" t="s">
        <v>2694</v>
      </c>
      <c r="C3006" t="str" cm="1">
        <f t="array" ref="C3006">CleanText(B3006)</f>
        <v>tom felton the kid who played draco malfoy should have been ken this is all wrong in real life all the perfect men are evil xd</v>
      </c>
      <c r="D3006">
        <v>0</v>
      </c>
      <c r="E3006">
        <v>0</v>
      </c>
      <c r="F3006" t="s">
        <v>10</v>
      </c>
      <c r="G3006" t="str" cm="1">
        <f t="array" ref="G3006">FindCountryName(F3006)</f>
        <v>None</v>
      </c>
      <c r="H3006" s="3">
        <v>45159.857245370367</v>
      </c>
      <c r="I3006" s="3">
        <v>45159.857245370367</v>
      </c>
      <c r="J3006" s="3">
        <v>44390.981909722221</v>
      </c>
      <c r="K3006" cm="1">
        <f t="array" ref="K3006">sentimentCalc(C3006)</f>
        <v>-2</v>
      </c>
      <c r="L3006" t="str" cm="1">
        <f t="array" ref="L3006">sentimentCategory(K3006)</f>
        <v>Negative</v>
      </c>
    </row>
    <row r="3007" spans="1:12" x14ac:dyDescent="0.25">
      <c r="A3007" t="s">
        <v>871</v>
      </c>
      <c r="B3007" t="s">
        <v>1179</v>
      </c>
      <c r="C3007" t="str" cm="1">
        <f t="array" ref="C3007">CleanText(B3007)</f>
        <v>too neolitic face not rounded face girl european</v>
      </c>
      <c r="D3007">
        <v>0</v>
      </c>
      <c r="E3007">
        <v>0</v>
      </c>
      <c r="F3007" t="s">
        <v>10</v>
      </c>
      <c r="G3007" t="str" cm="1">
        <f t="array" ref="G3007">FindCountryName(F3007)</f>
        <v>None</v>
      </c>
      <c r="H3007" s="3">
        <v>45279.565983796296</v>
      </c>
      <c r="I3007" s="3">
        <v>45279.567662037036</v>
      </c>
      <c r="J3007" s="3">
        <v>43036.476736111108</v>
      </c>
      <c r="K3007" cm="1">
        <f t="array" ref="K3007">sentimentCalc(C3007)</f>
        <v>0</v>
      </c>
      <c r="L3007" t="str" cm="1">
        <f t="array" ref="L3007">sentimentCategory(K3007)</f>
        <v>Neutral</v>
      </c>
    </row>
    <row r="3008" spans="1:12" x14ac:dyDescent="0.25">
      <c r="A3008" t="s">
        <v>38</v>
      </c>
      <c r="B3008" t="s">
        <v>1769</v>
      </c>
      <c r="C3008" t="str" cm="1">
        <f t="array" ref="C3008">CleanText(B3008)</f>
        <v>top d</v>
      </c>
      <c r="D3008">
        <v>0</v>
      </c>
      <c r="E3008">
        <v>0</v>
      </c>
      <c r="F3008" t="s">
        <v>10</v>
      </c>
      <c r="G3008" t="str" cm="1">
        <f t="array" ref="G3008">FindCountryName(F3008)</f>
        <v>None</v>
      </c>
      <c r="H3008" s="3">
        <v>45196.603333333333</v>
      </c>
      <c r="I3008" s="3">
        <v>45196.603333333333</v>
      </c>
      <c r="J3008" s="3">
        <v>41107.799178240741</v>
      </c>
      <c r="K3008" cm="1">
        <f t="array" ref="K3008">sentimentCalc(C3008)</f>
        <v>2</v>
      </c>
      <c r="L3008" t="str" cm="1">
        <f t="array" ref="L3008">sentimentCategory(K3008)</f>
        <v>Positive</v>
      </c>
    </row>
    <row r="3009" spans="1:12" x14ac:dyDescent="0.25">
      <c r="A3009" t="s">
        <v>1405</v>
      </c>
      <c r="B3009" t="s">
        <v>1566</v>
      </c>
      <c r="C3009" t="str" cm="1">
        <f t="array" ref="C3009">CleanText(B3009)</f>
        <v>top demais que ficou esse filme</v>
      </c>
      <c r="D3009">
        <v>0</v>
      </c>
      <c r="E3009">
        <v>0</v>
      </c>
      <c r="F3009" t="s">
        <v>10</v>
      </c>
      <c r="G3009" t="str" cm="1">
        <f t="array" ref="G3009">FindCountryName(F3009)</f>
        <v>None</v>
      </c>
      <c r="H3009" s="3">
        <v>45214.278124999997</v>
      </c>
      <c r="I3009" s="3">
        <v>45214.278124999997</v>
      </c>
      <c r="J3009" s="3">
        <v>39963.670636574076</v>
      </c>
      <c r="K3009" cm="1">
        <f t="array" ref="K3009">sentimentCalc(C3009)</f>
        <v>2</v>
      </c>
      <c r="L3009" t="str" cm="1">
        <f t="array" ref="L3009">sentimentCategory(K3009)</f>
        <v>Positive</v>
      </c>
    </row>
    <row r="3010" spans="1:12" x14ac:dyDescent="0.25">
      <c r="A3010" t="s">
        <v>124</v>
      </c>
      <c r="B3010" t="s">
        <v>3004</v>
      </c>
      <c r="C3010" t="str" cm="1">
        <f t="array" ref="C3010">CleanText(B3010)</f>
        <v>total bullshyte im not sure whats going on w this movie but its a strong resounding no for me</v>
      </c>
      <c r="D3010">
        <v>2</v>
      </c>
      <c r="E3010">
        <v>0</v>
      </c>
      <c r="F3010" t="s">
        <v>10</v>
      </c>
      <c r="G3010" t="str" cm="1">
        <f t="array" ref="G3010">FindCountryName(F3010)</f>
        <v>None</v>
      </c>
      <c r="H3010" s="3">
        <v>45154.594351851854</v>
      </c>
      <c r="I3010" s="3">
        <v>45154.594340277778</v>
      </c>
      <c r="J3010" s="3">
        <v>44721.966608796298</v>
      </c>
      <c r="K3010" cm="1">
        <f t="array" ref="K3010">sentimentCalc(C3010)</f>
        <v>1</v>
      </c>
      <c r="L3010" t="str" cm="1">
        <f t="array" ref="L3010">sentimentCategory(K3010)</f>
        <v>Positive</v>
      </c>
    </row>
    <row r="3011" spans="1:12" x14ac:dyDescent="0.25">
      <c r="A3011" t="s">
        <v>3410</v>
      </c>
      <c r="B3011" t="s">
        <v>4175</v>
      </c>
      <c r="C3011" t="str" cm="1">
        <f t="array" ref="C3011">CleanText(B3011)</f>
        <v>tragic</v>
      </c>
      <c r="D3011">
        <v>2</v>
      </c>
      <c r="E3011">
        <v>0</v>
      </c>
      <c r="F3011" t="s">
        <v>4176</v>
      </c>
      <c r="G3011" t="str" cm="1">
        <f t="array" ref="G3011">FindCountryName(F3011)</f>
        <v>Greece</v>
      </c>
      <c r="H3011" s="3">
        <v>45142.296006944445</v>
      </c>
      <c r="I3011" s="3">
        <v>45142.296006944445</v>
      </c>
      <c r="J3011" s="3">
        <v>39874.419189814813</v>
      </c>
      <c r="K3011" cm="1">
        <f t="array" ref="K3011">sentimentCalc(C3011)</f>
        <v>-2</v>
      </c>
      <c r="L3011" t="str" cm="1">
        <f t="array" ref="L3011">sentimentCategory(K3011)</f>
        <v>Negative</v>
      </c>
    </row>
    <row r="3012" spans="1:12" x14ac:dyDescent="0.25">
      <c r="A3012" t="s">
        <v>2099</v>
      </c>
      <c r="B3012" t="s">
        <v>2100</v>
      </c>
      <c r="C3012" t="str" cm="1">
        <f t="array" ref="C3012">CleanText(B3012)</f>
        <v>trailer better than movie</v>
      </c>
      <c r="D3012">
        <v>2</v>
      </c>
      <c r="E3012">
        <v>0</v>
      </c>
      <c r="F3012" t="s">
        <v>10</v>
      </c>
      <c r="G3012" t="str" cm="1">
        <f t="array" ref="G3012">FindCountryName(F3012)</f>
        <v>None</v>
      </c>
      <c r="H3012" s="3">
        <v>45180.883425925924</v>
      </c>
      <c r="I3012" s="3">
        <v>45180.883425925924</v>
      </c>
      <c r="J3012" s="3">
        <v>40833.189409722225</v>
      </c>
      <c r="K3012" cm="1">
        <f t="array" ref="K3012">sentimentCalc(C3012)</f>
        <v>2</v>
      </c>
      <c r="L3012" t="str" cm="1">
        <f t="array" ref="L3012">sentimentCategory(K3012)</f>
        <v>Positive</v>
      </c>
    </row>
    <row r="3013" spans="1:12" x14ac:dyDescent="0.25">
      <c r="A3013" t="s">
        <v>3215</v>
      </c>
      <c r="B3013" t="s">
        <v>3216</v>
      </c>
      <c r="C3013" t="str" cm="1">
        <f t="array" ref="C3013">CleanText(B3013)</f>
        <v>trailers arent supposed to make you cry like the ending of toy story</v>
      </c>
      <c r="D3013">
        <v>1</v>
      </c>
      <c r="E3013">
        <v>0</v>
      </c>
      <c r="F3013" t="s">
        <v>10</v>
      </c>
      <c r="G3013" t="str" cm="1">
        <f t="array" ref="G3013">FindCountryName(F3013)</f>
        <v>None</v>
      </c>
      <c r="H3013" s="3">
        <v>45151.733773148146</v>
      </c>
      <c r="I3013" s="3">
        <v>45151.733761574076</v>
      </c>
      <c r="J3013" s="3">
        <v>40507.717094907406</v>
      </c>
      <c r="K3013" cm="1">
        <f t="array" ref="K3013">sentimentCalc(C3013)</f>
        <v>1</v>
      </c>
      <c r="L3013" t="str" cm="1">
        <f t="array" ref="L3013">sentimentCategory(K3013)</f>
        <v>Positive</v>
      </c>
    </row>
    <row r="3014" spans="1:12" x14ac:dyDescent="0.25">
      <c r="A3014" t="s">
        <v>1766</v>
      </c>
      <c r="B3014" t="s">
        <v>2065</v>
      </c>
      <c r="C3014" t="str" cm="1">
        <f t="array" ref="C3014">CleanText(B3014)</f>
        <v>trash</v>
      </c>
      <c r="D3014">
        <v>4</v>
      </c>
      <c r="E3014">
        <v>1</v>
      </c>
      <c r="F3014" t="s">
        <v>2066</v>
      </c>
      <c r="G3014" t="str" cm="1">
        <f t="array" ref="G3014">FindCountryName(F3014)</f>
        <v>Argentina</v>
      </c>
      <c r="H3014" s="3">
        <v>45182.211655092593</v>
      </c>
      <c r="I3014" s="3">
        <v>45182.211655092593</v>
      </c>
      <c r="J3014" s="3">
        <v>43958.703333333331</v>
      </c>
      <c r="K3014" cm="1">
        <f t="array" ref="K3014">sentimentCalc(C3014)</f>
        <v>0</v>
      </c>
      <c r="L3014" t="str" cm="1">
        <f t="array" ref="L3014">sentimentCategory(K3014)</f>
        <v>Neutral</v>
      </c>
    </row>
    <row r="3015" spans="1:12" x14ac:dyDescent="0.25">
      <c r="A3015" t="s">
        <v>472</v>
      </c>
      <c r="B3015" t="s">
        <v>4341</v>
      </c>
      <c r="C3015" t="str" cm="1">
        <f t="array" ref="C3015">CleanText(B3015)</f>
        <v>trash movie</v>
      </c>
      <c r="D3015">
        <v>10</v>
      </c>
      <c r="E3015">
        <v>2</v>
      </c>
      <c r="F3015" t="s">
        <v>10</v>
      </c>
      <c r="G3015" t="str" cm="1">
        <f t="array" ref="G3015">FindCountryName(F3015)</f>
        <v>None</v>
      </c>
      <c r="H3015" s="3">
        <v>45140.809872685182</v>
      </c>
      <c r="I3015" s="3">
        <v>45140.809872685182</v>
      </c>
      <c r="J3015" s="3">
        <v>43660.910243055558</v>
      </c>
      <c r="K3015" cm="1">
        <f t="array" ref="K3015">sentimentCalc(C3015)</f>
        <v>0</v>
      </c>
      <c r="L3015" t="str" cm="1">
        <f t="array" ref="L3015">sentimentCategory(K3015)</f>
        <v>Neutral</v>
      </c>
    </row>
    <row r="3016" spans="1:12" x14ac:dyDescent="0.25">
      <c r="A3016" t="s">
        <v>116</v>
      </c>
      <c r="B3016" t="s">
        <v>1952</v>
      </c>
      <c r="C3016" t="str" cm="1">
        <f t="array" ref="C3016">CleanText(B3016)</f>
        <v>trash movies</v>
      </c>
      <c r="D3016">
        <v>3</v>
      </c>
      <c r="E3016">
        <v>0</v>
      </c>
      <c r="F3016" t="s">
        <v>10</v>
      </c>
      <c r="G3016" t="str" cm="1">
        <f t="array" ref="G3016">FindCountryName(F3016)</f>
        <v>None</v>
      </c>
      <c r="H3016" s="3">
        <v>45186.691851851851</v>
      </c>
      <c r="I3016" s="3">
        <v>45186.691840277781</v>
      </c>
      <c r="J3016" s="3">
        <v>41773.969386574077</v>
      </c>
      <c r="K3016" cm="1">
        <f t="array" ref="K3016">sentimentCalc(C3016)</f>
        <v>0</v>
      </c>
      <c r="L3016" t="str" cm="1">
        <f t="array" ref="L3016">sentimentCategory(K3016)</f>
        <v>Neutral</v>
      </c>
    </row>
    <row r="3017" spans="1:12" x14ac:dyDescent="0.25">
      <c r="A3017" t="s">
        <v>505</v>
      </c>
      <c r="B3017" t="s">
        <v>506</v>
      </c>
      <c r="C3017" t="str" cm="1">
        <f t="array" ref="C3017">CleanText(B3017)</f>
        <v>trash pointless message one big toy add income from barbie products went up m dollars post release</v>
      </c>
      <c r="D3017">
        <v>2</v>
      </c>
      <c r="E3017">
        <v>3</v>
      </c>
      <c r="F3017" t="s">
        <v>10</v>
      </c>
      <c r="G3017" t="str" cm="1">
        <f t="array" ref="G3017">FindCountryName(F3017)</f>
        <v>None</v>
      </c>
      <c r="H3017" s="3">
        <v>45317.713333333333</v>
      </c>
      <c r="I3017" s="3">
        <v>45317.713333333333</v>
      </c>
      <c r="J3017" s="3">
        <v>40823.317916666667</v>
      </c>
      <c r="K3017" cm="1">
        <f t="array" ref="K3017">sentimentCalc(C3017)</f>
        <v>1</v>
      </c>
      <c r="L3017" t="str" cm="1">
        <f t="array" ref="L3017">sentimentCategory(K3017)</f>
        <v>Positive</v>
      </c>
    </row>
    <row r="3018" spans="1:12" x14ac:dyDescent="0.25">
      <c r="A3018" t="s">
        <v>3128</v>
      </c>
      <c r="B3018" t="s">
        <v>3129</v>
      </c>
      <c r="C3018" t="str" cm="1">
        <f t="array" ref="C3018">CleanText(B3018)</f>
        <v>true man oppenheimerweak man barbieembrace masculinity</v>
      </c>
      <c r="D3018">
        <v>3</v>
      </c>
      <c r="E3018">
        <v>7</v>
      </c>
      <c r="F3018" t="s">
        <v>10</v>
      </c>
      <c r="G3018" t="str" cm="1">
        <f t="array" ref="G3018">FindCountryName(F3018)</f>
        <v>None</v>
      </c>
      <c r="H3018" s="3">
        <v>45152.893599537034</v>
      </c>
      <c r="I3018" s="3">
        <v>45152.893599537034</v>
      </c>
      <c r="J3018" s="3">
        <v>43982.267870370371</v>
      </c>
      <c r="K3018" cm="1">
        <f t="array" ref="K3018">sentimentCalc(C3018)</f>
        <v>2</v>
      </c>
      <c r="L3018" t="str" cm="1">
        <f t="array" ref="L3018">sentimentCategory(K3018)</f>
        <v>Positive</v>
      </c>
    </row>
    <row r="3019" spans="1:12" x14ac:dyDescent="0.25">
      <c r="A3019" t="s">
        <v>3437</v>
      </c>
      <c r="B3019" t="s">
        <v>3438</v>
      </c>
      <c r="C3019" t="str" cm="1">
        <f t="array" ref="C3019">CleanText(B3019)</f>
        <v>truman show with jim but this as a female version</v>
      </c>
      <c r="D3019">
        <v>0</v>
      </c>
      <c r="E3019">
        <v>0</v>
      </c>
      <c r="F3019" t="s">
        <v>10</v>
      </c>
      <c r="G3019" t="str" cm="1">
        <f t="array" ref="G3019">FindCountryName(F3019)</f>
        <v>None</v>
      </c>
      <c r="H3019" s="3">
        <v>45148.912627314814</v>
      </c>
      <c r="I3019" s="3">
        <v>45148.912627314814</v>
      </c>
      <c r="J3019" s="3">
        <v>39398.794178240743</v>
      </c>
      <c r="K3019" cm="1">
        <f t="array" ref="K3019">sentimentCalc(C3019)</f>
        <v>0</v>
      </c>
      <c r="L3019" t="str" cm="1">
        <f t="array" ref="L3019">sentimentCategory(K3019)</f>
        <v>Neutral</v>
      </c>
    </row>
    <row r="3020" spans="1:12" x14ac:dyDescent="0.25">
      <c r="A3020" t="s">
        <v>2792</v>
      </c>
      <c r="B3020" t="s">
        <v>4427</v>
      </c>
      <c r="C3020" t="str" cm="1">
        <f t="array" ref="C3020">CleanText(B3020)</f>
        <v>turned out to be a woke nonsense cringe fest i expected quite a bit of cringe blew my predictions out of this world</v>
      </c>
      <c r="D3020">
        <v>4</v>
      </c>
      <c r="E3020">
        <v>1</v>
      </c>
      <c r="F3020" t="s">
        <v>10</v>
      </c>
      <c r="G3020" t="str" cm="1">
        <f t="array" ref="G3020">FindCountryName(F3020)</f>
        <v>None</v>
      </c>
      <c r="H3020" s="3">
        <v>45140.323703703703</v>
      </c>
      <c r="I3020" s="3">
        <v>45140.323703703703</v>
      </c>
      <c r="J3020" s="3">
        <v>41748.814097222225</v>
      </c>
      <c r="K3020" cm="1">
        <f t="array" ref="K3020">sentimentCalc(C3020)</f>
        <v>-2</v>
      </c>
      <c r="L3020" t="str" cm="1">
        <f t="array" ref="L3020">sentimentCategory(K3020)</f>
        <v>Negative</v>
      </c>
    </row>
    <row r="3021" spans="1:12" x14ac:dyDescent="0.25">
      <c r="A3021" t="s">
        <v>34</v>
      </c>
      <c r="B3021" t="s">
        <v>2321</v>
      </c>
      <c r="C3021" t="str" cm="1">
        <f t="array" ref="C3021">CleanText(B3021)</f>
        <v>typical american hollywood rubbish as usual how can any sane person watch such drivel hollywood is cursed this is why they make nonsensical movies like this</v>
      </c>
      <c r="D3021">
        <v>1</v>
      </c>
      <c r="E3021">
        <v>1</v>
      </c>
      <c r="F3021" t="s">
        <v>10</v>
      </c>
      <c r="G3021" t="str" cm="1">
        <f t="array" ref="G3021">FindCountryName(F3021)</f>
        <v>None</v>
      </c>
      <c r="H3021" s="3">
        <v>45171.963391203702</v>
      </c>
      <c r="I3021" s="3">
        <v>45171.963391203702</v>
      </c>
      <c r="J3021" s="3">
        <v>41092.833912037036</v>
      </c>
      <c r="K3021" cm="1">
        <f t="array" ref="K3021">sentimentCalc(C3021)</f>
        <v>2</v>
      </c>
      <c r="L3021" t="str" cm="1">
        <f t="array" ref="L3021">sentimentCategory(K3021)</f>
        <v>Positive</v>
      </c>
    </row>
    <row r="3022" spans="1:12" x14ac:dyDescent="0.25">
      <c r="A3022" t="s">
        <v>618</v>
      </c>
      <c r="B3022" t="s">
        <v>4248</v>
      </c>
      <c r="C3022" t="str" cm="1">
        <f t="array" ref="C3022">CleanText(B3022)</f>
        <v>n</v>
      </c>
      <c r="D3022">
        <v>2</v>
      </c>
      <c r="E3022">
        <v>0</v>
      </c>
      <c r="F3022" t="s">
        <v>10</v>
      </c>
      <c r="G3022" t="str" cm="1">
        <f t="array" ref="G3022">FindCountryName(F3022)</f>
        <v>None</v>
      </c>
      <c r="H3022" s="3">
        <v>45141.487407407411</v>
      </c>
      <c r="I3022" s="3">
        <v>45141.487407407411</v>
      </c>
      <c r="J3022" s="3">
        <v>44171.313449074078</v>
      </c>
      <c r="K3022" cm="1">
        <f t="array" ref="K3022">sentimentCalc(C3022)</f>
        <v>0</v>
      </c>
      <c r="L3022" t="str" cm="1">
        <f t="array" ref="L3022">sentimentCategory(K3022)</f>
        <v>Neutral</v>
      </c>
    </row>
    <row r="3023" spans="1:12" x14ac:dyDescent="0.25">
      <c r="A3023" t="s">
        <v>45</v>
      </c>
      <c r="B3023" t="s">
        <v>3694</v>
      </c>
      <c r="C3023" t="str" cm="1">
        <f t="array" ref="C3023">CleanText(B3023)</f>
        <v>n</v>
      </c>
      <c r="D3023">
        <v>0</v>
      </c>
      <c r="E3023">
        <v>0</v>
      </c>
      <c r="F3023" t="s">
        <v>10</v>
      </c>
      <c r="G3023" t="str" cm="1">
        <f t="array" ref="G3023">FindCountryName(F3023)</f>
        <v>None</v>
      </c>
      <c r="H3023" s="3">
        <v>45146.367372685185</v>
      </c>
      <c r="I3023" s="3">
        <v>45146.367372685185</v>
      </c>
      <c r="J3023" s="3">
        <v>41938.314664351848</v>
      </c>
      <c r="K3023" cm="1">
        <f t="array" ref="K3023">sentimentCalc(C3023)</f>
        <v>0</v>
      </c>
      <c r="L3023" t="str" cm="1">
        <f t="array" ref="L3023">sentimentCategory(K3023)</f>
        <v>Neutral</v>
      </c>
    </row>
    <row r="3024" spans="1:12" x14ac:dyDescent="0.25">
      <c r="A3024" t="s">
        <v>313</v>
      </c>
      <c r="B3024" t="s">
        <v>1729</v>
      </c>
      <c r="C3024" t="str" cm="1">
        <f t="array" ref="C3024">CleanText(B3024)</f>
        <v>n</v>
      </c>
      <c r="D3024">
        <v>0</v>
      </c>
      <c r="E3024">
        <v>0</v>
      </c>
      <c r="F3024" t="s">
        <v>10</v>
      </c>
      <c r="G3024" t="str" cm="1">
        <f t="array" ref="G3024">FindCountryName(F3024)</f>
        <v>None</v>
      </c>
      <c r="H3024" s="3">
        <v>45198.6877662037</v>
      </c>
      <c r="I3024" s="3">
        <v>45198.6877662037</v>
      </c>
      <c r="J3024" s="3">
        <v>45043.67050925926</v>
      </c>
      <c r="K3024" cm="1">
        <f t="array" ref="K3024">sentimentCalc(C3024)</f>
        <v>0</v>
      </c>
      <c r="L3024" t="str" cm="1">
        <f t="array" ref="L3024">sentimentCategory(K3024)</f>
        <v>Neutral</v>
      </c>
    </row>
    <row r="3025" spans="1:12" x14ac:dyDescent="0.25">
      <c r="A3025" t="s">
        <v>773</v>
      </c>
      <c r="B3025" t="s">
        <v>1522</v>
      </c>
      <c r="C3025" t="str" cm="1">
        <f t="array" ref="C3025">CleanText(B3025)</f>
        <v>n</v>
      </c>
      <c r="D3025">
        <v>0</v>
      </c>
      <c r="E3025">
        <v>0</v>
      </c>
      <c r="F3025" t="s">
        <v>10</v>
      </c>
      <c r="G3025" t="str" cm="1">
        <f t="array" ref="G3025">FindCountryName(F3025)</f>
        <v>None</v>
      </c>
      <c r="H3025" s="3">
        <v>45217.336817129632</v>
      </c>
      <c r="I3025" s="3">
        <v>45217.336817129632</v>
      </c>
      <c r="J3025" s="3">
        <v>45108.63013888889</v>
      </c>
      <c r="K3025" cm="1">
        <f t="array" ref="K3025">sentimentCalc(C3025)</f>
        <v>0</v>
      </c>
      <c r="L3025" t="str" cm="1">
        <f t="array" ref="L3025">sentimentCategory(K3025)</f>
        <v>Neutral</v>
      </c>
    </row>
    <row r="3026" spans="1:12" x14ac:dyDescent="0.25">
      <c r="A3026" t="s">
        <v>2159</v>
      </c>
      <c r="B3026" t="s">
        <v>2397</v>
      </c>
      <c r="C3026" t="str" cm="1">
        <f t="array" ref="C3026">CleanText(B3026)</f>
        <v>n</v>
      </c>
      <c r="D3026">
        <v>2</v>
      </c>
      <c r="E3026">
        <v>0</v>
      </c>
      <c r="F3026" t="s">
        <v>2398</v>
      </c>
      <c r="G3026" t="str" cm="1">
        <f t="array" ref="G3026">FindCountryName(F3026)</f>
        <v>Egypt</v>
      </c>
      <c r="H3026" s="3">
        <v>45168.798171296294</v>
      </c>
      <c r="I3026" s="3">
        <v>45168.798171296294</v>
      </c>
      <c r="J3026" s="3">
        <v>43984.025543981479</v>
      </c>
      <c r="K3026" cm="1">
        <f t="array" ref="K3026">sentimentCalc(C3026)</f>
        <v>0</v>
      </c>
      <c r="L3026" t="str" cm="1">
        <f t="array" ref="L3026">sentimentCategory(K3026)</f>
        <v>Neutral</v>
      </c>
    </row>
    <row r="3027" spans="1:12" x14ac:dyDescent="0.25">
      <c r="A3027" t="s">
        <v>518</v>
      </c>
      <c r="B3027" t="s">
        <v>2569</v>
      </c>
      <c r="C3027" t="str" cm="1">
        <f t="array" ref="C3027">CleanText(B3027)</f>
        <v>n</v>
      </c>
      <c r="D3027">
        <v>0</v>
      </c>
      <c r="E3027">
        <v>0</v>
      </c>
      <c r="F3027" t="s">
        <v>10</v>
      </c>
      <c r="G3027" t="str" cm="1">
        <f t="array" ref="G3027">FindCountryName(F3027)</f>
        <v>None</v>
      </c>
      <c r="H3027" s="3">
        <v>45163.194606481484</v>
      </c>
      <c r="I3027" s="3">
        <v>45163.194606481484</v>
      </c>
      <c r="J3027" s="3">
        <v>45107.005520833336</v>
      </c>
      <c r="K3027" cm="1">
        <f t="array" ref="K3027">sentimentCalc(C3027)</f>
        <v>0</v>
      </c>
      <c r="L3027" t="str" cm="1">
        <f t="array" ref="L3027">sentimentCategory(K3027)</f>
        <v>Neutral</v>
      </c>
    </row>
    <row r="3028" spans="1:12" x14ac:dyDescent="0.25">
      <c r="A3028" t="s">
        <v>58</v>
      </c>
      <c r="B3028" t="s">
        <v>2595</v>
      </c>
      <c r="C3028" t="str" cm="1">
        <f t="array" ref="C3028">CleanText(B3028)</f>
        <v>n</v>
      </c>
      <c r="D3028">
        <v>1</v>
      </c>
      <c r="E3028">
        <v>0</v>
      </c>
      <c r="F3028" t="s">
        <v>10</v>
      </c>
      <c r="G3028" t="str" cm="1">
        <f t="array" ref="G3028">FindCountryName(F3028)</f>
        <v>None</v>
      </c>
      <c r="H3028" s="3">
        <v>45162.312488425923</v>
      </c>
      <c r="I3028" s="3">
        <v>45162.312476851854</v>
      </c>
      <c r="J3028" s="3">
        <v>45146.26226851852</v>
      </c>
      <c r="K3028" cm="1">
        <f t="array" ref="K3028">sentimentCalc(C3028)</f>
        <v>0</v>
      </c>
      <c r="L3028" t="str" cm="1">
        <f t="array" ref="L3028">sentimentCategory(K3028)</f>
        <v>Neutral</v>
      </c>
    </row>
    <row r="3029" spans="1:12" x14ac:dyDescent="0.25">
      <c r="A3029" t="s">
        <v>553</v>
      </c>
      <c r="B3029" t="s">
        <v>2984</v>
      </c>
      <c r="C3029" t="str" cm="1">
        <f t="array" ref="C3029">CleanText(B3029)</f>
        <v>n</v>
      </c>
      <c r="D3029">
        <v>0</v>
      </c>
      <c r="E3029">
        <v>1</v>
      </c>
      <c r="F3029" t="s">
        <v>10</v>
      </c>
      <c r="G3029" t="str" cm="1">
        <f t="array" ref="G3029">FindCountryName(F3029)</f>
        <v>None</v>
      </c>
      <c r="H3029" s="3">
        <v>45154.774525462963</v>
      </c>
      <c r="I3029" s="3">
        <v>45154.774525462963</v>
      </c>
      <c r="J3029" s="3">
        <v>44708.254895833335</v>
      </c>
      <c r="K3029" cm="1">
        <f t="array" ref="K3029">sentimentCalc(C3029)</f>
        <v>0</v>
      </c>
      <c r="L3029" t="str" cm="1">
        <f t="array" ref="L3029">sentimentCategory(K3029)</f>
        <v>Neutral</v>
      </c>
    </row>
    <row r="3030" spans="1:12" x14ac:dyDescent="0.25">
      <c r="A3030" t="s">
        <v>1368</v>
      </c>
      <c r="B3030" t="s">
        <v>2827</v>
      </c>
      <c r="C3030" t="str" cm="1">
        <f t="array" ref="C3030">CleanText(B3030)</f>
        <v>n</v>
      </c>
      <c r="D3030">
        <v>0</v>
      </c>
      <c r="E3030">
        <v>0</v>
      </c>
      <c r="F3030" t="s">
        <v>2398</v>
      </c>
      <c r="G3030" t="str" cm="1">
        <f t="array" ref="G3030">FindCountryName(F3030)</f>
        <v>Egypt</v>
      </c>
      <c r="H3030" s="3">
        <v>45157.116539351853</v>
      </c>
      <c r="I3030" s="3">
        <v>45157.116539351853</v>
      </c>
      <c r="J3030" s="3">
        <v>44588.233773148146</v>
      </c>
      <c r="K3030" cm="1">
        <f t="array" ref="K3030">sentimentCalc(C3030)</f>
        <v>0</v>
      </c>
      <c r="L3030" t="str" cm="1">
        <f t="array" ref="L3030">sentimentCategory(K3030)</f>
        <v>Neutral</v>
      </c>
    </row>
    <row r="3031" spans="1:12" x14ac:dyDescent="0.25">
      <c r="A3031" t="s">
        <v>3135</v>
      </c>
      <c r="B3031" t="s">
        <v>3136</v>
      </c>
      <c r="C3031" t="str" cm="1">
        <f t="array" ref="C3031">CleanText(B3031)</f>
        <v>df movie stories</v>
      </c>
      <c r="D3031">
        <v>1</v>
      </c>
      <c r="E3031">
        <v>0</v>
      </c>
      <c r="F3031" t="s">
        <v>3137</v>
      </c>
      <c r="G3031" t="str" cm="1">
        <f t="array" ref="G3031">FindCountryName(F3031)</f>
        <v>Algeria</v>
      </c>
      <c r="H3031" s="3">
        <v>45152.797407407408</v>
      </c>
      <c r="I3031" s="3">
        <v>45152.797407407408</v>
      </c>
      <c r="J3031" s="3">
        <v>44327.616689814815</v>
      </c>
      <c r="K3031" cm="1">
        <f t="array" ref="K3031">sentimentCalc(C3031)</f>
        <v>0</v>
      </c>
      <c r="L3031" t="str" cm="1">
        <f t="array" ref="L3031">sentimentCategory(K3031)</f>
        <v>Neutral</v>
      </c>
    </row>
    <row r="3032" spans="1:12" x14ac:dyDescent="0.25">
      <c r="A3032" t="s">
        <v>3385</v>
      </c>
      <c r="B3032" t="s">
        <v>4451</v>
      </c>
      <c r="C3032" t="str" cm="1">
        <f t="array" ref="C3032">CleanText(B3032)</f>
        <v>n</v>
      </c>
      <c r="D3032">
        <v>0</v>
      </c>
      <c r="E3032">
        <v>0</v>
      </c>
      <c r="F3032" t="s">
        <v>10</v>
      </c>
      <c r="G3032" t="str" cm="1">
        <f t="array" ref="G3032">FindCountryName(F3032)</f>
        <v>None</v>
      </c>
      <c r="H3032" s="3">
        <v>45140.208819444444</v>
      </c>
      <c r="I3032" s="3">
        <v>45140.208819444444</v>
      </c>
      <c r="J3032" s="3">
        <v>44611.259953703702</v>
      </c>
      <c r="K3032" cm="1">
        <f t="array" ref="K3032">sentimentCalc(C3032)</f>
        <v>0</v>
      </c>
      <c r="L3032" t="str" cm="1">
        <f t="array" ref="L3032">sentimentCategory(K3032)</f>
        <v>Neutral</v>
      </c>
    </row>
    <row r="3033" spans="1:12" x14ac:dyDescent="0.25">
      <c r="A3033" t="s">
        <v>137</v>
      </c>
      <c r="B3033" t="s">
        <v>3357</v>
      </c>
      <c r="C3033" t="str" cm="1">
        <f t="array" ref="C3033">CleanText(B3033)</f>
        <v>n</v>
      </c>
      <c r="D3033">
        <v>2</v>
      </c>
      <c r="E3033">
        <v>0</v>
      </c>
      <c r="F3033" t="s">
        <v>10</v>
      </c>
      <c r="G3033" t="str" cm="1">
        <f t="array" ref="G3033">FindCountryName(F3033)</f>
        <v>None</v>
      </c>
      <c r="H3033" s="3">
        <v>45149.69090277778</v>
      </c>
      <c r="I3033" s="3">
        <v>45149.69090277778</v>
      </c>
      <c r="J3033" s="3">
        <v>44342.320648148147</v>
      </c>
      <c r="K3033" cm="1">
        <f t="array" ref="K3033">sentimentCalc(C3033)</f>
        <v>0</v>
      </c>
      <c r="L3033" t="str" cm="1">
        <f t="array" ref="L3033">sentimentCategory(K3033)</f>
        <v>Neutral</v>
      </c>
    </row>
    <row r="3034" spans="1:12" x14ac:dyDescent="0.25">
      <c r="A3034" t="s">
        <v>2259</v>
      </c>
      <c r="B3034" t="s">
        <v>3060</v>
      </c>
      <c r="C3034" t="str" cm="1">
        <f t="array" ref="C3034">CleanText(B3034)</f>
        <v>n</v>
      </c>
      <c r="D3034">
        <v>1</v>
      </c>
      <c r="E3034">
        <v>0</v>
      </c>
      <c r="F3034" t="s">
        <v>10</v>
      </c>
      <c r="G3034" t="str" cm="1">
        <f t="array" ref="G3034">FindCountryName(F3034)</f>
        <v>None</v>
      </c>
      <c r="H3034" s="3">
        <v>45153.839305555557</v>
      </c>
      <c r="I3034" s="3">
        <v>45153.839305555557</v>
      </c>
      <c r="J3034" s="3">
        <v>45012.772731481484</v>
      </c>
      <c r="K3034" cm="1">
        <f t="array" ref="K3034">sentimentCalc(C3034)</f>
        <v>0</v>
      </c>
      <c r="L3034" t="str" cm="1">
        <f t="array" ref="L3034">sentimentCategory(K3034)</f>
        <v>Neutral</v>
      </c>
    </row>
    <row r="3035" spans="1:12" x14ac:dyDescent="0.25">
      <c r="A3035" t="s">
        <v>2605</v>
      </c>
      <c r="B3035" t="s">
        <v>2606</v>
      </c>
      <c r="C3035" t="str" cm="1">
        <f t="array" ref="C3035">CleanText(B3035)</f>
        <v>n</v>
      </c>
      <c r="D3035">
        <v>0</v>
      </c>
      <c r="E3035">
        <v>0</v>
      </c>
      <c r="F3035" t="s">
        <v>10</v>
      </c>
      <c r="G3035" t="str" cm="1">
        <f t="array" ref="G3035">FindCountryName(F3035)</f>
        <v>None</v>
      </c>
      <c r="H3035" s="3">
        <v>45162.154027777775</v>
      </c>
      <c r="I3035" s="3">
        <v>45162.154027777775</v>
      </c>
      <c r="J3035" s="3">
        <v>45133.467523148145</v>
      </c>
      <c r="K3035" cm="1">
        <f t="array" ref="K3035">sentimentCalc(C3035)</f>
        <v>0</v>
      </c>
      <c r="L3035" t="str" cm="1">
        <f t="array" ref="L3035">sentimentCategory(K3035)</f>
        <v>Neutral</v>
      </c>
    </row>
    <row r="3036" spans="1:12" x14ac:dyDescent="0.25">
      <c r="A3036" t="s">
        <v>105</v>
      </c>
      <c r="B3036" t="s">
        <v>3497</v>
      </c>
      <c r="C3036" t="str" cm="1">
        <f t="array" ref="C3036">CleanText(B3036)</f>
        <v>n</v>
      </c>
      <c r="D3036">
        <v>0</v>
      </c>
      <c r="E3036">
        <v>0</v>
      </c>
      <c r="F3036" t="s">
        <v>10</v>
      </c>
      <c r="G3036" t="str" cm="1">
        <f t="array" ref="G3036">FindCountryName(F3036)</f>
        <v>None</v>
      </c>
      <c r="H3036" s="3">
        <v>45148.224340277775</v>
      </c>
      <c r="I3036" s="3">
        <v>45148.224328703705</v>
      </c>
      <c r="J3036" s="3">
        <v>44632.495775462965</v>
      </c>
      <c r="K3036" cm="1">
        <f t="array" ref="K3036">sentimentCalc(C3036)</f>
        <v>0</v>
      </c>
      <c r="L3036" t="str" cm="1">
        <f t="array" ref="L3036">sentimentCategory(K3036)</f>
        <v>Neutral</v>
      </c>
    </row>
    <row r="3037" spans="1:12" x14ac:dyDescent="0.25">
      <c r="A3037" t="s">
        <v>2659</v>
      </c>
      <c r="B3037" t="s">
        <v>2660</v>
      </c>
      <c r="C3037" t="str" cm="1">
        <f t="array" ref="C3037">CleanText(B3037)</f>
        <v>n</v>
      </c>
      <c r="D3037">
        <v>0</v>
      </c>
      <c r="E3037">
        <v>0</v>
      </c>
      <c r="F3037" t="s">
        <v>2398</v>
      </c>
      <c r="G3037" t="str" cm="1">
        <f t="array" ref="G3037">FindCountryName(F3037)</f>
        <v>Egypt</v>
      </c>
      <c r="H3037" s="3">
        <v>45160.542326388888</v>
      </c>
      <c r="I3037" s="3">
        <v>45160.542314814818</v>
      </c>
      <c r="J3037" s="3">
        <v>44050.919710648152</v>
      </c>
      <c r="K3037" cm="1">
        <f t="array" ref="K3037">sentimentCalc(C3037)</f>
        <v>0</v>
      </c>
      <c r="L3037" t="str" cm="1">
        <f t="array" ref="L3037">sentimentCategory(K3037)</f>
        <v>Neutral</v>
      </c>
    </row>
    <row r="3038" spans="1:12" x14ac:dyDescent="0.25">
      <c r="A3038" t="s">
        <v>169</v>
      </c>
      <c r="B3038" t="s">
        <v>2004</v>
      </c>
      <c r="C3038" t="str" cm="1">
        <f t="array" ref="C3038">CleanText(B3038)</f>
        <v>n</v>
      </c>
      <c r="D3038">
        <v>1</v>
      </c>
      <c r="E3038">
        <v>0</v>
      </c>
      <c r="F3038" t="s">
        <v>10</v>
      </c>
      <c r="G3038" t="str" cm="1">
        <f t="array" ref="G3038">FindCountryName(F3038)</f>
        <v>None</v>
      </c>
      <c r="H3038" s="3">
        <v>45184.716064814813</v>
      </c>
      <c r="I3038" s="3">
        <v>45184.716064814813</v>
      </c>
      <c r="J3038" s="3">
        <v>44054.506273148145</v>
      </c>
      <c r="K3038" cm="1">
        <f t="array" ref="K3038">sentimentCalc(C3038)</f>
        <v>0</v>
      </c>
      <c r="L3038" t="str" cm="1">
        <f t="array" ref="L3038">sentimentCategory(K3038)</f>
        <v>Neutral</v>
      </c>
    </row>
    <row r="3039" spans="1:12" x14ac:dyDescent="0.25">
      <c r="A3039" t="s">
        <v>2872</v>
      </c>
      <c r="B3039" t="s">
        <v>2873</v>
      </c>
      <c r="C3039" t="str" cm="1">
        <f t="array" ref="C3039">CleanText(B3039)</f>
        <v>n</v>
      </c>
      <c r="D3039">
        <v>2</v>
      </c>
      <c r="E3039">
        <v>0</v>
      </c>
      <c r="F3039" t="s">
        <v>10</v>
      </c>
      <c r="G3039" t="str" cm="1">
        <f t="array" ref="G3039">FindCountryName(F3039)</f>
        <v>None</v>
      </c>
      <c r="H3039" s="3">
        <v>45156.602893518517</v>
      </c>
      <c r="I3039" s="3">
        <v>45156.602893518517</v>
      </c>
      <c r="J3039" s="3">
        <v>45009.646608796298</v>
      </c>
      <c r="K3039" cm="1">
        <f t="array" ref="K3039">sentimentCalc(C3039)</f>
        <v>0</v>
      </c>
      <c r="L3039" t="str" cm="1">
        <f t="array" ref="L3039">sentimentCategory(K3039)</f>
        <v>Neutral</v>
      </c>
    </row>
    <row r="3040" spans="1:12" x14ac:dyDescent="0.25">
      <c r="A3040" t="s">
        <v>1390</v>
      </c>
      <c r="B3040" t="s">
        <v>1391</v>
      </c>
      <c r="C3040" t="str" cm="1">
        <f t="array" ref="C3040">CleanText(B3040)</f>
        <v>uau que tudo adorei esse filme</v>
      </c>
      <c r="D3040">
        <v>0</v>
      </c>
      <c r="E3040">
        <v>0</v>
      </c>
      <c r="F3040" t="s">
        <v>10</v>
      </c>
      <c r="G3040" t="str" cm="1">
        <f t="array" ref="G3040">FindCountryName(F3040)</f>
        <v>None</v>
      </c>
      <c r="H3040" s="3">
        <v>45233.729699074072</v>
      </c>
      <c r="I3040" s="3">
        <v>45233.729699074072</v>
      </c>
      <c r="J3040" s="3">
        <v>40756.551134259258</v>
      </c>
      <c r="K3040" cm="1">
        <f t="array" ref="K3040">sentimentCalc(C3040)</f>
        <v>0</v>
      </c>
      <c r="L3040" t="str" cm="1">
        <f t="array" ref="L3040">sentimentCategory(K3040)</f>
        <v>Neutral</v>
      </c>
    </row>
    <row r="3041" spans="1:12" x14ac:dyDescent="0.25">
      <c r="A3041" t="s">
        <v>2182</v>
      </c>
      <c r="B3041" t="s">
        <v>4436</v>
      </c>
      <c r="C3041" t="str" cm="1">
        <f t="array" ref="C3041">CleanText(B3041)</f>
        <v>n</v>
      </c>
      <c r="D3041">
        <v>2</v>
      </c>
      <c r="E3041">
        <v>0</v>
      </c>
      <c r="F3041" t="s">
        <v>227</v>
      </c>
      <c r="G3041" t="str" cm="1">
        <f t="array" ref="G3041">FindCountryName(F3041)</f>
        <v>United States of America (the)</v>
      </c>
      <c r="H3041" s="3">
        <v>45140.286215277774</v>
      </c>
      <c r="I3041" s="3">
        <v>45140.28638888889</v>
      </c>
      <c r="J3041" s="3">
        <v>43293.655104166668</v>
      </c>
      <c r="K3041" cm="1">
        <f t="array" ref="K3041">sentimentCalc(C3041)</f>
        <v>0</v>
      </c>
      <c r="L3041" t="str" cm="1">
        <f t="array" ref="L3041">sentimentCategory(K3041)</f>
        <v>Neutral</v>
      </c>
    </row>
    <row r="3042" spans="1:12" x14ac:dyDescent="0.25">
      <c r="A3042" t="s">
        <v>1891</v>
      </c>
      <c r="B3042" t="s">
        <v>2875</v>
      </c>
      <c r="C3042" t="str" cm="1">
        <f t="array" ref="C3042">CleanText(B3042)</f>
        <v>ugly barbie</v>
      </c>
      <c r="D3042">
        <v>1</v>
      </c>
      <c r="E3042">
        <v>0</v>
      </c>
      <c r="F3042" t="s">
        <v>10</v>
      </c>
      <c r="G3042" t="str" cm="1">
        <f t="array" ref="G3042">FindCountryName(F3042)</f>
        <v>None</v>
      </c>
      <c r="H3042" s="3">
        <v>45156.574999999997</v>
      </c>
      <c r="I3042" s="3">
        <v>45156.574999999997</v>
      </c>
      <c r="J3042" s="3">
        <v>45084.771377314813</v>
      </c>
      <c r="K3042" cm="1">
        <f t="array" ref="K3042">sentimentCalc(C3042)</f>
        <v>-3</v>
      </c>
      <c r="L3042" t="str" cm="1">
        <f t="array" ref="L3042">sentimentCategory(K3042)</f>
        <v>Negative</v>
      </c>
    </row>
    <row r="3043" spans="1:12" x14ac:dyDescent="0.25">
      <c r="A3043" t="s">
        <v>2656</v>
      </c>
      <c r="B3043" t="s">
        <v>2657</v>
      </c>
      <c r="C3043" t="str" cm="1">
        <f t="array" ref="C3043">CleanText(B3043)</f>
        <v>uh if you live in southern california namely orange county this is old news</v>
      </c>
      <c r="D3043">
        <v>0</v>
      </c>
      <c r="E3043">
        <v>0</v>
      </c>
      <c r="F3043" t="s">
        <v>10</v>
      </c>
      <c r="G3043" t="str" cm="1">
        <f t="array" ref="G3043">FindCountryName(F3043)</f>
        <v>None</v>
      </c>
      <c r="H3043" s="3">
        <v>45160.575243055559</v>
      </c>
      <c r="I3043" s="3">
        <v>45160.575243055559</v>
      </c>
      <c r="J3043" s="3">
        <v>39194.929942129631</v>
      </c>
      <c r="K3043" cm="1">
        <f t="array" ref="K3043">sentimentCalc(C3043)</f>
        <v>0</v>
      </c>
      <c r="L3043" t="str" cm="1">
        <f t="array" ref="L3043">sentimentCategory(K3043)</f>
        <v>Neutral</v>
      </c>
    </row>
    <row r="3044" spans="1:12" x14ac:dyDescent="0.25">
      <c r="A3044" t="s">
        <v>1724</v>
      </c>
      <c r="B3044" t="s">
        <v>1725</v>
      </c>
      <c r="C3044" t="str" cm="1">
        <f t="array" ref="C3044">CleanText(B3044)</f>
        <v>uliioiihjikh</v>
      </c>
      <c r="D3044">
        <v>2</v>
      </c>
      <c r="E3044">
        <v>0</v>
      </c>
      <c r="F3044" t="s">
        <v>10</v>
      </c>
      <c r="G3044" t="str" cm="1">
        <f t="array" ref="G3044">FindCountryName(F3044)</f>
        <v>None</v>
      </c>
      <c r="H3044" s="3">
        <v>45199.136643518519</v>
      </c>
      <c r="I3044" s="3">
        <v>45199.136643518519</v>
      </c>
      <c r="J3044" s="3">
        <v>44524.319212962961</v>
      </c>
      <c r="K3044" cm="1">
        <f t="array" ref="K3044">sentimentCalc(C3044)</f>
        <v>0</v>
      </c>
      <c r="L3044" t="str" cm="1">
        <f t="array" ref="L3044">sentimentCategory(K3044)</f>
        <v>Neutral</v>
      </c>
    </row>
    <row r="3045" spans="1:12" x14ac:dyDescent="0.25">
      <c r="A3045" t="s">
        <v>1016</v>
      </c>
      <c r="B3045" t="s">
        <v>3868</v>
      </c>
      <c r="C3045" t="str" cm="1">
        <f t="array" ref="C3045">CleanText(B3045)</f>
        <v>um  no disrespect to the barbie movie i feel it was way to close to the little mermaid launch which was played by a black actress halle bailey yes this movie took the spotlight away from the little mermaid  and im not sorry for saying it hollywood know exactly what its doing</v>
      </c>
      <c r="D3045">
        <v>0</v>
      </c>
      <c r="E3045">
        <v>1</v>
      </c>
      <c r="F3045" t="s">
        <v>10</v>
      </c>
      <c r="G3045" t="str" cm="1">
        <f t="array" ref="G3045">FindCountryName(F3045)</f>
        <v>None</v>
      </c>
      <c r="H3045" s="3">
        <v>45144.892812500002</v>
      </c>
      <c r="I3045" s="3">
        <v>45144.892812500002</v>
      </c>
      <c r="J3045" s="3">
        <v>41317.94</v>
      </c>
      <c r="K3045" cm="1">
        <f t="array" ref="K3045">sentimentCalc(C3045)</f>
        <v>-3</v>
      </c>
      <c r="L3045" t="str" cm="1">
        <f t="array" ref="L3045">sentimentCategory(K3045)</f>
        <v>Negative</v>
      </c>
    </row>
    <row r="3046" spans="1:12" x14ac:dyDescent="0.25">
      <c r="A3046" t="s">
        <v>158</v>
      </c>
      <c r="B3046" t="s">
        <v>1627</v>
      </c>
      <c r="C3046" t="str" cm="1">
        <f t="array" ref="C3046">CleanText(B3046)</f>
        <v>um filme muito bom</v>
      </c>
      <c r="D3046">
        <v>0</v>
      </c>
      <c r="E3046">
        <v>0</v>
      </c>
      <c r="F3046" t="s">
        <v>10</v>
      </c>
      <c r="G3046" t="str" cm="1">
        <f t="array" ref="G3046">FindCountryName(F3046)</f>
        <v>None</v>
      </c>
      <c r="H3046" s="3">
        <v>45207.417951388888</v>
      </c>
      <c r="I3046" s="3">
        <v>45207.417951388888</v>
      </c>
      <c r="J3046" s="3">
        <v>43355.965231481481</v>
      </c>
      <c r="K3046" cm="1">
        <f t="array" ref="K3046">sentimentCalc(C3046)</f>
        <v>0</v>
      </c>
      <c r="L3046" t="str" cm="1">
        <f t="array" ref="L3046">sentimentCategory(K3046)</f>
        <v>Neutral</v>
      </c>
    </row>
    <row r="3047" spans="1:12" x14ac:dyDescent="0.25">
      <c r="A3047" t="s">
        <v>905</v>
      </c>
      <c r="B3047" t="s">
        <v>906</v>
      </c>
      <c r="C3047" t="str" cm="1">
        <f t="array" ref="C3047">CleanText(B3047)</f>
        <v>um filme muito legal para relembrar os personagens</v>
      </c>
      <c r="D3047">
        <v>1</v>
      </c>
      <c r="E3047">
        <v>0</v>
      </c>
      <c r="F3047" t="s">
        <v>10</v>
      </c>
      <c r="G3047" t="str" cm="1">
        <f t="array" ref="G3047">FindCountryName(F3047)</f>
        <v>None</v>
      </c>
      <c r="H3047" s="3">
        <v>45299.29074074074</v>
      </c>
      <c r="I3047" s="3">
        <v>45299.29074074074</v>
      </c>
      <c r="J3047" s="3">
        <v>44491.725138888891</v>
      </c>
      <c r="K3047" cm="1">
        <f t="array" ref="K3047">sentimentCalc(C3047)</f>
        <v>1</v>
      </c>
      <c r="L3047" t="str" cm="1">
        <f t="array" ref="L3047">sentimentCategory(K3047)</f>
        <v>Positive</v>
      </c>
    </row>
    <row r="3048" spans="1:12" x14ac:dyDescent="0.25">
      <c r="A3048" t="s">
        <v>1762</v>
      </c>
      <c r="B3048" t="s">
        <v>1763</v>
      </c>
      <c r="C3048" t="str" cm="1">
        <f t="array" ref="C3048">CleanText(B3048)</f>
        <v>um filme muito legal para relembrar os personagens</v>
      </c>
      <c r="D3048">
        <v>27</v>
      </c>
      <c r="E3048">
        <v>1</v>
      </c>
      <c r="F3048" t="s">
        <v>10</v>
      </c>
      <c r="G3048" t="str" cm="1">
        <f t="array" ref="G3048">FindCountryName(F3048)</f>
        <v>None</v>
      </c>
      <c r="H3048" s="3">
        <v>45196.734756944446</v>
      </c>
      <c r="I3048" s="3">
        <v>45196.734756944446</v>
      </c>
      <c r="J3048" s="3">
        <v>45080.499467592592</v>
      </c>
      <c r="K3048" cm="1">
        <f t="array" ref="K3048">sentimentCalc(C3048)</f>
        <v>1</v>
      </c>
      <c r="L3048" t="str" cm="1">
        <f t="array" ref="L3048">sentimentCategory(K3048)</f>
        <v>Positive</v>
      </c>
    </row>
    <row r="3049" spans="1:12" x14ac:dyDescent="0.25">
      <c r="A3049" t="s">
        <v>1107</v>
      </c>
      <c r="B3049" t="s">
        <v>1463</v>
      </c>
      <c r="C3049" t="str" cm="1">
        <f t="array" ref="C3049">CleanText(B3049)</f>
        <v>um filme muito legal para relembrar os personagens</v>
      </c>
      <c r="D3049">
        <v>0</v>
      </c>
      <c r="E3049">
        <v>0</v>
      </c>
      <c r="F3049" t="s">
        <v>1350</v>
      </c>
      <c r="G3049" t="str" cm="1">
        <f t="array" ref="G3049">FindCountryName(F3049)</f>
        <v>Brazil</v>
      </c>
      <c r="H3049" s="3">
        <v>45226.387418981481</v>
      </c>
      <c r="I3049" s="3">
        <v>45226.387418981481</v>
      </c>
      <c r="J3049" s="3">
        <v>44160.33861111111</v>
      </c>
      <c r="K3049" cm="1">
        <f t="array" ref="K3049">sentimentCalc(C3049)</f>
        <v>1</v>
      </c>
      <c r="L3049" t="str" cm="1">
        <f t="array" ref="L3049">sentimentCategory(K3049)</f>
        <v>Positive</v>
      </c>
    </row>
    <row r="3050" spans="1:12" x14ac:dyDescent="0.25">
      <c r="A3050" t="s">
        <v>1413</v>
      </c>
      <c r="B3050" t="s">
        <v>1414</v>
      </c>
      <c r="C3050" t="str" cm="1">
        <f t="array" ref="C3050">CleanText(B3050)</f>
        <v>um filme q surpreendeu a muitos top</v>
      </c>
      <c r="D3050">
        <v>0</v>
      </c>
      <c r="E3050">
        <v>0</v>
      </c>
      <c r="F3050" t="s">
        <v>10</v>
      </c>
      <c r="G3050" t="str" cm="1">
        <f t="array" ref="G3050">FindCountryName(F3050)</f>
        <v>None</v>
      </c>
      <c r="H3050" s="3">
        <v>45233.43072916667</v>
      </c>
      <c r="I3050" s="3">
        <v>45233.43072916667</v>
      </c>
      <c r="J3050" s="3">
        <v>42691.436620370368</v>
      </c>
      <c r="K3050" cm="1">
        <f t="array" ref="K3050">sentimentCalc(C3050)</f>
        <v>2</v>
      </c>
      <c r="L3050" t="str" cm="1">
        <f t="array" ref="L3050">sentimentCategory(K3050)</f>
        <v>Positive</v>
      </c>
    </row>
    <row r="3051" spans="1:12" x14ac:dyDescent="0.25">
      <c r="A3051" t="s">
        <v>178</v>
      </c>
      <c r="B3051" t="s">
        <v>1451</v>
      </c>
      <c r="C3051" t="str" cm="1">
        <f t="array" ref="C3051">CleanText(B3051)</f>
        <v>um filme que entregou tudo muito divertido e entrente muito bem</v>
      </c>
      <c r="D3051">
        <v>6</v>
      </c>
      <c r="E3051">
        <v>0</v>
      </c>
      <c r="F3051" t="s">
        <v>10</v>
      </c>
      <c r="G3051" t="str" cm="1">
        <f t="array" ref="G3051">FindCountryName(F3051)</f>
        <v>None</v>
      </c>
      <c r="H3051" s="3">
        <v>45226.50577546296</v>
      </c>
      <c r="I3051" s="3">
        <v>45226.50577546296</v>
      </c>
      <c r="J3051" s="3">
        <v>41563.704456018517</v>
      </c>
      <c r="K3051" cm="1">
        <f t="array" ref="K3051">sentimentCalc(C3051)</f>
        <v>0</v>
      </c>
      <c r="L3051" t="str" cm="1">
        <f t="array" ref="L3051">sentimentCategory(K3051)</f>
        <v>Neutral</v>
      </c>
    </row>
    <row r="3052" spans="1:12" x14ac:dyDescent="0.25">
      <c r="A3052" t="s">
        <v>921</v>
      </c>
      <c r="B3052" t="s">
        <v>1709</v>
      </c>
      <c r="C3052" t="str" cm="1">
        <f t="array" ref="C3052">CleanText(B3052)</f>
        <v>um mundo cor de rosa da barbie muito legal</v>
      </c>
      <c r="D3052">
        <v>0</v>
      </c>
      <c r="E3052">
        <v>0</v>
      </c>
      <c r="F3052" t="s">
        <v>10</v>
      </c>
      <c r="G3052" t="str" cm="1">
        <f t="array" ref="G3052">FindCountryName(F3052)</f>
        <v>None</v>
      </c>
      <c r="H3052" s="3">
        <v>45200.537789351853</v>
      </c>
      <c r="I3052" s="3">
        <v>45200.537789351853</v>
      </c>
      <c r="J3052" s="3">
        <v>42874.354583333334</v>
      </c>
      <c r="K3052" cm="1">
        <f t="array" ref="K3052">sentimentCalc(C3052)</f>
        <v>1</v>
      </c>
      <c r="L3052" t="str" cm="1">
        <f t="array" ref="L3052">sentimentCategory(K3052)</f>
        <v>Positive</v>
      </c>
    </row>
    <row r="3053" spans="1:12" x14ac:dyDescent="0.25">
      <c r="A3053" t="s">
        <v>1035</v>
      </c>
      <c r="B3053" t="s">
        <v>1396</v>
      </c>
      <c r="C3053" t="str" cm="1">
        <f t="array" ref="C3053">CleanText(B3053)</f>
        <v>uma bela sacada da warner sucesso de bilheteria quem nunca teve uma barbie</v>
      </c>
      <c r="D3053">
        <v>0</v>
      </c>
      <c r="E3053">
        <v>0</v>
      </c>
      <c r="F3053" t="s">
        <v>10</v>
      </c>
      <c r="G3053" t="str" cm="1">
        <f t="array" ref="G3053">FindCountryName(F3053)</f>
        <v>None</v>
      </c>
      <c r="H3053" s="3">
        <v>45233.656643518516</v>
      </c>
      <c r="I3053" s="3">
        <v>45233.656643518516</v>
      </c>
      <c r="J3053" s="3">
        <v>43957.856562499997</v>
      </c>
      <c r="K3053" cm="1">
        <f t="array" ref="K3053">sentimentCalc(C3053)</f>
        <v>0</v>
      </c>
      <c r="L3053" t="str" cm="1">
        <f t="array" ref="L3053">sentimentCategory(K3053)</f>
        <v>Neutral</v>
      </c>
    </row>
    <row r="3054" spans="1:12" x14ac:dyDescent="0.25">
      <c r="A3054" t="s">
        <v>735</v>
      </c>
      <c r="B3054" t="s">
        <v>1310</v>
      </c>
      <c r="C3054" t="str" cm="1">
        <f t="array" ref="C3054">CleanText(B3054)</f>
        <v>uma histria incrvel atravs dela se passam muitos ensinamentos para a vida real sem contar que mostra o quanto a mulher  importante na sociedade</v>
      </c>
      <c r="D3054">
        <v>32</v>
      </c>
      <c r="E3054">
        <v>0</v>
      </c>
      <c r="F3054" t="s">
        <v>10</v>
      </c>
      <c r="G3054" t="str" cm="1">
        <f t="array" ref="G3054">FindCountryName(F3054)</f>
        <v>None</v>
      </c>
      <c r="H3054" s="3">
        <v>45249.323831018519</v>
      </c>
      <c r="I3054" s="3">
        <v>45249.323831018519</v>
      </c>
      <c r="J3054" s="3">
        <v>43068.423784722225</v>
      </c>
      <c r="K3054" cm="1">
        <f t="array" ref="K3054">sentimentCalc(C3054)</f>
        <v>0</v>
      </c>
      <c r="L3054" t="str" cm="1">
        <f t="array" ref="L3054">sentimentCategory(K3054)</f>
        <v>Neutral</v>
      </c>
    </row>
    <row r="3055" spans="1:12" x14ac:dyDescent="0.25">
      <c r="A3055" t="s">
        <v>195</v>
      </c>
      <c r="B3055" t="s">
        <v>384</v>
      </c>
      <c r="C3055" t="str" cm="1">
        <f t="array" ref="C3055">CleanText(B3055)</f>
        <v>unbelievable barbie is one of my favorite movies</v>
      </c>
      <c r="D3055">
        <v>0</v>
      </c>
      <c r="E3055">
        <v>0</v>
      </c>
      <c r="F3055" t="s">
        <v>10</v>
      </c>
      <c r="G3055" t="str" cm="1">
        <f t="array" ref="G3055">FindCountryName(F3055)</f>
        <v>None</v>
      </c>
      <c r="H3055" s="3">
        <v>45322.273356481484</v>
      </c>
      <c r="I3055" s="3">
        <v>45322.273356481484</v>
      </c>
      <c r="J3055" s="3">
        <v>43302.693888888891</v>
      </c>
      <c r="K3055" cm="1">
        <f t="array" ref="K3055">sentimentCalc(C3055)</f>
        <v>1</v>
      </c>
      <c r="L3055" t="str" cm="1">
        <f t="array" ref="L3055">sentimentCategory(K3055)</f>
        <v>Positive</v>
      </c>
    </row>
    <row r="3056" spans="1:12" x14ac:dyDescent="0.25">
      <c r="A3056" t="s">
        <v>817</v>
      </c>
      <c r="B3056" t="s">
        <v>818</v>
      </c>
      <c r="C3056" t="str" cm="1">
        <f t="array" ref="C3056">CleanText(B3056)</f>
        <v>underwhelming</v>
      </c>
      <c r="D3056">
        <v>1</v>
      </c>
      <c r="E3056">
        <v>0</v>
      </c>
      <c r="F3056" t="s">
        <v>10</v>
      </c>
      <c r="G3056" t="str" cm="1">
        <f t="array" ref="G3056">FindCountryName(F3056)</f>
        <v>None</v>
      </c>
      <c r="H3056" s="3">
        <v>45305.436354166668</v>
      </c>
      <c r="I3056" s="3">
        <v>45305.436354166668</v>
      </c>
      <c r="J3056" s="3">
        <v>44308.552430555559</v>
      </c>
      <c r="K3056" cm="1">
        <f t="array" ref="K3056">sentimentCalc(C3056)</f>
        <v>0</v>
      </c>
      <c r="L3056" t="str" cm="1">
        <f t="array" ref="L3056">sentimentCategory(K3056)</f>
        <v>Neutral</v>
      </c>
    </row>
    <row r="3057" spans="1:12" x14ac:dyDescent="0.25">
      <c r="A3057" t="s">
        <v>49</v>
      </c>
      <c r="B3057" t="s">
        <v>3831</v>
      </c>
      <c r="C3057" t="str" cm="1">
        <f t="array" ref="C3057">CleanText(B3057)</f>
        <v>une merde</v>
      </c>
      <c r="D3057">
        <v>0</v>
      </c>
      <c r="E3057">
        <v>0</v>
      </c>
      <c r="F3057" t="s">
        <v>10</v>
      </c>
      <c r="G3057" t="str" cm="1">
        <f t="array" ref="G3057">FindCountryName(F3057)</f>
        <v>None</v>
      </c>
      <c r="H3057" s="3">
        <v>45145.174502314818</v>
      </c>
      <c r="I3057" s="3">
        <v>45145.174502314818</v>
      </c>
      <c r="J3057" s="3">
        <v>45116.79991898148</v>
      </c>
      <c r="K3057" cm="1">
        <f t="array" ref="K3057">sentimentCalc(C3057)</f>
        <v>0</v>
      </c>
      <c r="L3057" t="str" cm="1">
        <f t="array" ref="L3057">sentimentCategory(K3057)</f>
        <v>Neutral</v>
      </c>
    </row>
    <row r="3058" spans="1:12" x14ac:dyDescent="0.25">
      <c r="A3058" t="s">
        <v>955</v>
      </c>
      <c r="B3058" t="s">
        <v>3662</v>
      </c>
      <c r="C3058" t="str" cm="1">
        <f t="array" ref="C3058">CleanText(B3058)</f>
        <v>unwatchable</v>
      </c>
      <c r="D3058">
        <v>0</v>
      </c>
      <c r="E3058">
        <v>0</v>
      </c>
      <c r="F3058" t="s">
        <v>10</v>
      </c>
      <c r="G3058" t="str" cm="1">
        <f t="array" ref="G3058">FindCountryName(F3058)</f>
        <v>None</v>
      </c>
      <c r="H3058" s="3">
        <v>45146.678912037038</v>
      </c>
      <c r="I3058" s="3">
        <v>45146.678912037038</v>
      </c>
      <c r="J3058" s="3">
        <v>44146.717638888891</v>
      </c>
      <c r="K3058" cm="1">
        <f t="array" ref="K3058">sentimentCalc(C3058)</f>
        <v>0</v>
      </c>
      <c r="L3058" t="str" cm="1">
        <f t="array" ref="L3058">sentimentCategory(K3058)</f>
        <v>Neutral</v>
      </c>
    </row>
    <row r="3059" spans="1:12" x14ac:dyDescent="0.25">
      <c r="A3059" t="s">
        <v>2225</v>
      </c>
      <c r="B3059" t="s">
        <v>2226</v>
      </c>
      <c r="C3059" t="str" cm="1">
        <f t="array" ref="C3059">CleanText(B3059)</f>
        <v>up next week and riadess no to the following information  and mikab and riadess and mikab to ritta and mikab to ritta and mikab to ritta and mikab to ritta and mikab to ritta and yuijan but only used kool  pppp</v>
      </c>
      <c r="D3059">
        <v>0</v>
      </c>
      <c r="E3059">
        <v>0</v>
      </c>
      <c r="F3059" t="s">
        <v>10</v>
      </c>
      <c r="G3059" t="str" cm="1">
        <f t="array" ref="G3059">FindCountryName(F3059)</f>
        <v>None</v>
      </c>
      <c r="H3059" s="3">
        <v>45175.37054398148</v>
      </c>
      <c r="I3059" s="3">
        <v>45175.370532407411</v>
      </c>
      <c r="J3059" s="3">
        <v>45136.303553240738</v>
      </c>
      <c r="K3059" cm="1">
        <f t="array" ref="K3059">sentimentCalc(C3059)</f>
        <v>-1</v>
      </c>
      <c r="L3059" t="str" cm="1">
        <f t="array" ref="L3059">sentimentCategory(K3059)</f>
        <v>Negative</v>
      </c>
    </row>
    <row r="3060" spans="1:12" x14ac:dyDescent="0.25">
      <c r="A3060" t="s">
        <v>3071</v>
      </c>
      <c r="B3060" t="s">
        <v>3082</v>
      </c>
      <c r="C3060" t="str" cm="1">
        <f t="array" ref="C3060">CleanText(B3060)</f>
        <v>useless movie ever</v>
      </c>
      <c r="D3060">
        <v>3</v>
      </c>
      <c r="E3060">
        <v>0</v>
      </c>
      <c r="F3060" t="s">
        <v>3083</v>
      </c>
      <c r="G3060" t="str" cm="1">
        <f t="array" ref="G3060">FindCountryName(F3060)</f>
        <v>Singapore</v>
      </c>
      <c r="H3060" s="3">
        <v>45153.63003472222</v>
      </c>
      <c r="I3060" s="3">
        <v>45153.63003472222</v>
      </c>
      <c r="J3060" s="3">
        <v>41098.002500000002</v>
      </c>
      <c r="K3060" cm="1">
        <f t="array" ref="K3060">sentimentCalc(C3060)</f>
        <v>-2</v>
      </c>
      <c r="L3060" t="str" cm="1">
        <f t="array" ref="L3060">sentimentCategory(K3060)</f>
        <v>Negative</v>
      </c>
    </row>
    <row r="3061" spans="1:12" x14ac:dyDescent="0.25">
      <c r="A3061" t="s">
        <v>3850</v>
      </c>
      <c r="B3061" t="s">
        <v>3851</v>
      </c>
      <c r="C3061" t="str" cm="1">
        <f t="array" ref="C3061">CleanText(B3061)</f>
        <v>useless movie waste of money dont watch this plsss</v>
      </c>
      <c r="D3061">
        <v>2</v>
      </c>
      <c r="E3061">
        <v>0</v>
      </c>
      <c r="F3061" t="s">
        <v>10</v>
      </c>
      <c r="G3061" t="str" cm="1">
        <f t="array" ref="G3061">FindCountryName(F3061)</f>
        <v>None</v>
      </c>
      <c r="H3061" s="3">
        <v>45145.02071759259</v>
      </c>
      <c r="I3061" s="3">
        <v>45145.02071759259</v>
      </c>
      <c r="J3061" s="3">
        <v>42778.65111111111</v>
      </c>
      <c r="K3061" cm="1">
        <f t="array" ref="K3061">sentimentCalc(C3061)</f>
        <v>-3</v>
      </c>
      <c r="L3061" t="str" cm="1">
        <f t="array" ref="L3061">sentimentCategory(K3061)</f>
        <v>Negative</v>
      </c>
    </row>
    <row r="3062" spans="1:12" x14ac:dyDescent="0.25">
      <c r="A3062" t="s">
        <v>345</v>
      </c>
      <c r="B3062" t="s">
        <v>3543</v>
      </c>
      <c r="C3062" t="str" cm="1">
        <f t="array" ref="C3062">CleanText(B3062)</f>
        <v>n</v>
      </c>
      <c r="D3062">
        <v>0</v>
      </c>
      <c r="E3062">
        <v>0</v>
      </c>
      <c r="F3062" t="s">
        <v>10</v>
      </c>
      <c r="G3062" t="str" cm="1">
        <f t="array" ref="G3062">FindCountryName(F3062)</f>
        <v>None</v>
      </c>
      <c r="H3062" s="3">
        <v>45147.667615740742</v>
      </c>
      <c r="I3062" s="3">
        <v>45147.667615740742</v>
      </c>
      <c r="J3062" s="3">
        <v>42336.175636574073</v>
      </c>
      <c r="K3062" cm="1">
        <f t="array" ref="K3062">sentimentCalc(C3062)</f>
        <v>0</v>
      </c>
      <c r="L3062" t="str" cm="1">
        <f t="array" ref="L3062">sentimentCategory(K3062)</f>
        <v>Neutral</v>
      </c>
    </row>
    <row r="3063" spans="1:12" x14ac:dyDescent="0.25">
      <c r="A3063" t="s">
        <v>70</v>
      </c>
      <c r="B3063" t="s">
        <v>1902</v>
      </c>
      <c r="C3063" t="str" cm="1">
        <f t="array" ref="C3063">CleanText(B3063)</f>
        <v>utter rubbish</v>
      </c>
      <c r="D3063">
        <v>3</v>
      </c>
      <c r="E3063">
        <v>0</v>
      </c>
      <c r="F3063" t="s">
        <v>10</v>
      </c>
      <c r="G3063" t="str" cm="1">
        <f t="array" ref="G3063">FindCountryName(F3063)</f>
        <v>None</v>
      </c>
      <c r="H3063" s="3">
        <v>45188.441307870373</v>
      </c>
      <c r="I3063" s="3">
        <v>45188.441307870373</v>
      </c>
      <c r="J3063" s="3">
        <v>44934.337812500002</v>
      </c>
      <c r="K3063" cm="1">
        <f t="array" ref="K3063">sentimentCalc(C3063)</f>
        <v>0</v>
      </c>
      <c r="L3063" t="str" cm="1">
        <f t="array" ref="L3063">sentimentCategory(K3063)</f>
        <v>Neutral</v>
      </c>
    </row>
    <row r="3064" spans="1:12" x14ac:dyDescent="0.25">
      <c r="A3064" t="s">
        <v>1505</v>
      </c>
      <c r="B3064" t="s">
        <v>1506</v>
      </c>
      <c r="C3064" t="str" cm="1">
        <f t="array" ref="C3064">CleanText(B3064)</f>
        <v>vale a pena assistir</v>
      </c>
      <c r="D3064">
        <v>0</v>
      </c>
      <c r="E3064">
        <v>0</v>
      </c>
      <c r="F3064" t="s">
        <v>10</v>
      </c>
      <c r="G3064" t="str" cm="1">
        <f t="array" ref="G3064">FindCountryName(F3064)</f>
        <v>None</v>
      </c>
      <c r="H3064" s="3">
        <v>45218.700706018521</v>
      </c>
      <c r="I3064" s="3">
        <v>45218.700706018521</v>
      </c>
      <c r="J3064" s="3">
        <v>45186.29896990741</v>
      </c>
      <c r="K3064" cm="1">
        <f t="array" ref="K3064">sentimentCalc(C3064)</f>
        <v>0</v>
      </c>
      <c r="L3064" t="str" cm="1">
        <f t="array" ref="L3064">sentimentCategory(K3064)</f>
        <v>Neutral</v>
      </c>
    </row>
    <row r="3065" spans="1:12" x14ac:dyDescent="0.25">
      <c r="A3065" t="s">
        <v>1516</v>
      </c>
      <c r="B3065" t="s">
        <v>1517</v>
      </c>
      <c r="C3065" t="str" cm="1">
        <f t="array" ref="C3065">CleanText(B3065)</f>
        <v>vamoooooos</v>
      </c>
      <c r="D3065">
        <v>1</v>
      </c>
      <c r="E3065">
        <v>0</v>
      </c>
      <c r="F3065" t="s">
        <v>10</v>
      </c>
      <c r="G3065" t="str" cm="1">
        <f t="array" ref="G3065">FindCountryName(F3065)</f>
        <v>None</v>
      </c>
      <c r="H3065" s="3">
        <v>45218.424317129633</v>
      </c>
      <c r="I3065" s="3">
        <v>45218.424317129633</v>
      </c>
      <c r="J3065" s="3">
        <v>45217.275127314817</v>
      </c>
      <c r="K3065" cm="1">
        <f t="array" ref="K3065">sentimentCalc(C3065)</f>
        <v>0</v>
      </c>
      <c r="L3065" t="str" cm="1">
        <f t="array" ref="L3065">sentimentCategory(K3065)</f>
        <v>Neutral</v>
      </c>
    </row>
    <row r="3066" spans="1:12" x14ac:dyDescent="0.25">
      <c r="A3066" t="s">
        <v>197</v>
      </c>
      <c r="B3066" t="s">
        <v>3396</v>
      </c>
      <c r="C3066" t="str" cm="1">
        <f t="array" ref="C3066">CleanText(B3066)</f>
        <v>verschrikkelijk slecht</v>
      </c>
      <c r="D3066">
        <v>0</v>
      </c>
      <c r="E3066">
        <v>0</v>
      </c>
      <c r="F3066" t="s">
        <v>10</v>
      </c>
      <c r="G3066" t="str" cm="1">
        <f t="array" ref="G3066">FindCountryName(F3066)</f>
        <v>None</v>
      </c>
      <c r="H3066" s="3">
        <v>45149.314398148148</v>
      </c>
      <c r="I3066" s="3">
        <v>45149.314398148148</v>
      </c>
      <c r="J3066" s="3">
        <v>42732.637465277781</v>
      </c>
      <c r="K3066" cm="1">
        <f t="array" ref="K3066">sentimentCalc(C3066)</f>
        <v>0</v>
      </c>
      <c r="L3066" t="str" cm="1">
        <f t="array" ref="L3066">sentimentCategory(K3066)</f>
        <v>Neutral</v>
      </c>
    </row>
    <row r="3067" spans="1:12" x14ac:dyDescent="0.25">
      <c r="A3067" t="s">
        <v>1831</v>
      </c>
      <c r="B3067" t="s">
        <v>1832</v>
      </c>
      <c r="C3067" t="str" cm="1">
        <f t="array" ref="C3067">CleanText(B3067)</f>
        <v>very bad movie waste of time</v>
      </c>
      <c r="D3067">
        <v>4</v>
      </c>
      <c r="E3067">
        <v>9</v>
      </c>
      <c r="F3067" t="s">
        <v>10</v>
      </c>
      <c r="G3067" t="str" cm="1">
        <f t="array" ref="G3067">FindCountryName(F3067)</f>
        <v>None</v>
      </c>
      <c r="H3067" s="3">
        <v>45191.976273148146</v>
      </c>
      <c r="I3067" s="3">
        <v>45191.976261574076</v>
      </c>
      <c r="J3067" s="3">
        <v>43605.310057870367</v>
      </c>
      <c r="K3067" cm="1">
        <f t="array" ref="K3067">sentimentCalc(C3067)</f>
        <v>-4</v>
      </c>
      <c r="L3067" t="str" cm="1">
        <f t="array" ref="L3067">sentimentCategory(K3067)</f>
        <v>Negative</v>
      </c>
    </row>
    <row r="3068" spans="1:12" x14ac:dyDescent="0.25">
      <c r="A3068" t="s">
        <v>192</v>
      </c>
      <c r="B3068" t="s">
        <v>547</v>
      </c>
      <c r="C3068" t="str" cm="1">
        <f t="array" ref="C3068">CleanText(B3068)</f>
        <v>very beautiful</v>
      </c>
      <c r="D3068">
        <v>0</v>
      </c>
      <c r="E3068">
        <v>0</v>
      </c>
      <c r="F3068" t="s">
        <v>10</v>
      </c>
      <c r="G3068" t="str" cm="1">
        <f t="array" ref="G3068">FindCountryName(F3068)</f>
        <v>None</v>
      </c>
      <c r="H3068" s="3">
        <v>45317.275648148148</v>
      </c>
      <c r="I3068" s="3">
        <v>45317.275648148148</v>
      </c>
      <c r="J3068" s="3">
        <v>45317.272037037037</v>
      </c>
      <c r="K3068" cm="1">
        <f t="array" ref="K3068">sentimentCalc(C3068)</f>
        <v>3</v>
      </c>
      <c r="L3068" t="str" cm="1">
        <f t="array" ref="L3068">sentimentCategory(K3068)</f>
        <v>Positive</v>
      </c>
    </row>
    <row r="3069" spans="1:12" x14ac:dyDescent="0.25">
      <c r="A3069" t="s">
        <v>36</v>
      </c>
      <c r="B3069" t="s">
        <v>464</v>
      </c>
      <c r="C3069" t="str" cm="1">
        <f t="array" ref="C3069">CleanText(B3069)</f>
        <v>very good</v>
      </c>
      <c r="D3069">
        <v>0</v>
      </c>
      <c r="E3069">
        <v>0</v>
      </c>
      <c r="F3069" t="s">
        <v>10</v>
      </c>
      <c r="G3069" t="str" cm="1">
        <f t="array" ref="G3069">FindCountryName(F3069)</f>
        <v>None</v>
      </c>
      <c r="H3069" s="3">
        <v>45322.271064814813</v>
      </c>
      <c r="I3069" s="3">
        <v>45322.271064814813</v>
      </c>
      <c r="J3069" s="3">
        <v>41894.765381944446</v>
      </c>
      <c r="K3069" cm="1">
        <f t="array" ref="K3069">sentimentCalc(C3069)</f>
        <v>3</v>
      </c>
      <c r="L3069" t="str" cm="1">
        <f t="array" ref="L3069">sentimentCategory(K3069)</f>
        <v>Positive</v>
      </c>
    </row>
    <row r="3070" spans="1:12" x14ac:dyDescent="0.25">
      <c r="A3070" t="s">
        <v>152</v>
      </c>
      <c r="B3070" t="s">
        <v>562</v>
      </c>
      <c r="C3070" t="str" cm="1">
        <f t="array" ref="C3070">CleanText(B3070)</f>
        <v>very good</v>
      </c>
      <c r="D3070">
        <v>0</v>
      </c>
      <c r="E3070">
        <v>0</v>
      </c>
      <c r="F3070" t="s">
        <v>10</v>
      </c>
      <c r="G3070" t="str" cm="1">
        <f t="array" ref="G3070">FindCountryName(F3070)</f>
        <v>None</v>
      </c>
      <c r="H3070" s="3">
        <v>45317.273761574077</v>
      </c>
      <c r="I3070" s="3">
        <v>45317.273761574077</v>
      </c>
      <c r="J3070" s="3">
        <v>43093.259629629632</v>
      </c>
      <c r="K3070" cm="1">
        <f t="array" ref="K3070">sentimentCalc(C3070)</f>
        <v>3</v>
      </c>
      <c r="L3070" t="str" cm="1">
        <f t="array" ref="L3070">sentimentCategory(K3070)</f>
        <v>Positive</v>
      </c>
    </row>
    <row r="3071" spans="1:12" x14ac:dyDescent="0.25">
      <c r="A3071" t="s">
        <v>197</v>
      </c>
      <c r="B3071" t="s">
        <v>2541</v>
      </c>
      <c r="C3071" t="str" cm="1">
        <f t="array" ref="C3071">CleanText(B3071)</f>
        <v>very good movie</v>
      </c>
      <c r="D3071">
        <v>3</v>
      </c>
      <c r="E3071">
        <v>0</v>
      </c>
      <c r="F3071" t="s">
        <v>10</v>
      </c>
      <c r="G3071" t="str" cm="1">
        <f t="array" ref="G3071">FindCountryName(F3071)</f>
        <v>None</v>
      </c>
      <c r="H3071" s="3">
        <v>45163.849618055552</v>
      </c>
      <c r="I3071" s="3">
        <v>45163.849618055552</v>
      </c>
      <c r="J3071" s="3">
        <v>43926.988692129627</v>
      </c>
      <c r="K3071" cm="1">
        <f t="array" ref="K3071">sentimentCalc(C3071)</f>
        <v>3</v>
      </c>
      <c r="L3071" t="str" cm="1">
        <f t="array" ref="L3071">sentimentCategory(K3071)</f>
        <v>Positive</v>
      </c>
    </row>
    <row r="3072" spans="1:12" x14ac:dyDescent="0.25">
      <c r="A3072" t="s">
        <v>407</v>
      </c>
      <c r="B3072" t="s">
        <v>408</v>
      </c>
      <c r="C3072" t="str" cm="1">
        <f t="array" ref="C3072">CleanText(B3072)</f>
        <v>very goodd</v>
      </c>
      <c r="D3072">
        <v>0</v>
      </c>
      <c r="E3072">
        <v>0</v>
      </c>
      <c r="F3072" t="s">
        <v>139</v>
      </c>
      <c r="G3072" t="str" cm="1">
        <f t="array" ref="G3072">FindCountryName(F3072)</f>
        <v>Turkey</v>
      </c>
      <c r="H3072" s="3">
        <v>45322.272488425922</v>
      </c>
      <c r="I3072" s="3">
        <v>45322.272488425922</v>
      </c>
      <c r="J3072" s="3">
        <v>43488.562430555554</v>
      </c>
      <c r="K3072" cm="1">
        <f t="array" ref="K3072">sentimentCalc(C3072)</f>
        <v>0</v>
      </c>
      <c r="L3072" t="str" cm="1">
        <f t="array" ref="L3072">sentimentCategory(K3072)</f>
        <v>Neutral</v>
      </c>
    </row>
    <row r="3073" spans="1:12" x14ac:dyDescent="0.25">
      <c r="A3073" t="s">
        <v>830</v>
      </c>
      <c r="B3073" t="s">
        <v>983</v>
      </c>
      <c r="C3073" t="str" cm="1">
        <f t="array" ref="C3073">CleanText(B3073)</f>
        <v>very great film i liler very much</v>
      </c>
      <c r="D3073">
        <v>0</v>
      </c>
      <c r="E3073">
        <v>0</v>
      </c>
      <c r="F3073" t="s">
        <v>10</v>
      </c>
      <c r="G3073" t="str" cm="1">
        <f t="array" ref="G3073">FindCountryName(F3073)</f>
        <v>None</v>
      </c>
      <c r="H3073" s="3">
        <v>45299.253449074073</v>
      </c>
      <c r="I3073" s="3">
        <v>45299.253449074073</v>
      </c>
      <c r="J3073" s="3">
        <v>43289.811724537038</v>
      </c>
      <c r="K3073" cm="1">
        <f t="array" ref="K3073">sentimentCalc(C3073)</f>
        <v>3</v>
      </c>
      <c r="L3073" t="str" cm="1">
        <f t="array" ref="L3073">sentimentCategory(K3073)</f>
        <v>Positive</v>
      </c>
    </row>
    <row r="3074" spans="1:12" x14ac:dyDescent="0.25">
      <c r="A3074" t="s">
        <v>36</v>
      </c>
      <c r="B3074" t="s">
        <v>584</v>
      </c>
      <c r="C3074" t="str" cm="1">
        <f t="array" ref="C3074">CleanText(B3074)</f>
        <v>very nice</v>
      </c>
      <c r="D3074">
        <v>0</v>
      </c>
      <c r="E3074">
        <v>0</v>
      </c>
      <c r="F3074" t="s">
        <v>139</v>
      </c>
      <c r="G3074" t="str" cm="1">
        <f t="array" ref="G3074">FindCountryName(F3074)</f>
        <v>Turkey</v>
      </c>
      <c r="H3074" s="3">
        <v>45317.272256944445</v>
      </c>
      <c r="I3074" s="3">
        <v>45317.272256944445</v>
      </c>
      <c r="J3074" s="3">
        <v>44412.681192129632</v>
      </c>
      <c r="K3074" cm="1">
        <f t="array" ref="K3074">sentimentCalc(C3074)</f>
        <v>3</v>
      </c>
      <c r="L3074" t="str" cm="1">
        <f t="array" ref="L3074">sentimentCategory(K3074)</f>
        <v>Positive</v>
      </c>
    </row>
    <row r="3075" spans="1:12" x14ac:dyDescent="0.25">
      <c r="A3075" t="s">
        <v>302</v>
      </c>
      <c r="B3075" t="s">
        <v>303</v>
      </c>
      <c r="C3075" t="str" cm="1">
        <f t="array" ref="C3075">CleanText(B3075)</f>
        <v>very nice</v>
      </c>
      <c r="D3075">
        <v>0</v>
      </c>
      <c r="E3075">
        <v>0</v>
      </c>
      <c r="F3075" t="s">
        <v>10</v>
      </c>
      <c r="G3075" t="str" cm="1">
        <f t="array" ref="G3075">FindCountryName(F3075)</f>
        <v>None</v>
      </c>
      <c r="H3075" s="3">
        <v>45322.36917824074</v>
      </c>
      <c r="I3075" s="3">
        <v>45322.36917824074</v>
      </c>
      <c r="J3075" s="3">
        <v>44933.819710648146</v>
      </c>
      <c r="K3075" cm="1">
        <f t="array" ref="K3075">sentimentCalc(C3075)</f>
        <v>3</v>
      </c>
      <c r="L3075" t="str" cm="1">
        <f t="array" ref="L3075">sentimentCategory(K3075)</f>
        <v>Positive</v>
      </c>
    </row>
    <row r="3076" spans="1:12" x14ac:dyDescent="0.25">
      <c r="A3076" t="s">
        <v>523</v>
      </c>
      <c r="B3076" t="s">
        <v>637</v>
      </c>
      <c r="C3076" t="str" cm="1">
        <f t="array" ref="C3076">CleanText(B3076)</f>
        <v>very nice</v>
      </c>
      <c r="D3076">
        <v>2</v>
      </c>
      <c r="E3076">
        <v>0</v>
      </c>
      <c r="F3076" t="s">
        <v>10</v>
      </c>
      <c r="G3076" t="str" cm="1">
        <f t="array" ref="G3076">FindCountryName(F3076)</f>
        <v>None</v>
      </c>
      <c r="H3076" s="3">
        <v>45314.433148148149</v>
      </c>
      <c r="I3076" s="3">
        <v>45314.433148148149</v>
      </c>
      <c r="J3076" s="3">
        <v>45233.388611111113</v>
      </c>
      <c r="K3076" cm="1">
        <f t="array" ref="K3076">sentimentCalc(C3076)</f>
        <v>3</v>
      </c>
      <c r="L3076" t="str" cm="1">
        <f t="array" ref="L3076">sentimentCategory(K3076)</f>
        <v>Positive</v>
      </c>
    </row>
    <row r="3077" spans="1:12" x14ac:dyDescent="0.25">
      <c r="A3077" t="s">
        <v>871</v>
      </c>
      <c r="B3077" t="s">
        <v>4144</v>
      </c>
      <c r="C3077" t="str" cm="1">
        <f t="array" ref="C3077">CleanText(B3077)</f>
        <v>very noisy movie btw</v>
      </c>
      <c r="D3077">
        <v>0</v>
      </c>
      <c r="E3077">
        <v>0</v>
      </c>
      <c r="F3077" t="s">
        <v>10</v>
      </c>
      <c r="G3077" t="str" cm="1">
        <f t="array" ref="G3077">FindCountryName(F3077)</f>
        <v>None</v>
      </c>
      <c r="H3077" s="3">
        <v>45142.566620370373</v>
      </c>
      <c r="I3077" s="3">
        <v>45142.566620370373</v>
      </c>
      <c r="J3077" s="3">
        <v>42543.159143518518</v>
      </c>
      <c r="K3077" cm="1">
        <f t="array" ref="K3077">sentimentCalc(C3077)</f>
        <v>-1</v>
      </c>
      <c r="L3077" t="str" cm="1">
        <f t="array" ref="L3077">sentimentCategory(K3077)</f>
        <v>Negative</v>
      </c>
    </row>
    <row r="3078" spans="1:12" x14ac:dyDescent="0.25">
      <c r="A3078" t="s">
        <v>120</v>
      </c>
      <c r="B3078" t="s">
        <v>321</v>
      </c>
      <c r="C3078" t="str" cm="1">
        <f t="array" ref="C3078">CleanText(B3078)</f>
        <v>very perfect</v>
      </c>
      <c r="D3078">
        <v>0</v>
      </c>
      <c r="E3078">
        <v>0</v>
      </c>
      <c r="F3078" t="s">
        <v>10</v>
      </c>
      <c r="G3078" t="str" cm="1">
        <f t="array" ref="G3078">FindCountryName(F3078)</f>
        <v>None</v>
      </c>
      <c r="H3078" s="3">
        <v>45322.309884259259</v>
      </c>
      <c r="I3078" s="3">
        <v>45322.309884259259</v>
      </c>
      <c r="J3078" s="3">
        <v>45322.309872685182</v>
      </c>
      <c r="K3078" cm="1">
        <f t="array" ref="K3078">sentimentCalc(C3078)</f>
        <v>3</v>
      </c>
      <c r="L3078" t="str" cm="1">
        <f t="array" ref="L3078">sentimentCategory(K3078)</f>
        <v>Positive</v>
      </c>
    </row>
    <row r="3079" spans="1:12" x14ac:dyDescent="0.25">
      <c r="A3079" t="s">
        <v>543</v>
      </c>
      <c r="B3079" t="s">
        <v>563</v>
      </c>
      <c r="C3079" t="str" cm="1">
        <f t="array" ref="C3079">CleanText(B3079)</f>
        <v>very so much beautiful movie</v>
      </c>
      <c r="D3079">
        <v>0</v>
      </c>
      <c r="E3079">
        <v>0</v>
      </c>
      <c r="F3079" t="s">
        <v>10</v>
      </c>
      <c r="G3079" t="str" cm="1">
        <f t="array" ref="G3079">FindCountryName(F3079)</f>
        <v>None</v>
      </c>
      <c r="H3079" s="3">
        <v>45317.273287037038</v>
      </c>
      <c r="I3079" s="3">
        <v>45317.273287037038</v>
      </c>
      <c r="J3079" s="3">
        <v>43804.647777777776</v>
      </c>
      <c r="K3079" cm="1">
        <f t="array" ref="K3079">sentimentCalc(C3079)</f>
        <v>3</v>
      </c>
      <c r="L3079" t="str" cm="1">
        <f t="array" ref="L3079">sentimentCategory(K3079)</f>
        <v>Positive</v>
      </c>
    </row>
    <row r="3080" spans="1:12" x14ac:dyDescent="0.25">
      <c r="A3080" t="s">
        <v>105</v>
      </c>
      <c r="B3080" t="s">
        <v>669</v>
      </c>
      <c r="C3080" t="str" cm="1">
        <f t="array" ref="C3080">CleanText(B3080)</f>
        <v>very very good</v>
      </c>
      <c r="D3080">
        <v>0</v>
      </c>
      <c r="E3080">
        <v>0</v>
      </c>
      <c r="F3080" t="s">
        <v>10</v>
      </c>
      <c r="G3080" t="str" cm="1">
        <f t="array" ref="G3080">FindCountryName(F3080)</f>
        <v>None</v>
      </c>
      <c r="H3080" s="3">
        <v>45314.272905092592</v>
      </c>
      <c r="I3080" s="3">
        <v>45314.272905092592</v>
      </c>
      <c r="J3080" s="3">
        <v>45314.255104166667</v>
      </c>
      <c r="K3080" cm="1">
        <f t="array" ref="K3080">sentimentCalc(C3080)</f>
        <v>3</v>
      </c>
      <c r="L3080" t="str" cm="1">
        <f t="array" ref="L3080">sentimentCategory(K3080)</f>
        <v>Positive</v>
      </c>
    </row>
    <row r="3081" spans="1:12" x14ac:dyDescent="0.25">
      <c r="A3081" t="s">
        <v>105</v>
      </c>
      <c r="B3081" t="s">
        <v>663</v>
      </c>
      <c r="C3081" t="str" cm="1">
        <f t="array" ref="C3081">CleanText(B3081)</f>
        <v>very very good izlemeye deer ekip iyi</v>
      </c>
      <c r="D3081">
        <v>0</v>
      </c>
      <c r="E3081">
        <v>0</v>
      </c>
      <c r="F3081" t="s">
        <v>10</v>
      </c>
      <c r="G3081" t="str" cm="1">
        <f t="array" ref="G3081">FindCountryName(F3081)</f>
        <v>None</v>
      </c>
      <c r="H3081" s="3">
        <v>45314.274097222224</v>
      </c>
      <c r="I3081" s="3">
        <v>45314.274097222224</v>
      </c>
      <c r="J3081" s="3">
        <v>45314.255104166667</v>
      </c>
      <c r="K3081" cm="1">
        <f t="array" ref="K3081">sentimentCalc(C3081)</f>
        <v>3</v>
      </c>
      <c r="L3081" t="str" cm="1">
        <f t="array" ref="L3081">sentimentCategory(K3081)</f>
        <v>Positive</v>
      </c>
    </row>
    <row r="3082" spans="1:12" x14ac:dyDescent="0.25">
      <c r="A3082" t="s">
        <v>1488</v>
      </c>
      <c r="B3082" t="s">
        <v>1489</v>
      </c>
      <c r="C3082" t="str" cm="1">
        <f t="array" ref="C3082">CleanText(B3082)</f>
        <v>veryyy stupid movie</v>
      </c>
      <c r="D3082">
        <v>1</v>
      </c>
      <c r="E3082">
        <v>2</v>
      </c>
      <c r="F3082" t="s">
        <v>10</v>
      </c>
      <c r="G3082" t="str" cm="1">
        <f t="array" ref="G3082">FindCountryName(F3082)</f>
        <v>None</v>
      </c>
      <c r="H3082" s="3">
        <v>45220.89638888889</v>
      </c>
      <c r="I3082" s="3">
        <v>45220.89638888889</v>
      </c>
      <c r="J3082" s="3">
        <v>44989.774606481478</v>
      </c>
      <c r="K3082" cm="1">
        <f t="array" ref="K3082">sentimentCalc(C3082)</f>
        <v>-2</v>
      </c>
      <c r="L3082" t="str" cm="1">
        <f t="array" ref="L3082">sentimentCategory(K3082)</f>
        <v>Negative</v>
      </c>
    </row>
    <row r="3083" spans="1:12" x14ac:dyDescent="0.25">
      <c r="A3083" t="s">
        <v>143</v>
      </c>
      <c r="B3083" t="s">
        <v>3800</v>
      </c>
      <c r="C3083" t="str" cm="1">
        <f t="array" ref="C3083">CleanText(B3083)</f>
        <v>vietnam and the philippines have canceled screenings of barbiebarbie movie with a map of the south china sea claimed by chinachina claims sovereignty over the south china sea but international law recognizes sovereignty over vietnam and the philippinesthe hague court of arbitration has ruled that chinas unilateral territorial sea claims are groundless under international laweven in japan barbie made fun of the atomic bombings of hiroshima and nagasakia petition to stop screenings of barbie dolls is gaining momentum</v>
      </c>
      <c r="D3083">
        <v>1</v>
      </c>
      <c r="E3083">
        <v>1</v>
      </c>
      <c r="F3083" t="s">
        <v>10</v>
      </c>
      <c r="G3083" t="str" cm="1">
        <f t="array" ref="G3083">FindCountryName(F3083)</f>
        <v>None</v>
      </c>
      <c r="H3083" s="3">
        <v>45145.395127314812</v>
      </c>
      <c r="I3083" s="3">
        <v>45145.395127314812</v>
      </c>
      <c r="J3083" s="3">
        <v>45123.860150462962</v>
      </c>
      <c r="K3083" cm="1">
        <f t="array" ref="K3083">sentimentCalc(C3083)</f>
        <v>5</v>
      </c>
      <c r="L3083" t="str" cm="1">
        <f t="array" ref="L3083">sentimentCategory(K3083)</f>
        <v>Positive</v>
      </c>
    </row>
    <row r="3084" spans="1:12" x14ac:dyDescent="0.25">
      <c r="A3084" t="s">
        <v>1857</v>
      </c>
      <c r="B3084" t="s">
        <v>3172</v>
      </c>
      <c r="C3084" t="str" cm="1">
        <f t="array" ref="C3084">CleanText(B3084)</f>
        <v>virga</v>
      </c>
      <c r="D3084">
        <v>0</v>
      </c>
      <c r="E3084">
        <v>0</v>
      </c>
      <c r="F3084" t="s">
        <v>10</v>
      </c>
      <c r="G3084" t="str" cm="1">
        <f t="array" ref="G3084">FindCountryName(F3084)</f>
        <v>None</v>
      </c>
      <c r="H3084" s="3">
        <v>45152.433912037035</v>
      </c>
      <c r="I3084" s="3">
        <v>45152.433912037035</v>
      </c>
      <c r="J3084" s="3">
        <v>42258.618379629632</v>
      </c>
      <c r="K3084" cm="1">
        <f t="array" ref="K3084">sentimentCalc(C3084)</f>
        <v>0</v>
      </c>
      <c r="L3084" t="str" cm="1">
        <f t="array" ref="L3084">sentimentCategory(K3084)</f>
        <v>Neutral</v>
      </c>
    </row>
    <row r="3085" spans="1:12" x14ac:dyDescent="0.25">
      <c r="A3085" t="s">
        <v>322</v>
      </c>
      <c r="B3085" t="s">
        <v>3770</v>
      </c>
      <c r="C3085" t="str" cm="1">
        <f t="array" ref="C3085">CleanText(B3085)</f>
        <v>vous tes virale</v>
      </c>
      <c r="D3085">
        <v>0</v>
      </c>
      <c r="E3085">
        <v>0</v>
      </c>
      <c r="F3085" t="s">
        <v>10</v>
      </c>
      <c r="G3085" t="str" cm="1">
        <f t="array" ref="G3085">FindCountryName(F3085)</f>
        <v>None</v>
      </c>
      <c r="H3085" s="3">
        <v>45145.609467592592</v>
      </c>
      <c r="I3085" s="3">
        <v>45145.609467592592</v>
      </c>
      <c r="J3085" s="3">
        <v>40716.43959490741</v>
      </c>
      <c r="K3085" cm="1">
        <f t="array" ref="K3085">sentimentCalc(C3085)</f>
        <v>0</v>
      </c>
      <c r="L3085" t="str" cm="1">
        <f t="array" ref="L3085">sentimentCategory(K3085)</f>
        <v>Neutral</v>
      </c>
    </row>
    <row r="3086" spans="1:12" x14ac:dyDescent="0.25">
      <c r="A3086" t="s">
        <v>3945</v>
      </c>
      <c r="B3086" t="s">
        <v>3946</v>
      </c>
      <c r="C3086" t="str" cm="1">
        <f t="array" ref="C3086">CleanText(B3086)</f>
        <v>vw festival brought me here lol</v>
      </c>
      <c r="D3086">
        <v>0</v>
      </c>
      <c r="E3086">
        <v>0</v>
      </c>
      <c r="F3086" t="s">
        <v>10</v>
      </c>
      <c r="G3086" t="str" cm="1">
        <f t="array" ref="G3086">FindCountryName(F3086)</f>
        <v>None</v>
      </c>
      <c r="H3086" s="3">
        <v>45144.330196759256</v>
      </c>
      <c r="I3086" s="3">
        <v>45144.330196759256</v>
      </c>
      <c r="J3086" s="3">
        <v>39484.168333333335</v>
      </c>
      <c r="K3086" cm="1">
        <f t="array" ref="K3086">sentimentCalc(C3086)</f>
        <v>0</v>
      </c>
      <c r="L3086" t="str" cm="1">
        <f t="array" ref="L3086">sentimentCategory(K3086)</f>
        <v>Neutral</v>
      </c>
    </row>
    <row r="3087" spans="1:12" x14ac:dyDescent="0.25">
      <c r="A3087" t="s">
        <v>1634</v>
      </c>
      <c r="B3087" t="s">
        <v>3465</v>
      </c>
      <c r="C3087" t="str" cm="1">
        <f t="array" ref="C3087">CleanText(B3087)</f>
        <v>w lebanon  kuwait</v>
      </c>
      <c r="D3087">
        <v>1</v>
      </c>
      <c r="E3087">
        <v>0</v>
      </c>
      <c r="F3087" t="s">
        <v>272</v>
      </c>
      <c r="G3087" t="str" cm="1">
        <f t="array" ref="G3087">FindCountryName(F3087)</f>
        <v>Italy</v>
      </c>
      <c r="H3087" s="3">
        <v>45148.589212962965</v>
      </c>
      <c r="I3087" s="3">
        <v>45148.589201388888</v>
      </c>
      <c r="J3087" s="3">
        <v>40068.485752314817</v>
      </c>
      <c r="K3087" cm="1">
        <f t="array" ref="K3087">sentimentCalc(C3087)</f>
        <v>0</v>
      </c>
      <c r="L3087" t="str" cm="1">
        <f t="array" ref="L3087">sentimentCategory(K3087)</f>
        <v>Neutral</v>
      </c>
    </row>
    <row r="3088" spans="1:12" x14ac:dyDescent="0.25">
      <c r="A3088" t="s">
        <v>2078</v>
      </c>
      <c r="B3088" t="s">
        <v>4387</v>
      </c>
      <c r="C3088" t="str" cm="1">
        <f t="array" ref="C3088">CleanText(B3088)</f>
        <v>wait they are doing all white roots movie</v>
      </c>
      <c r="D3088">
        <v>3</v>
      </c>
      <c r="E3088">
        <v>1</v>
      </c>
      <c r="F3088" t="s">
        <v>10</v>
      </c>
      <c r="G3088" t="str" cm="1">
        <f t="array" ref="G3088">FindCountryName(F3088)</f>
        <v>None</v>
      </c>
      <c r="H3088" s="3">
        <v>45140.508206018516</v>
      </c>
      <c r="I3088" s="3">
        <v>45140.508206018516</v>
      </c>
      <c r="J3088" s="3">
        <v>40353.926435185182</v>
      </c>
      <c r="K3088" cm="1">
        <f t="array" ref="K3088">sentimentCalc(C3088)</f>
        <v>0</v>
      </c>
      <c r="L3088" t="str" cm="1">
        <f t="array" ref="L3088">sentimentCategory(K3088)</f>
        <v>Neutral</v>
      </c>
    </row>
    <row r="3089" spans="1:12" x14ac:dyDescent="0.25">
      <c r="A3089" t="s">
        <v>322</v>
      </c>
      <c r="B3089" t="s">
        <v>1833</v>
      </c>
      <c r="C3089" t="str" cm="1">
        <f t="array" ref="C3089">CleanText(B3089)</f>
        <v>wait isnt barbie supposed to be like  margot looks like she at least  i mean she looks good for ish but still</v>
      </c>
      <c r="D3089">
        <v>1</v>
      </c>
      <c r="E3089">
        <v>7</v>
      </c>
      <c r="F3089" t="s">
        <v>10</v>
      </c>
      <c r="G3089" t="str" cm="1">
        <f t="array" ref="G3089">FindCountryName(F3089)</f>
        <v>None</v>
      </c>
      <c r="H3089" s="3">
        <v>45191.97283564815</v>
      </c>
      <c r="I3089" s="3">
        <v>45191.973587962966</v>
      </c>
      <c r="J3089" s="3">
        <v>42798.170856481483</v>
      </c>
      <c r="K3089" cm="1">
        <f t="array" ref="K3089">sentimentCalc(C3089)</f>
        <v>7</v>
      </c>
      <c r="L3089" t="str" cm="1">
        <f t="array" ref="L3089">sentimentCategory(K3089)</f>
        <v>Positive</v>
      </c>
    </row>
    <row r="3090" spans="1:12" x14ac:dyDescent="0.25">
      <c r="A3090" t="s">
        <v>3315</v>
      </c>
      <c r="B3090" t="s">
        <v>3316</v>
      </c>
      <c r="C3090" t="str" cm="1">
        <f t="array" ref="C3090">CleanText(B3090)</f>
        <v>waiting for it</v>
      </c>
      <c r="D3090">
        <v>3</v>
      </c>
      <c r="E3090">
        <v>0</v>
      </c>
      <c r="F3090" t="s">
        <v>10</v>
      </c>
      <c r="G3090" t="str" cm="1">
        <f t="array" ref="G3090">FindCountryName(F3090)</f>
        <v>None</v>
      </c>
      <c r="H3090" s="3">
        <v>45150.419317129628</v>
      </c>
      <c r="I3090" s="3">
        <v>45150.419317129628</v>
      </c>
      <c r="J3090" s="3">
        <v>43388.132731481484</v>
      </c>
      <c r="K3090" cm="1">
        <f t="array" ref="K3090">sentimentCalc(C3090)</f>
        <v>0</v>
      </c>
      <c r="L3090" t="str" cm="1">
        <f t="array" ref="L3090">sentimentCategory(K3090)</f>
        <v>Neutral</v>
      </c>
    </row>
    <row r="3091" spans="1:12" x14ac:dyDescent="0.25">
      <c r="A3091" t="s">
        <v>347</v>
      </c>
      <c r="B3091" t="s">
        <v>1004</v>
      </c>
      <c r="C3091" t="str" cm="1">
        <f t="array" ref="C3091">CleanText(B3091)</f>
        <v>wanderfulll</v>
      </c>
      <c r="D3091">
        <v>0</v>
      </c>
      <c r="E3091">
        <v>0</v>
      </c>
      <c r="F3091" t="s">
        <v>10</v>
      </c>
      <c r="G3091" t="str" cm="1">
        <f t="array" ref="G3091">FindCountryName(F3091)</f>
        <v>None</v>
      </c>
      <c r="H3091" s="3">
        <v>45299.252175925925</v>
      </c>
      <c r="I3091" s="3">
        <v>45299.252175925925</v>
      </c>
      <c r="J3091" s="3">
        <v>45299.252141203702</v>
      </c>
      <c r="K3091" cm="1">
        <f t="array" ref="K3091">sentimentCalc(C3091)</f>
        <v>0</v>
      </c>
      <c r="L3091" t="str" cm="1">
        <f t="array" ref="L3091">sentimentCategory(K3091)</f>
        <v>Neutral</v>
      </c>
    </row>
    <row r="3092" spans="1:12" x14ac:dyDescent="0.25">
      <c r="A3092" t="s">
        <v>720</v>
      </c>
      <c r="B3092" t="s">
        <v>2652</v>
      </c>
      <c r="C3092" t="str" cm="1">
        <f t="array" ref="C3092">CleanText(B3092)</f>
        <v>war nix besonderes</v>
      </c>
      <c r="D3092">
        <v>0</v>
      </c>
      <c r="E3092">
        <v>0</v>
      </c>
      <c r="F3092" t="s">
        <v>10</v>
      </c>
      <c r="G3092" t="str" cm="1">
        <f t="array" ref="G3092">FindCountryName(F3092)</f>
        <v>None</v>
      </c>
      <c r="H3092" s="3">
        <v>45160.712500000001</v>
      </c>
      <c r="I3092" s="3">
        <v>45160.712500000001</v>
      </c>
      <c r="J3092" s="3">
        <v>42390.053935185184</v>
      </c>
      <c r="K3092" cm="1">
        <f t="array" ref="K3092">sentimentCalc(C3092)</f>
        <v>-2</v>
      </c>
      <c r="L3092" t="str" cm="1">
        <f t="array" ref="L3092">sentimentCategory(K3092)</f>
        <v>Negative</v>
      </c>
    </row>
    <row r="3093" spans="1:12" x14ac:dyDescent="0.25">
      <c r="A3093" t="s">
        <v>447</v>
      </c>
      <c r="B3093" t="s">
        <v>1900</v>
      </c>
      <c r="C3093" t="str" cm="1">
        <f t="array" ref="C3093">CleanText(B3093)</f>
        <v>warner bros animation</v>
      </c>
      <c r="D3093">
        <v>0</v>
      </c>
      <c r="E3093">
        <v>0</v>
      </c>
      <c r="F3093" t="s">
        <v>10</v>
      </c>
      <c r="G3093" t="str" cm="1">
        <f t="array" ref="G3093">FindCountryName(F3093)</f>
        <v>None</v>
      </c>
      <c r="H3093" s="3">
        <v>45188.515590277777</v>
      </c>
      <c r="I3093" s="3">
        <v>45188.515590277777</v>
      </c>
      <c r="J3093" s="3">
        <v>44204.114120370374</v>
      </c>
      <c r="K3093" cm="1">
        <f t="array" ref="K3093">sentimentCalc(C3093)</f>
        <v>0</v>
      </c>
      <c r="L3093" t="str" cm="1">
        <f t="array" ref="L3093">sentimentCategory(K3093)</f>
        <v>Neutral</v>
      </c>
    </row>
    <row r="3094" spans="1:12" x14ac:dyDescent="0.25">
      <c r="A3094" t="s">
        <v>2531</v>
      </c>
      <c r="B3094" t="s">
        <v>2532</v>
      </c>
      <c r="C3094" t="str" cm="1">
        <f t="array" ref="C3094">CleanText(B3094)</f>
        <v>warner bros why didnt you add the fifty fifty barbie dreams song its so addictive i pive that songgg</v>
      </c>
      <c r="D3094">
        <v>0</v>
      </c>
      <c r="E3094">
        <v>0</v>
      </c>
      <c r="F3094" t="s">
        <v>10</v>
      </c>
      <c r="G3094" t="str" cm="1">
        <f t="array" ref="G3094">FindCountryName(F3094)</f>
        <v>None</v>
      </c>
      <c r="H3094" s="3">
        <v>45164.147303240738</v>
      </c>
      <c r="I3094" s="3">
        <v>45164.147303240738</v>
      </c>
      <c r="J3094" s="3">
        <v>44777.466898148145</v>
      </c>
      <c r="K3094" cm="1">
        <f t="array" ref="K3094">sentimentCalc(C3094)</f>
        <v>1</v>
      </c>
      <c r="L3094" t="str" cm="1">
        <f t="array" ref="L3094">sentimentCategory(K3094)</f>
        <v>Positive</v>
      </c>
    </row>
    <row r="3095" spans="1:12" x14ac:dyDescent="0.25">
      <c r="A3095" t="s">
        <v>817</v>
      </c>
      <c r="B3095" t="s">
        <v>3910</v>
      </c>
      <c r="C3095" t="str" cm="1">
        <f t="array" ref="C3095">CleanText(B3095)</f>
        <v>was anyone expecting britney to show up in it like hey barbie im a britney doll lol imagine</v>
      </c>
      <c r="D3095">
        <v>0</v>
      </c>
      <c r="E3095">
        <v>0</v>
      </c>
      <c r="F3095" t="s">
        <v>10</v>
      </c>
      <c r="G3095" t="str" cm="1">
        <f t="array" ref="G3095">FindCountryName(F3095)</f>
        <v>None</v>
      </c>
      <c r="H3095" s="3">
        <v>45144.590636574074</v>
      </c>
      <c r="I3095" s="3">
        <v>45144.590636574074</v>
      </c>
      <c r="J3095" s="3">
        <v>42266.348564814813</v>
      </c>
      <c r="K3095" cm="1">
        <f t="array" ref="K3095">sentimentCalc(C3095)</f>
        <v>2</v>
      </c>
      <c r="L3095" t="str" cm="1">
        <f t="array" ref="L3095">sentimentCategory(K3095)</f>
        <v>Positive</v>
      </c>
    </row>
    <row r="3096" spans="1:12" x14ac:dyDescent="0.25">
      <c r="A3096" t="s">
        <v>103</v>
      </c>
      <c r="B3096" t="s">
        <v>1253</v>
      </c>
      <c r="C3096" t="str" cm="1">
        <f t="array" ref="C3096">CleanText(B3096)</f>
        <v>was good</v>
      </c>
      <c r="D3096">
        <v>0</v>
      </c>
      <c r="E3096">
        <v>0</v>
      </c>
      <c r="F3096" t="s">
        <v>10</v>
      </c>
      <c r="G3096" t="str" cm="1">
        <f t="array" ref="G3096">FindCountryName(F3096)</f>
        <v>None</v>
      </c>
      <c r="H3096" s="3">
        <v>45268.377337962964</v>
      </c>
      <c r="I3096" s="3">
        <v>45268.377337962964</v>
      </c>
      <c r="J3096" s="3">
        <v>42022.472939814812</v>
      </c>
      <c r="K3096" cm="1">
        <f t="array" ref="K3096">sentimentCalc(C3096)</f>
        <v>3</v>
      </c>
      <c r="L3096" t="str" cm="1">
        <f t="array" ref="L3096">sentimentCategory(K3096)</f>
        <v>Positive</v>
      </c>
    </row>
    <row r="3097" spans="1:12" x14ac:dyDescent="0.25">
      <c r="A3097" t="s">
        <v>1864</v>
      </c>
      <c r="B3097" t="s">
        <v>4236</v>
      </c>
      <c r="C3097" t="str" cm="1">
        <f t="array" ref="C3097">CleanText(B3097)</f>
        <v>was honestly a rlly good movie</v>
      </c>
      <c r="D3097">
        <v>3</v>
      </c>
      <c r="E3097">
        <v>2</v>
      </c>
      <c r="F3097" t="s">
        <v>10</v>
      </c>
      <c r="G3097" t="str" cm="1">
        <f t="array" ref="G3097">FindCountryName(F3097)</f>
        <v>None</v>
      </c>
      <c r="H3097" s="3">
        <v>45141.567118055558</v>
      </c>
      <c r="I3097" s="3">
        <v>45141.567118055558</v>
      </c>
      <c r="J3097" s="3">
        <v>44368.001435185186</v>
      </c>
      <c r="K3097" cm="1">
        <f t="array" ref="K3097">sentimentCalc(C3097)</f>
        <v>3</v>
      </c>
      <c r="L3097" t="str" cm="1">
        <f t="array" ref="L3097">sentimentCategory(K3097)</f>
        <v>Positive</v>
      </c>
    </row>
    <row r="3098" spans="1:12" x14ac:dyDescent="0.25">
      <c r="A3098" t="s">
        <v>2095</v>
      </c>
      <c r="B3098" t="s">
        <v>2096</v>
      </c>
      <c r="C3098" t="str" cm="1">
        <f t="array" ref="C3098">CleanText(B3098)</f>
        <v>was i the only one who only saw the internet mentions of this before seeing the trailer and thought oppenheimer had something to do with this</v>
      </c>
      <c r="D3098">
        <v>0</v>
      </c>
      <c r="E3098">
        <v>1</v>
      </c>
      <c r="F3098" t="s">
        <v>10</v>
      </c>
      <c r="G3098" t="str" cm="1">
        <f t="array" ref="G3098">FindCountryName(F3098)</f>
        <v>None</v>
      </c>
      <c r="H3098" s="3">
        <v>45180.946481481478</v>
      </c>
      <c r="I3098" s="3">
        <v>45180.946481481478</v>
      </c>
      <c r="J3098" s="3">
        <v>44648.719212962962</v>
      </c>
      <c r="K3098" cm="1">
        <f t="array" ref="K3098">sentimentCalc(C3098)</f>
        <v>0</v>
      </c>
      <c r="L3098" t="str" cm="1">
        <f t="array" ref="L3098">sentimentCategory(K3098)</f>
        <v>Neutral</v>
      </c>
    </row>
    <row r="3099" spans="1:12" x14ac:dyDescent="0.25">
      <c r="A3099" t="s">
        <v>122</v>
      </c>
      <c r="B3099" t="s">
        <v>3808</v>
      </c>
      <c r="C3099" t="str" cm="1">
        <f t="array" ref="C3099">CleanText(B3099)</f>
        <v>was looking forward to this film watched it and what a croc</v>
      </c>
      <c r="D3099">
        <v>3</v>
      </c>
      <c r="E3099">
        <v>0</v>
      </c>
      <c r="F3099" t="s">
        <v>1151</v>
      </c>
      <c r="G3099" t="str" cm="1">
        <f t="array" ref="G3099">FindCountryName(F3099)</f>
        <v>United Kingdom of Great Britain and Northern Ireland (the)</v>
      </c>
      <c r="H3099" s="3">
        <v>45145.335636574076</v>
      </c>
      <c r="I3099" s="3">
        <v>45145.335636574076</v>
      </c>
      <c r="J3099" s="3">
        <v>44379.426192129627</v>
      </c>
      <c r="K3099" cm="1">
        <f t="array" ref="K3099">sentimentCalc(C3099)</f>
        <v>0</v>
      </c>
      <c r="L3099" t="str" cm="1">
        <f t="array" ref="L3099">sentimentCategory(K3099)</f>
        <v>Neutral</v>
      </c>
    </row>
    <row r="3100" spans="1:12" x14ac:dyDescent="0.25">
      <c r="A3100" t="s">
        <v>45</v>
      </c>
      <c r="B3100" t="s">
        <v>835</v>
      </c>
      <c r="C3100" t="str" cm="1">
        <f t="array" ref="C3100">CleanText(B3100)</f>
        <v>was nikki in barbie or doja cat</v>
      </c>
      <c r="D3100">
        <v>0</v>
      </c>
      <c r="E3100">
        <v>0</v>
      </c>
      <c r="F3100" t="s">
        <v>10</v>
      </c>
      <c r="G3100" t="str" cm="1">
        <f t="array" ref="G3100">FindCountryName(F3100)</f>
        <v>None</v>
      </c>
      <c r="H3100" s="3">
        <v>45303.015081018515</v>
      </c>
      <c r="I3100" s="3">
        <v>45303.015081018515</v>
      </c>
      <c r="J3100" s="3">
        <v>45297.979166666664</v>
      </c>
      <c r="K3100" cm="1">
        <f t="array" ref="K3100">sentimentCalc(C3100)</f>
        <v>0</v>
      </c>
      <c r="L3100" t="str" cm="1">
        <f t="array" ref="L3100">sentimentCategory(K3100)</f>
        <v>Neutral</v>
      </c>
    </row>
    <row r="3101" spans="1:12" x14ac:dyDescent="0.25">
      <c r="A3101" t="s">
        <v>197</v>
      </c>
      <c r="B3101" t="s">
        <v>219</v>
      </c>
      <c r="C3101" t="str" cm="1">
        <f t="array" ref="C3101">CleanText(B3101)</f>
        <v>was this movie a head of cabbageno it was a head of its thyme haaaaaaaaaa</v>
      </c>
      <c r="D3101">
        <v>0</v>
      </c>
      <c r="E3101">
        <v>0</v>
      </c>
      <c r="F3101" t="s">
        <v>10</v>
      </c>
      <c r="G3101" t="str" cm="1">
        <f t="array" ref="G3101">FindCountryName(F3101)</f>
        <v>None</v>
      </c>
      <c r="H3101" s="3">
        <v>45331.45208333333</v>
      </c>
      <c r="I3101" s="3">
        <v>45331.45208333333</v>
      </c>
      <c r="J3101" s="3">
        <v>43806.514756944445</v>
      </c>
      <c r="K3101" cm="1">
        <f t="array" ref="K3101">sentimentCalc(C3101)</f>
        <v>0</v>
      </c>
      <c r="L3101" t="str" cm="1">
        <f t="array" ref="L3101">sentimentCategory(K3101)</f>
        <v>Neutral</v>
      </c>
    </row>
    <row r="3102" spans="1:12" x14ac:dyDescent="0.25">
      <c r="A3102" t="s">
        <v>282</v>
      </c>
      <c r="B3102" t="s">
        <v>2542</v>
      </c>
      <c r="C3102" t="str" cm="1">
        <f t="array" ref="C3102">CleanText(B3102)</f>
        <v>wasnt expecting myself to like this film as much as i did loved it gladly watch again good actor choices and acting etc only bad part was the credit song  but hey ho gotta keep your audience i guess</v>
      </c>
      <c r="D3102">
        <v>1</v>
      </c>
      <c r="E3102">
        <v>0</v>
      </c>
      <c r="F3102" t="s">
        <v>10</v>
      </c>
      <c r="G3102" t="str" cm="1">
        <f t="array" ref="G3102">FindCountryName(F3102)</f>
        <v>None</v>
      </c>
      <c r="H3102" s="3">
        <v>45163.764085648145</v>
      </c>
      <c r="I3102" s="3">
        <v>45163.764085648145</v>
      </c>
      <c r="J3102" s="3">
        <v>43216.57849537037</v>
      </c>
      <c r="K3102" cm="1">
        <f t="array" ref="K3102">sentimentCalc(C3102)</f>
        <v>5</v>
      </c>
      <c r="L3102" t="str" cm="1">
        <f t="array" ref="L3102">sentimentCategory(K3102)</f>
        <v>Positive</v>
      </c>
    </row>
    <row r="3103" spans="1:12" x14ac:dyDescent="0.25">
      <c r="A3103" t="s">
        <v>1394</v>
      </c>
      <c r="B3103" t="s">
        <v>2913</v>
      </c>
      <c r="C3103" t="str" cm="1">
        <f t="array" ref="C3103">CleanText(B3103)</f>
        <v>waste of good talent and money</v>
      </c>
      <c r="D3103">
        <v>0</v>
      </c>
      <c r="E3103">
        <v>0</v>
      </c>
      <c r="F3103" t="s">
        <v>10</v>
      </c>
      <c r="G3103" t="str" cm="1">
        <f t="array" ref="G3103">FindCountryName(F3103)</f>
        <v>None</v>
      </c>
      <c r="H3103" s="3">
        <v>45155.962511574071</v>
      </c>
      <c r="I3103" s="3">
        <v>45155.962511574071</v>
      </c>
      <c r="J3103" s="3">
        <v>42020.459421296298</v>
      </c>
      <c r="K3103" cm="1">
        <f t="array" ref="K3103">sentimentCalc(C3103)</f>
        <v>2</v>
      </c>
      <c r="L3103" t="str" cm="1">
        <f t="array" ref="L3103">sentimentCategory(K3103)</f>
        <v>Positive</v>
      </c>
    </row>
    <row r="3104" spans="1:12" x14ac:dyDescent="0.25">
      <c r="A3104" t="s">
        <v>1875</v>
      </c>
      <c r="B3104" t="s">
        <v>1876</v>
      </c>
      <c r="C3104" t="str" cm="1">
        <f t="array" ref="C3104">CleanText(B3104)</f>
        <v>waste of time to watch this movie</v>
      </c>
      <c r="D3104">
        <v>2</v>
      </c>
      <c r="E3104">
        <v>3</v>
      </c>
      <c r="F3104" t="s">
        <v>10</v>
      </c>
      <c r="G3104" t="str" cm="1">
        <f t="array" ref="G3104">FindCountryName(F3104)</f>
        <v>None</v>
      </c>
      <c r="H3104" s="3">
        <v>45189.196203703701</v>
      </c>
      <c r="I3104" s="3">
        <v>45189.196203703701</v>
      </c>
      <c r="J3104" s="3">
        <v>45076.276898148149</v>
      </c>
      <c r="K3104" cm="1">
        <f t="array" ref="K3104">sentimentCalc(C3104)</f>
        <v>-1</v>
      </c>
      <c r="L3104" t="str" cm="1">
        <f t="array" ref="L3104">sentimentCategory(K3104)</f>
        <v>Negative</v>
      </c>
    </row>
    <row r="3105" spans="1:12" x14ac:dyDescent="0.25">
      <c r="A3105" t="s">
        <v>724</v>
      </c>
      <c r="B3105" t="s">
        <v>2600</v>
      </c>
      <c r="C3105" t="str" cm="1">
        <f t="array" ref="C3105">CleanText(B3105)</f>
        <v>wasted my money</v>
      </c>
      <c r="D3105">
        <v>1</v>
      </c>
      <c r="E3105">
        <v>0</v>
      </c>
      <c r="F3105" t="s">
        <v>10</v>
      </c>
      <c r="G3105" t="str" cm="1">
        <f t="array" ref="G3105">FindCountryName(F3105)</f>
        <v>None</v>
      </c>
      <c r="H3105" s="3">
        <v>45162.241909722223</v>
      </c>
      <c r="I3105" s="3">
        <v>45162.241909722223</v>
      </c>
      <c r="J3105" s="3">
        <v>44502.916875000003</v>
      </c>
      <c r="K3105" cm="1">
        <f t="array" ref="K3105">sentimentCalc(C3105)</f>
        <v>-2</v>
      </c>
      <c r="L3105" t="str" cm="1">
        <f t="array" ref="L3105">sentimentCategory(K3105)</f>
        <v>Negative</v>
      </c>
    </row>
    <row r="3106" spans="1:12" x14ac:dyDescent="0.25">
      <c r="A3106" t="s">
        <v>345</v>
      </c>
      <c r="B3106" t="s">
        <v>3030</v>
      </c>
      <c r="C3106" t="str" cm="1">
        <f t="array" ref="C3106">CleanText(B3106)</f>
        <v>watch life size  same type of movie</v>
      </c>
      <c r="D3106">
        <v>2</v>
      </c>
      <c r="E3106">
        <v>1</v>
      </c>
      <c r="F3106" t="s">
        <v>10</v>
      </c>
      <c r="G3106" t="str" cm="1">
        <f t="array" ref="G3106">FindCountryName(F3106)</f>
        <v>None</v>
      </c>
      <c r="H3106" s="3">
        <v>45154.308969907404</v>
      </c>
      <c r="I3106" s="3">
        <v>45154.308969907404</v>
      </c>
      <c r="J3106" s="3">
        <v>41893.748530092591</v>
      </c>
      <c r="K3106" cm="1">
        <f t="array" ref="K3106">sentimentCalc(C3106)</f>
        <v>0</v>
      </c>
      <c r="L3106" t="str" cm="1">
        <f t="array" ref="L3106">sentimentCategory(K3106)</f>
        <v>Neutral</v>
      </c>
    </row>
    <row r="3107" spans="1:12" x14ac:dyDescent="0.25">
      <c r="A3107" t="s">
        <v>98</v>
      </c>
      <c r="B3107" t="s">
        <v>1091</v>
      </c>
      <c r="C3107" t="str" cm="1">
        <f t="array" ref="C3107">CleanText(B3107)</f>
        <v>watched about a third of the movie then turned it off in disgust yes about what i expected</v>
      </c>
      <c r="D3107">
        <v>0</v>
      </c>
      <c r="E3107">
        <v>0</v>
      </c>
      <c r="F3107" t="s">
        <v>10</v>
      </c>
      <c r="G3107" t="str" cm="1">
        <f t="array" ref="G3107">FindCountryName(F3107)</f>
        <v>None</v>
      </c>
      <c r="H3107" s="3">
        <v>45290.873402777775</v>
      </c>
      <c r="I3107" s="3">
        <v>45290.873402777775</v>
      </c>
      <c r="J3107" s="3">
        <v>44204.883275462962</v>
      </c>
      <c r="K3107" cm="1">
        <f t="array" ref="K3107">sentimentCalc(C3107)</f>
        <v>-2</v>
      </c>
      <c r="L3107" t="str" cm="1">
        <f t="array" ref="L3107">sentimentCategory(K3107)</f>
        <v>Negative</v>
      </c>
    </row>
    <row r="3108" spans="1:12" x14ac:dyDescent="0.25">
      <c r="A3108" t="s">
        <v>378</v>
      </c>
      <c r="B3108" t="s">
        <v>1090</v>
      </c>
      <c r="C3108" t="str" cm="1">
        <f t="array" ref="C3108">CleanText(B3108)</f>
        <v>watched it about  times i have no regrets</v>
      </c>
      <c r="D3108">
        <v>1</v>
      </c>
      <c r="E3108">
        <v>0</v>
      </c>
      <c r="F3108" t="s">
        <v>10</v>
      </c>
      <c r="G3108" t="str" cm="1">
        <f t="array" ref="G3108">FindCountryName(F3108)</f>
        <v>None</v>
      </c>
      <c r="H3108" s="3">
        <v>45290.878576388888</v>
      </c>
      <c r="I3108" s="3">
        <v>45290.878576388888</v>
      </c>
      <c r="J3108" s="3">
        <v>42789.863171296296</v>
      </c>
      <c r="K3108" cm="1">
        <f t="array" ref="K3108">sentimentCalc(C3108)</f>
        <v>-3</v>
      </c>
      <c r="L3108" t="str" cm="1">
        <f t="array" ref="L3108">sentimentCategory(K3108)</f>
        <v>Negative</v>
      </c>
    </row>
    <row r="3109" spans="1:12" x14ac:dyDescent="0.25">
      <c r="A3109" t="s">
        <v>571</v>
      </c>
      <c r="B3109" t="s">
        <v>1676</v>
      </c>
      <c r="C3109" t="str" cm="1">
        <f t="array" ref="C3109">CleanText(B3109)</f>
        <v>watched the barbie movie cute  a must see</v>
      </c>
      <c r="D3109">
        <v>0</v>
      </c>
      <c r="E3109">
        <v>0</v>
      </c>
      <c r="F3109" t="s">
        <v>10</v>
      </c>
      <c r="G3109" t="str" cm="1">
        <f t="array" ref="G3109">FindCountryName(F3109)</f>
        <v>None</v>
      </c>
      <c r="H3109" s="3">
        <v>45203.128449074073</v>
      </c>
      <c r="I3109" s="3">
        <v>45203.128449074073</v>
      </c>
      <c r="J3109" s="3">
        <v>44045.363506944443</v>
      </c>
      <c r="K3109" cm="1">
        <f t="array" ref="K3109">sentimentCalc(C3109)</f>
        <v>2</v>
      </c>
      <c r="L3109" t="str" cm="1">
        <f t="array" ref="L3109">sentimentCategory(K3109)</f>
        <v>Positive</v>
      </c>
    </row>
    <row r="3110" spans="1:12" x14ac:dyDescent="0.25">
      <c r="A3110" t="s">
        <v>432</v>
      </c>
      <c r="B3110" t="s">
        <v>2355</v>
      </c>
      <c r="C3110" t="str" cm="1">
        <f t="array" ref="C3110">CleanText(B3110)</f>
        <v>watched the movie in theatres went to see barbie the typical one turns out to be a great movie with an amazing lesson</v>
      </c>
      <c r="D3110">
        <v>5</v>
      </c>
      <c r="E3110">
        <v>2</v>
      </c>
      <c r="F3110" t="s">
        <v>10</v>
      </c>
      <c r="G3110" t="str" cm="1">
        <f t="array" ref="G3110">FindCountryName(F3110)</f>
        <v>None</v>
      </c>
      <c r="H3110" s="3">
        <v>45171.070613425924</v>
      </c>
      <c r="I3110" s="3">
        <v>45171.070613425924</v>
      </c>
      <c r="J3110" s="3">
        <v>44347.236956018518</v>
      </c>
      <c r="K3110" cm="1">
        <f t="array" ref="K3110">sentimentCalc(C3110)</f>
        <v>7</v>
      </c>
      <c r="L3110" t="str" cm="1">
        <f t="array" ref="L3110">sentimentCategory(K3110)</f>
        <v>Positive</v>
      </c>
    </row>
    <row r="3111" spans="1:12" x14ac:dyDescent="0.25">
      <c r="A3111" t="s">
        <v>54</v>
      </c>
      <c r="B3111" t="s">
        <v>3960</v>
      </c>
      <c r="C3111" t="str" cm="1">
        <f t="array" ref="C3111">CleanText(B3111)</f>
        <v>watched the trailer and wanted to watch movie wish i hadnt bothered</v>
      </c>
      <c r="D3111">
        <v>2</v>
      </c>
      <c r="E3111">
        <v>1</v>
      </c>
      <c r="F3111" t="s">
        <v>10</v>
      </c>
      <c r="G3111" t="str" cm="1">
        <f t="array" ref="G3111">FindCountryName(F3111)</f>
        <v>None</v>
      </c>
      <c r="H3111" s="3">
        <v>45144.158113425925</v>
      </c>
      <c r="I3111" s="3">
        <v>45144.158113425925</v>
      </c>
      <c r="J3111" s="3">
        <v>41369.332638888889</v>
      </c>
      <c r="K3111" cm="1">
        <f t="array" ref="K3111">sentimentCalc(C3111)</f>
        <v>-1</v>
      </c>
      <c r="L3111" t="str" cm="1">
        <f t="array" ref="L3111">sentimentCategory(K3111)</f>
        <v>Negative</v>
      </c>
    </row>
    <row r="3112" spans="1:12" x14ac:dyDescent="0.25">
      <c r="A3112" t="s">
        <v>3119</v>
      </c>
      <c r="B3112" t="s">
        <v>3950</v>
      </c>
      <c r="C3112" t="str" cm="1">
        <f t="array" ref="C3112">CleanText(B3112)</f>
        <v>watched</v>
      </c>
      <c r="D3112">
        <v>1</v>
      </c>
      <c r="E3112">
        <v>0</v>
      </c>
      <c r="F3112" t="s">
        <v>10</v>
      </c>
      <c r="G3112" t="str" cm="1">
        <f t="array" ref="G3112">FindCountryName(F3112)</f>
        <v>None</v>
      </c>
      <c r="H3112" s="3">
        <v>45144.231064814812</v>
      </c>
      <c r="I3112" s="3">
        <v>45144.231064814812</v>
      </c>
      <c r="J3112" s="3">
        <v>40865.252615740741</v>
      </c>
      <c r="K3112" cm="1">
        <f t="array" ref="K3112">sentimentCalc(C3112)</f>
        <v>0</v>
      </c>
      <c r="L3112" t="str" cm="1">
        <f t="array" ref="L3112">sentimentCategory(K3112)</f>
        <v>Neutral</v>
      </c>
    </row>
    <row r="3113" spans="1:12" x14ac:dyDescent="0.25">
      <c r="A3113" t="s">
        <v>442</v>
      </c>
      <c r="B3113" t="s">
        <v>1491</v>
      </c>
      <c r="C3113" t="str" cm="1">
        <f t="array" ref="C3113">CleanText(B3113)</f>
        <v>watching here in europe</v>
      </c>
      <c r="D3113">
        <v>0</v>
      </c>
      <c r="E3113">
        <v>0</v>
      </c>
      <c r="F3113" t="s">
        <v>10</v>
      </c>
      <c r="G3113" t="str" cm="1">
        <f t="array" ref="G3113">FindCountryName(F3113)</f>
        <v>None</v>
      </c>
      <c r="H3113" s="3">
        <v>45220.626967592594</v>
      </c>
      <c r="I3113" s="3">
        <v>45220.626967592594</v>
      </c>
      <c r="J3113" s="3">
        <v>43953.781793981485</v>
      </c>
      <c r="K3113" cm="1">
        <f t="array" ref="K3113">sentimentCalc(C3113)</f>
        <v>0</v>
      </c>
      <c r="L3113" t="str" cm="1">
        <f t="array" ref="L3113">sentimentCategory(K3113)</f>
        <v>Neutral</v>
      </c>
    </row>
    <row r="3114" spans="1:12" x14ac:dyDescent="0.25">
      <c r="A3114" t="s">
        <v>1202</v>
      </c>
      <c r="B3114" t="s">
        <v>3957</v>
      </c>
      <c r="C3114" t="str" cm="1">
        <f t="array" ref="C3114">CleanText(B3114)</f>
        <v>wb is better than netflix wb doesnt remake or modified original characters</v>
      </c>
      <c r="D3114">
        <v>0</v>
      </c>
      <c r="E3114">
        <v>0</v>
      </c>
      <c r="F3114" t="s">
        <v>10</v>
      </c>
      <c r="G3114" t="str" cm="1">
        <f t="array" ref="G3114">FindCountryName(F3114)</f>
        <v>None</v>
      </c>
      <c r="H3114" s="3">
        <v>45144.183275462965</v>
      </c>
      <c r="I3114" s="3">
        <v>45144.183275462965</v>
      </c>
      <c r="J3114" s="3">
        <v>42688.399675925924</v>
      </c>
      <c r="K3114" cm="1">
        <f t="array" ref="K3114">sentimentCalc(C3114)</f>
        <v>2</v>
      </c>
      <c r="L3114" t="str" cm="1">
        <f t="array" ref="L3114">sentimentCategory(K3114)</f>
        <v>Positive</v>
      </c>
    </row>
    <row r="3115" spans="1:12" x14ac:dyDescent="0.25">
      <c r="A3115" t="s">
        <v>213</v>
      </c>
      <c r="B3115" t="s">
        <v>3995</v>
      </c>
      <c r="C3115" t="str" cm="1">
        <f t="array" ref="C3115">CleanText(B3115)</f>
        <v>wb where is banana split</v>
      </c>
      <c r="D3115">
        <v>1</v>
      </c>
      <c r="E3115">
        <v>0</v>
      </c>
      <c r="F3115" t="s">
        <v>10</v>
      </c>
      <c r="G3115" t="str" cm="1">
        <f t="array" ref="G3115">FindCountryName(F3115)</f>
        <v>None</v>
      </c>
      <c r="H3115" s="3">
        <v>45143.903229166666</v>
      </c>
      <c r="I3115" s="3">
        <v>45143.903229166666</v>
      </c>
      <c r="J3115" s="3">
        <v>43462.631921296299</v>
      </c>
      <c r="K3115" cm="1">
        <f t="array" ref="K3115">sentimentCalc(C3115)</f>
        <v>0</v>
      </c>
      <c r="L3115" t="str" cm="1">
        <f t="array" ref="L3115">sentimentCategory(K3115)</f>
        <v>Neutral</v>
      </c>
    </row>
    <row r="3116" spans="1:12" x14ac:dyDescent="0.25">
      <c r="A3116" t="s">
        <v>1771</v>
      </c>
      <c r="B3116" t="s">
        <v>3890</v>
      </c>
      <c r="C3116" t="str" cm="1">
        <f t="array" ref="C3116">CleanText(B3116)</f>
        <v>wcdvrcsg</v>
      </c>
      <c r="D3116">
        <v>0</v>
      </c>
      <c r="E3116">
        <v>0</v>
      </c>
      <c r="F3116" t="s">
        <v>10</v>
      </c>
      <c r="G3116" t="str" cm="1">
        <f t="array" ref="G3116">FindCountryName(F3116)</f>
        <v>None</v>
      </c>
      <c r="H3116" s="3">
        <v>45144.697615740741</v>
      </c>
      <c r="I3116" s="3">
        <v>45144.697615740741</v>
      </c>
      <c r="J3116" s="3">
        <v>45144.697604166664</v>
      </c>
      <c r="K3116" cm="1">
        <f t="array" ref="K3116">sentimentCalc(C3116)</f>
        <v>0</v>
      </c>
      <c r="L3116" t="str" cm="1">
        <f t="array" ref="L3116">sentimentCategory(K3116)</f>
        <v>Neutral</v>
      </c>
    </row>
    <row r="3117" spans="1:12" x14ac:dyDescent="0.25">
      <c r="A3117" t="s">
        <v>2788</v>
      </c>
      <c r="B3117" t="s">
        <v>3143</v>
      </c>
      <c r="C3117" t="str" cm="1">
        <f t="array" ref="C3117">CleanText(B3117)</f>
        <v>we are sunk</v>
      </c>
      <c r="D3117">
        <v>2</v>
      </c>
      <c r="E3117">
        <v>0</v>
      </c>
      <c r="F3117" t="s">
        <v>10</v>
      </c>
      <c r="G3117" t="str" cm="1">
        <f t="array" ref="G3117">FindCountryName(F3117)</f>
        <v>None</v>
      </c>
      <c r="H3117" s="3">
        <v>45152.747546296298</v>
      </c>
      <c r="I3117" s="3">
        <v>45152.747534722221</v>
      </c>
      <c r="J3117" s="3">
        <v>40864.7425</v>
      </c>
      <c r="K3117" cm="1">
        <f t="array" ref="K3117">sentimentCalc(C3117)</f>
        <v>0</v>
      </c>
      <c r="L3117" t="str" cm="1">
        <f t="array" ref="L3117">sentimentCategory(K3117)</f>
        <v>Neutral</v>
      </c>
    </row>
    <row r="3118" spans="1:12" x14ac:dyDescent="0.25">
      <c r="A3118" t="s">
        <v>462</v>
      </c>
      <c r="B3118" t="s">
        <v>1851</v>
      </c>
      <c r="C3118" t="str" cm="1">
        <f t="array" ref="C3118">CleanText(B3118)</f>
        <v>we just finished watching this movie wtf what about ken man</v>
      </c>
      <c r="D3118">
        <v>1</v>
      </c>
      <c r="E3118">
        <v>0</v>
      </c>
      <c r="F3118" t="s">
        <v>628</v>
      </c>
      <c r="G3118" t="str" cm="1">
        <f t="array" ref="G3118">FindCountryName(F3118)</f>
        <v>Canada</v>
      </c>
      <c r="H3118" s="3">
        <v>45190.89135416667</v>
      </c>
      <c r="I3118" s="3">
        <v>45190.89135416667</v>
      </c>
      <c r="J3118" s="3">
        <v>44816.922152777777</v>
      </c>
      <c r="K3118" cm="1">
        <f t="array" ref="K3118">sentimentCalc(C3118)</f>
        <v>0</v>
      </c>
      <c r="L3118" t="str" cm="1">
        <f t="array" ref="L3118">sentimentCategory(K3118)</f>
        <v>Neutral</v>
      </c>
    </row>
    <row r="3119" spans="1:12" x14ac:dyDescent="0.25">
      <c r="A3119" t="s">
        <v>444</v>
      </c>
      <c r="B3119" t="s">
        <v>3629</v>
      </c>
      <c r="C3119" t="str" cm="1">
        <f t="array" ref="C3119">CleanText(B3119)</f>
        <v>we love barbie come on barbie lets go barbie</v>
      </c>
      <c r="D3119">
        <v>0</v>
      </c>
      <c r="E3119">
        <v>0</v>
      </c>
      <c r="F3119" t="s">
        <v>10</v>
      </c>
      <c r="G3119" t="str" cm="1">
        <f t="array" ref="G3119">FindCountryName(F3119)</f>
        <v>None</v>
      </c>
      <c r="H3119" s="3">
        <v>45146.993761574071</v>
      </c>
      <c r="I3119" s="3">
        <v>45146.993761574071</v>
      </c>
      <c r="J3119" s="3">
        <v>45108.631516203706</v>
      </c>
      <c r="K3119" cm="1">
        <f t="array" ref="K3119">sentimentCalc(C3119)</f>
        <v>3</v>
      </c>
      <c r="L3119" t="str" cm="1">
        <f t="array" ref="L3119">sentimentCategory(K3119)</f>
        <v>Positive</v>
      </c>
    </row>
    <row r="3120" spans="1:12" x14ac:dyDescent="0.25">
      <c r="A3120" t="s">
        <v>122</v>
      </c>
      <c r="B3120" t="s">
        <v>3668</v>
      </c>
      <c r="C3120" t="str" cm="1">
        <f t="array" ref="C3120">CleanText(B3120)</f>
        <v>we need a black ken for barbie</v>
      </c>
      <c r="D3120">
        <v>0</v>
      </c>
      <c r="E3120">
        <v>2</v>
      </c>
      <c r="F3120" t="s">
        <v>10</v>
      </c>
      <c r="G3120" t="str" cm="1">
        <f t="array" ref="G3120">FindCountryName(F3120)</f>
        <v>None</v>
      </c>
      <c r="H3120" s="3">
        <v>45146.615937499999</v>
      </c>
      <c r="I3120" s="3">
        <v>45146.615937499999</v>
      </c>
      <c r="J3120" s="3">
        <v>41990.135868055557</v>
      </c>
      <c r="K3120" cm="1">
        <f t="array" ref="K3120">sentimentCalc(C3120)</f>
        <v>0</v>
      </c>
      <c r="L3120" t="str" cm="1">
        <f t="array" ref="L3120">sentimentCategory(K3120)</f>
        <v>Neutral</v>
      </c>
    </row>
    <row r="3121" spans="1:12" x14ac:dyDescent="0.25">
      <c r="A3121" t="s">
        <v>3767</v>
      </c>
      <c r="B3121" t="s">
        <v>3768</v>
      </c>
      <c r="C3121" t="str" cm="1">
        <f t="array" ref="C3121">CleanText(B3121)</f>
        <v>we should do a competition barbie vs brats dolls</v>
      </c>
      <c r="D3121">
        <v>2</v>
      </c>
      <c r="E3121">
        <v>0</v>
      </c>
      <c r="F3121" t="s">
        <v>227</v>
      </c>
      <c r="G3121" t="str" cm="1">
        <f t="array" ref="G3121">FindCountryName(F3121)</f>
        <v>United States of America (the)</v>
      </c>
      <c r="H3121" s="3">
        <v>45145.628784722219</v>
      </c>
      <c r="I3121" s="3">
        <v>45145.628784722219</v>
      </c>
      <c r="J3121" s="3">
        <v>41144.635520833333</v>
      </c>
      <c r="K3121" cm="1">
        <f t="array" ref="K3121">sentimentCalc(C3121)</f>
        <v>0</v>
      </c>
      <c r="L3121" t="str" cm="1">
        <f t="array" ref="L3121">sentimentCategory(K3121)</f>
        <v>Neutral</v>
      </c>
    </row>
    <row r="3122" spans="1:12" x14ac:dyDescent="0.25">
      <c r="A3122" t="s">
        <v>54</v>
      </c>
      <c r="B3122" t="s">
        <v>3601</v>
      </c>
      <c r="C3122" t="str" cm="1">
        <f t="array" ref="C3122">CleanText(B3122)</f>
        <v>we should never watch this because it make our child stubborn for expensive toys dresses its always make us fool</v>
      </c>
      <c r="D3122">
        <v>2</v>
      </c>
      <c r="E3122">
        <v>0</v>
      </c>
      <c r="F3122" t="s">
        <v>10</v>
      </c>
      <c r="G3122" t="str" cm="1">
        <f t="array" ref="G3122">FindCountryName(F3122)</f>
        <v>None</v>
      </c>
      <c r="H3122" s="3">
        <v>45147.254537037035</v>
      </c>
      <c r="I3122" s="3">
        <v>45147.254525462966</v>
      </c>
      <c r="J3122" s="3">
        <v>44615.022175925929</v>
      </c>
      <c r="K3122" cm="1">
        <f t="array" ref="K3122">sentimentCalc(C3122)</f>
        <v>-4</v>
      </c>
      <c r="L3122" t="str" cm="1">
        <f t="array" ref="L3122">sentimentCategory(K3122)</f>
        <v>Negative</v>
      </c>
    </row>
    <row r="3123" spans="1:12" x14ac:dyDescent="0.25">
      <c r="A3123" t="s">
        <v>211</v>
      </c>
      <c r="B3123" t="s">
        <v>1967</v>
      </c>
      <c r="C3123" t="str" cm="1">
        <f t="array" ref="C3123">CleanText(B3123)</f>
        <v>we went from audrey to jane fonda and have arrived here what a travesty  poor blonde divotchka let us get out of this dark age with these little actors and redeem ourselves</v>
      </c>
      <c r="D3123">
        <v>0</v>
      </c>
      <c r="E3123">
        <v>1</v>
      </c>
      <c r="F3123" t="s">
        <v>10</v>
      </c>
      <c r="G3123" t="str" cm="1">
        <f t="array" ref="G3123">FindCountryName(F3123)</f>
        <v>None</v>
      </c>
      <c r="H3123" s="3">
        <v>45186.265613425923</v>
      </c>
      <c r="I3123" s="3">
        <v>45186.265613425923</v>
      </c>
      <c r="J3123" s="3">
        <v>43861.806805555556</v>
      </c>
      <c r="K3123" cm="1">
        <f t="array" ref="K3123">sentimentCalc(C3123)</f>
        <v>-4</v>
      </c>
      <c r="L3123" t="str" cm="1">
        <f t="array" ref="L3123">sentimentCategory(K3123)</f>
        <v>Negative</v>
      </c>
    </row>
    <row r="3124" spans="1:12" x14ac:dyDescent="0.25">
      <c r="A3124" t="s">
        <v>2339</v>
      </c>
      <c r="B3124" t="s">
        <v>2868</v>
      </c>
      <c r="C3124" t="str" cm="1">
        <f t="array" ref="C3124">CleanText(B3124)</f>
        <v>we went from objectifying women to objectifying men</v>
      </c>
      <c r="D3124">
        <v>0</v>
      </c>
      <c r="E3124">
        <v>0</v>
      </c>
      <c r="F3124" t="s">
        <v>10</v>
      </c>
      <c r="G3124" t="str" cm="1">
        <f t="array" ref="G3124">FindCountryName(F3124)</f>
        <v>None</v>
      </c>
      <c r="H3124" s="3">
        <v>45156.651574074072</v>
      </c>
      <c r="I3124" s="3">
        <v>45156.651574074072</v>
      </c>
      <c r="J3124" s="3">
        <v>45145.099618055552</v>
      </c>
      <c r="K3124" cm="1">
        <f t="array" ref="K3124">sentimentCalc(C3124)</f>
        <v>0</v>
      </c>
      <c r="L3124" t="str" cm="1">
        <f t="array" ref="L3124">sentimentCategory(K3124)</f>
        <v>Neutral</v>
      </c>
    </row>
    <row r="3125" spans="1:12" x14ac:dyDescent="0.25">
      <c r="A3125" t="s">
        <v>56</v>
      </c>
      <c r="B3125" t="s">
        <v>3366</v>
      </c>
      <c r="C3125" t="str" cm="1">
        <f t="array" ref="C3125">CleanText(B3125)</f>
        <v>weirdest fckin movie imo</v>
      </c>
      <c r="D3125">
        <v>3</v>
      </c>
      <c r="E3125">
        <v>0</v>
      </c>
      <c r="F3125" t="s">
        <v>10</v>
      </c>
      <c r="G3125" t="str" cm="1">
        <f t="array" ref="G3125">FindCountryName(F3125)</f>
        <v>None</v>
      </c>
      <c r="H3125" s="3">
        <v>45149.563888888886</v>
      </c>
      <c r="I3125" s="3">
        <v>45149.563877314817</v>
      </c>
      <c r="J3125" s="3">
        <v>44091.801608796297</v>
      </c>
      <c r="K3125" cm="1">
        <f t="array" ref="K3125">sentimentCalc(C3125)</f>
        <v>0</v>
      </c>
      <c r="L3125" t="str" cm="1">
        <f t="array" ref="L3125">sentimentCategory(K3125)</f>
        <v>Neutral</v>
      </c>
    </row>
    <row r="3126" spans="1:12" x14ac:dyDescent="0.25">
      <c r="A3126" t="s">
        <v>1163</v>
      </c>
      <c r="B3126" t="s">
        <v>2425</v>
      </c>
      <c r="C3126" t="str" cm="1">
        <f t="array" ref="C3126">CleanText(B3126)</f>
        <v>welcome to the cinema  the comment section  popcorn  smallmediumlargeadd buttercandy  any sizesnacks nachoshotdoghotdog nacho combobeverages soft drink smallsoft drink mediumsoft drink largebottled drinkdasanicombos  large popcorn   large drink  candy regular popcorn   regular drinks  candy large popcorn   regular drinks  candy regular popcorn  dasani  candy regular popcorn   regular drink  candy large drink  hotdog  nachoskids combosmall popcorn  drink  candyvip menu   cocktailsmartinisbeer glassbeer pitcherbeer bottleburger  mainssaladappetizers  poutine crispy dills jalapeo poppers like    vip membership</v>
      </c>
      <c r="D3126">
        <v>1</v>
      </c>
      <c r="E3126">
        <v>1</v>
      </c>
      <c r="F3126" t="s">
        <v>10</v>
      </c>
      <c r="G3126" t="str" cm="1">
        <f t="array" ref="G3126">FindCountryName(F3126)</f>
        <v>None</v>
      </c>
      <c r="H3126" s="3">
        <v>45167.856157407405</v>
      </c>
      <c r="I3126" s="3">
        <v>45167.856157407405</v>
      </c>
      <c r="J3126" s="3">
        <v>39410.805138888885</v>
      </c>
      <c r="K3126" cm="1">
        <f t="array" ref="K3126">sentimentCalc(C3126)</f>
        <v>4</v>
      </c>
      <c r="L3126" t="str" cm="1">
        <f t="array" ref="L3126">sentimentCategory(K3126)</f>
        <v>Positive</v>
      </c>
    </row>
    <row r="3127" spans="1:12" x14ac:dyDescent="0.25">
      <c r="A3127" t="s">
        <v>1998</v>
      </c>
      <c r="B3127" t="s">
        <v>1999</v>
      </c>
      <c r="C3127" t="str" cm="1">
        <f t="array" ref="C3127">CleanText(B3127)</f>
        <v>well  i had to watch the movie actually now that so many said it sucked  it really sucked its hard to understand how this movie was viral  guess women really hate men after all this is a good thing since theres overpopulation</v>
      </c>
      <c r="D3127">
        <v>1</v>
      </c>
      <c r="E3127">
        <v>3</v>
      </c>
      <c r="F3127" t="s">
        <v>2000</v>
      </c>
      <c r="G3127" t="str" cm="1">
        <f t="array" ref="G3127">FindCountryName(F3127)</f>
        <v>Portugal</v>
      </c>
      <c r="H3127" s="3">
        <v>45185.004328703704</v>
      </c>
      <c r="I3127" s="3">
        <v>45185.004328703704</v>
      </c>
      <c r="J3127" s="3">
        <v>39446.249062499999</v>
      </c>
      <c r="K3127" cm="1">
        <f t="array" ref="K3127">sentimentCalc(C3127)</f>
        <v>-1</v>
      </c>
      <c r="L3127" t="str" cm="1">
        <f t="array" ref="L3127">sentimentCategory(K3127)</f>
        <v>Negative</v>
      </c>
    </row>
    <row r="3128" spans="1:12" x14ac:dyDescent="0.25">
      <c r="A3128" t="s">
        <v>2238</v>
      </c>
      <c r="B3128" t="s">
        <v>2239</v>
      </c>
      <c r="C3128" t="str" cm="1">
        <f t="array" ref="C3128">CleanText(B3128)</f>
        <v>well im a blind lady and i live in hollywood but i can just listen to the masterpiece  blindartist</v>
      </c>
      <c r="D3128">
        <v>0</v>
      </c>
      <c r="E3128">
        <v>1</v>
      </c>
      <c r="F3128" t="s">
        <v>227</v>
      </c>
      <c r="G3128" t="str" cm="1">
        <f t="array" ref="G3128">FindCountryName(F3128)</f>
        <v>United States of America (the)</v>
      </c>
      <c r="H3128" s="3">
        <v>45174.801574074074</v>
      </c>
      <c r="I3128" s="3">
        <v>45174.801574074074</v>
      </c>
      <c r="J3128" s="3">
        <v>45012.952314814815</v>
      </c>
      <c r="K3128" cm="1">
        <f t="array" ref="K3128">sentimentCalc(C3128)</f>
        <v>3</v>
      </c>
      <c r="L3128" t="str" cm="1">
        <f t="array" ref="L3128">sentimentCategory(K3128)</f>
        <v>Positive</v>
      </c>
    </row>
    <row r="3129" spans="1:12" x14ac:dyDescent="0.25">
      <c r="A3129" t="s">
        <v>235</v>
      </c>
      <c r="B3129" t="s">
        <v>2791</v>
      </c>
      <c r="C3129" t="str" cm="1">
        <f t="array" ref="C3129">CleanText(B3129)</f>
        <v>well judging by the trailer i dont see what the negative controversy is about</v>
      </c>
      <c r="D3129">
        <v>3</v>
      </c>
      <c r="E3129">
        <v>3</v>
      </c>
      <c r="F3129" t="s">
        <v>10</v>
      </c>
      <c r="G3129" t="str" cm="1">
        <f t="array" ref="G3129">FindCountryName(F3129)</f>
        <v>None</v>
      </c>
      <c r="H3129" s="3">
        <v>45157.829942129632</v>
      </c>
      <c r="I3129" s="3">
        <v>45157.830543981479</v>
      </c>
      <c r="J3129" s="3">
        <v>43489.906805555554</v>
      </c>
      <c r="K3129" cm="1">
        <f t="array" ref="K3129">sentimentCalc(C3129)</f>
        <v>-2</v>
      </c>
      <c r="L3129" t="str" cm="1">
        <f t="array" ref="L3129">sentimentCategory(K3129)</f>
        <v>Negative</v>
      </c>
    </row>
    <row r="3130" spans="1:12" x14ac:dyDescent="0.25">
      <c r="A3130" t="s">
        <v>38</v>
      </c>
      <c r="B3130" t="s">
        <v>1807</v>
      </c>
      <c r="C3130" t="str" cm="1">
        <f t="array" ref="C3130">CleanText(B3130)</f>
        <v>well this is just another movie where margot robbie has a fill in for her body just like the wolf of wall street didnt take much for anyone to be able to tell that that was not margot robbies body when she was in bed with dicaprio</v>
      </c>
      <c r="D3130">
        <v>0</v>
      </c>
      <c r="E3130">
        <v>0</v>
      </c>
      <c r="F3130" t="s">
        <v>10</v>
      </c>
      <c r="G3130" t="str" cm="1">
        <f t="array" ref="G3130">FindCountryName(F3130)</f>
        <v>None</v>
      </c>
      <c r="H3130" s="3">
        <v>45193.617025462961</v>
      </c>
      <c r="I3130" s="3">
        <v>45193.617025462961</v>
      </c>
      <c r="J3130" s="3">
        <v>43058.79515046296</v>
      </c>
      <c r="K3130" cm="1">
        <f t="array" ref="K3130">sentimentCalc(C3130)</f>
        <v>2</v>
      </c>
      <c r="L3130" t="str" cm="1">
        <f t="array" ref="L3130">sentimentCategory(K3130)</f>
        <v>Positive</v>
      </c>
    </row>
    <row r="3131" spans="1:12" x14ac:dyDescent="0.25">
      <c r="A3131" t="s">
        <v>156</v>
      </c>
      <c r="B3131" t="s">
        <v>344</v>
      </c>
      <c r="C3131" t="str" cm="1">
        <f t="array" ref="C3131">CleanText(B3131)</f>
        <v>well this movie took my by surprise</v>
      </c>
      <c r="D3131">
        <v>0</v>
      </c>
      <c r="E3131">
        <v>0</v>
      </c>
      <c r="F3131" t="s">
        <v>10</v>
      </c>
      <c r="G3131" t="str" cm="1">
        <f t="array" ref="G3131">FindCountryName(F3131)</f>
        <v>None</v>
      </c>
      <c r="H3131" s="3">
        <v>45322.278599537036</v>
      </c>
      <c r="I3131" s="3">
        <v>45322.278599537036</v>
      </c>
      <c r="J3131" s="3">
        <v>40237.301585648151</v>
      </c>
      <c r="K3131" cm="1">
        <f t="array" ref="K3131">sentimentCalc(C3131)</f>
        <v>0</v>
      </c>
      <c r="L3131" t="str" cm="1">
        <f t="array" ref="L3131">sentimentCategory(K3131)</f>
        <v>Neutral</v>
      </c>
    </row>
    <row r="3132" spans="1:12" x14ac:dyDescent="0.25">
      <c r="A3132" t="s">
        <v>902</v>
      </c>
      <c r="B3132" t="s">
        <v>1116</v>
      </c>
      <c r="C3132" t="str" cm="1">
        <f t="array" ref="C3132">CleanText(B3132)</f>
        <v>well this movie took my by surprise easily my  of this year</v>
      </c>
      <c r="D3132">
        <v>10</v>
      </c>
      <c r="E3132">
        <v>0</v>
      </c>
      <c r="F3132" t="s">
        <v>10</v>
      </c>
      <c r="G3132" t="str" cm="1">
        <f t="array" ref="G3132">FindCountryName(F3132)</f>
        <v>None</v>
      </c>
      <c r="H3132" s="3">
        <v>45287.845196759263</v>
      </c>
      <c r="I3132" s="3">
        <v>45287.845196759263</v>
      </c>
      <c r="J3132" s="3">
        <v>43499.801365740743</v>
      </c>
      <c r="K3132" cm="1">
        <f t="array" ref="K3132">sentimentCalc(C3132)</f>
        <v>0</v>
      </c>
      <c r="L3132" t="str" cm="1">
        <f t="array" ref="L3132">sentimentCategory(K3132)</f>
        <v>Neutral</v>
      </c>
    </row>
    <row r="3133" spans="1:12" x14ac:dyDescent="0.25">
      <c r="A3133" t="s">
        <v>54</v>
      </c>
      <c r="B3133" t="s">
        <v>3212</v>
      </c>
      <c r="C3133" t="str" cm="1">
        <f t="array" ref="C3133">CleanText(B3133)</f>
        <v>well im glad i saw the trailer i can imagine the rest of the movie in my mind and not have to pay  dollars or have my hearing permanently damaged by the theatre amps</v>
      </c>
      <c r="D3133">
        <v>3</v>
      </c>
      <c r="E3133">
        <v>1</v>
      </c>
      <c r="F3133" t="s">
        <v>10</v>
      </c>
      <c r="G3133" t="str" cm="1">
        <f t="array" ref="G3133">FindCountryName(F3133)</f>
        <v>None</v>
      </c>
      <c r="H3133" s="3">
        <v>45151.828333333331</v>
      </c>
      <c r="I3133" s="3">
        <v>45151.828321759262</v>
      </c>
      <c r="J3133" s="3">
        <v>40990.535046296296</v>
      </c>
      <c r="K3133" cm="1">
        <f t="array" ref="K3133">sentimentCalc(C3133)</f>
        <v>2</v>
      </c>
      <c r="L3133" t="str" cm="1">
        <f t="array" ref="L3133">sentimentCategory(K3133)</f>
        <v>Positive</v>
      </c>
    </row>
    <row r="3134" spans="1:12" x14ac:dyDescent="0.25">
      <c r="A3134" t="s">
        <v>188</v>
      </c>
      <c r="B3134" t="s">
        <v>3720</v>
      </c>
      <c r="C3134" t="str" cm="1">
        <f t="array" ref="C3134">CleanText(B3134)</f>
        <v>went into this movie thinking it would be a funny take on a real life version of barbie but instead it was literally just feminist propaganda and all about women blaming problems on made up patriarchy feel sorry for the parents that took their kids to see this when it has nothing for kids to enjoy and was entirely not a kids movie just used barbie as the lead character to pull in an audience and kids</v>
      </c>
      <c r="D3134">
        <v>3</v>
      </c>
      <c r="E3134">
        <v>0</v>
      </c>
      <c r="F3134" t="s">
        <v>10</v>
      </c>
      <c r="G3134" t="str" cm="1">
        <f t="array" ref="G3134">FindCountryName(F3134)</f>
        <v>None</v>
      </c>
      <c r="H3134" s="3">
        <v>45146.043981481482</v>
      </c>
      <c r="I3134" s="3">
        <v>45146.044803240744</v>
      </c>
      <c r="J3134" s="3">
        <v>44856.192106481481</v>
      </c>
      <c r="K3134" cm="1">
        <f t="array" ref="K3134">sentimentCalc(C3134)</f>
        <v>-1</v>
      </c>
      <c r="L3134" t="str" cm="1">
        <f t="array" ref="L3134">sentimentCategory(K3134)</f>
        <v>Negative</v>
      </c>
    </row>
    <row r="3135" spans="1:12" x14ac:dyDescent="0.25">
      <c r="A3135" t="s">
        <v>4303</v>
      </c>
      <c r="B3135" t="s">
        <v>4304</v>
      </c>
      <c r="C3135" t="str" cm="1">
        <f t="array" ref="C3135">CleanText(B3135)</f>
        <v>went to see it the worst movie i ever watched horrible</v>
      </c>
      <c r="D3135">
        <v>4</v>
      </c>
      <c r="E3135">
        <v>0</v>
      </c>
      <c r="F3135" t="s">
        <v>10</v>
      </c>
      <c r="G3135" t="str" cm="1">
        <f t="array" ref="G3135">FindCountryName(F3135)</f>
        <v>None</v>
      </c>
      <c r="H3135" s="3">
        <v>45141.118530092594</v>
      </c>
      <c r="I3135" s="3">
        <v>45141.118530092594</v>
      </c>
      <c r="J3135" s="3">
        <v>41231.530509259261</v>
      </c>
      <c r="K3135" cm="1">
        <f t="array" ref="K3135">sentimentCalc(C3135)</f>
        <v>-6</v>
      </c>
      <c r="L3135" t="str" cm="1">
        <f t="array" ref="L3135">sentimentCategory(K3135)</f>
        <v>Negative</v>
      </c>
    </row>
    <row r="3136" spans="1:12" x14ac:dyDescent="0.25">
      <c r="A3136" t="s">
        <v>1230</v>
      </c>
      <c r="B3136" t="s">
        <v>1231</v>
      </c>
      <c r="C3136" t="str" cm="1">
        <f t="array" ref="C3136">CleanText(B3136)</f>
        <v>were gigachad we dont care</v>
      </c>
      <c r="D3136">
        <v>2</v>
      </c>
      <c r="E3136">
        <v>0</v>
      </c>
      <c r="F3136" t="s">
        <v>10</v>
      </c>
      <c r="G3136" t="str" cm="1">
        <f t="array" ref="G3136">FindCountryName(F3136)</f>
        <v>None</v>
      </c>
      <c r="H3136" s="3">
        <v>45273.407881944448</v>
      </c>
      <c r="I3136" s="3">
        <v>45273.407881944448</v>
      </c>
      <c r="J3136" s="3">
        <v>44387.545636574076</v>
      </c>
      <c r="K3136" cm="1">
        <f t="array" ref="K3136">sentimentCalc(C3136)</f>
        <v>2</v>
      </c>
      <c r="L3136" t="str" cm="1">
        <f t="array" ref="L3136">sentimentCategory(K3136)</f>
        <v>Positive</v>
      </c>
    </row>
    <row r="3137" spans="1:12" x14ac:dyDescent="0.25">
      <c r="A3137" t="s">
        <v>675</v>
      </c>
      <c r="B3137" t="s">
        <v>1814</v>
      </c>
      <c r="C3137" t="str" cm="1">
        <f t="array" ref="C3137">CleanText(B3137)</f>
        <v>what a tupid movie</v>
      </c>
      <c r="D3137">
        <v>4</v>
      </c>
      <c r="E3137">
        <v>3</v>
      </c>
      <c r="F3137" t="s">
        <v>10</v>
      </c>
      <c r="G3137" t="str" cm="1">
        <f t="array" ref="G3137">FindCountryName(F3137)</f>
        <v>None</v>
      </c>
      <c r="H3137" s="3">
        <v>45193.214907407404</v>
      </c>
      <c r="I3137" s="3">
        <v>45193.214895833335</v>
      </c>
      <c r="J3137" s="3">
        <v>41297.720138888886</v>
      </c>
      <c r="K3137" cm="1">
        <f t="array" ref="K3137">sentimentCalc(C3137)</f>
        <v>0</v>
      </c>
      <c r="L3137" t="str" cm="1">
        <f t="array" ref="L3137">sentimentCategory(K3137)</f>
        <v>Neutral</v>
      </c>
    </row>
    <row r="3138" spans="1:12" x14ac:dyDescent="0.25">
      <c r="A3138" t="s">
        <v>2219</v>
      </c>
      <c r="B3138" t="s">
        <v>2220</v>
      </c>
      <c r="C3138" t="str" cm="1">
        <f t="array" ref="C3138">CleanText(B3138)</f>
        <v>what a bs this is folks</v>
      </c>
      <c r="D3138">
        <v>1</v>
      </c>
      <c r="E3138">
        <v>0</v>
      </c>
      <c r="F3138" t="s">
        <v>10</v>
      </c>
      <c r="G3138" t="str" cm="1">
        <f t="array" ref="G3138">FindCountryName(F3138)</f>
        <v>None</v>
      </c>
      <c r="H3138" s="3">
        <v>45175.417708333334</v>
      </c>
      <c r="I3138" s="3">
        <v>45175.417708333334</v>
      </c>
      <c r="J3138" s="3">
        <v>39576.631585648145</v>
      </c>
      <c r="K3138" cm="1">
        <f t="array" ref="K3138">sentimentCalc(C3138)</f>
        <v>0</v>
      </c>
      <c r="L3138" t="str" cm="1">
        <f t="array" ref="L3138">sentimentCategory(K3138)</f>
        <v>Neutral</v>
      </c>
    </row>
    <row r="3139" spans="1:12" x14ac:dyDescent="0.25">
      <c r="A3139" t="s">
        <v>298</v>
      </c>
      <c r="B3139" t="s">
        <v>3610</v>
      </c>
      <c r="C3139" t="str" cm="1">
        <f t="array" ref="C3139">CleanText(B3139)</f>
        <v>what a disgusting movie</v>
      </c>
      <c r="D3139">
        <v>1</v>
      </c>
      <c r="E3139">
        <v>0</v>
      </c>
      <c r="F3139" t="s">
        <v>3611</v>
      </c>
      <c r="G3139" t="str" cm="1">
        <f t="array" ref="G3139">FindCountryName(F3139)</f>
        <v>Jordan</v>
      </c>
      <c r="H3139" s="3">
        <v>45147.144375000003</v>
      </c>
      <c r="I3139" s="3">
        <v>45147.144375000003</v>
      </c>
      <c r="J3139" s="3">
        <v>39780.327488425923</v>
      </c>
      <c r="K3139" cm="1">
        <f t="array" ref="K3139">sentimentCalc(C3139)</f>
        <v>-3</v>
      </c>
      <c r="L3139" t="str" cm="1">
        <f t="array" ref="L3139">sentimentCategory(K3139)</f>
        <v>Negative</v>
      </c>
    </row>
    <row r="3140" spans="1:12" x14ac:dyDescent="0.25">
      <c r="A3140" t="s">
        <v>1119</v>
      </c>
      <c r="B3140" t="s">
        <v>3544</v>
      </c>
      <c r="C3140" t="str" cm="1">
        <f t="array" ref="C3140">CleanText(B3140)</f>
        <v>what a disgusting movie such a culture degeneration</v>
      </c>
      <c r="D3140">
        <v>2</v>
      </c>
      <c r="E3140">
        <v>2</v>
      </c>
      <c r="F3140" t="s">
        <v>10</v>
      </c>
      <c r="G3140" t="str" cm="1">
        <f t="array" ref="G3140">FindCountryName(F3140)</f>
        <v>None</v>
      </c>
      <c r="H3140" s="3">
        <v>45147.627303240741</v>
      </c>
      <c r="I3140" s="3">
        <v>45147.627303240741</v>
      </c>
      <c r="J3140" s="3">
        <v>44429.534236111111</v>
      </c>
      <c r="K3140" cm="1">
        <f t="array" ref="K3140">sentimentCalc(C3140)</f>
        <v>-3</v>
      </c>
      <c r="L3140" t="str" cm="1">
        <f t="array" ref="L3140">sentimentCategory(K3140)</f>
        <v>Negative</v>
      </c>
    </row>
    <row r="3141" spans="1:12" x14ac:dyDescent="0.25">
      <c r="A3141" t="s">
        <v>269</v>
      </c>
      <c r="B3141" t="s">
        <v>3111</v>
      </c>
      <c r="C3141" t="str" cm="1">
        <f t="array" ref="C3141">CleanText(B3141)</f>
        <v>what a disgusting piece of shite anyone who allows their child to see this is as sick as the idiots that made this garbage shame on you</v>
      </c>
      <c r="D3141">
        <v>3</v>
      </c>
      <c r="E3141">
        <v>5</v>
      </c>
      <c r="F3141" t="s">
        <v>139</v>
      </c>
      <c r="G3141" t="str" cm="1">
        <f t="array" ref="G3141">FindCountryName(F3141)</f>
        <v>Turkey</v>
      </c>
      <c r="H3141" s="3">
        <v>45153.310104166667</v>
      </c>
      <c r="I3141" s="3">
        <v>45153.310104166667</v>
      </c>
      <c r="J3141" s="3">
        <v>40291.492743055554</v>
      </c>
      <c r="K3141" cm="1">
        <f t="array" ref="K3141">sentimentCalc(C3141)</f>
        <v>-7</v>
      </c>
      <c r="L3141" t="str" cm="1">
        <f t="array" ref="L3141">sentimentCategory(K3141)</f>
        <v>Negative</v>
      </c>
    </row>
    <row r="3142" spans="1:12" x14ac:dyDescent="0.25">
      <c r="A3142" t="s">
        <v>345</v>
      </c>
      <c r="B3142" t="s">
        <v>4101</v>
      </c>
      <c r="C3142" t="str" cm="1">
        <f t="array" ref="C3142">CleanText(B3142)</f>
        <v>what a great movie i expect it will definitely become a very popular and amazing broadway production someday</v>
      </c>
      <c r="D3142">
        <v>108</v>
      </c>
      <c r="E3142">
        <v>5</v>
      </c>
      <c r="F3142" t="s">
        <v>10</v>
      </c>
      <c r="G3142" t="str" cm="1">
        <f t="array" ref="G3142">FindCountryName(F3142)</f>
        <v>None</v>
      </c>
      <c r="H3142" s="3">
        <v>45142.879930555559</v>
      </c>
      <c r="I3142" s="3">
        <v>45142.879930555559</v>
      </c>
      <c r="J3142" s="3">
        <v>40845.527349537035</v>
      </c>
      <c r="K3142" cm="1">
        <f t="array" ref="K3142">sentimentCalc(C3142)</f>
        <v>10</v>
      </c>
      <c r="L3142" t="str" cm="1">
        <f t="array" ref="L3142">sentimentCategory(K3142)</f>
        <v>Positive</v>
      </c>
    </row>
    <row r="3143" spans="1:12" x14ac:dyDescent="0.25">
      <c r="A3143" t="s">
        <v>462</v>
      </c>
      <c r="B3143" t="s">
        <v>3927</v>
      </c>
      <c r="C3143" t="str" cm="1">
        <f t="array" ref="C3143">CleanText(B3143)</f>
        <v>what a load of total garbage</v>
      </c>
      <c r="D3143">
        <v>2</v>
      </c>
      <c r="E3143">
        <v>0</v>
      </c>
      <c r="F3143" t="s">
        <v>10</v>
      </c>
      <c r="G3143" t="str" cm="1">
        <f t="array" ref="G3143">FindCountryName(F3143)</f>
        <v>None</v>
      </c>
      <c r="H3143" s="3">
        <v>45144.453252314815</v>
      </c>
      <c r="I3143" s="3">
        <v>45144.453252314815</v>
      </c>
      <c r="J3143" s="3">
        <v>42705.354641203703</v>
      </c>
      <c r="K3143" cm="1">
        <f t="array" ref="K3143">sentimentCalc(C3143)</f>
        <v>0</v>
      </c>
      <c r="L3143" t="str" cm="1">
        <f t="array" ref="L3143">sentimentCategory(K3143)</f>
        <v>Neutral</v>
      </c>
    </row>
    <row r="3144" spans="1:12" x14ac:dyDescent="0.25">
      <c r="A3144" t="s">
        <v>62</v>
      </c>
      <c r="B3144" t="s">
        <v>3967</v>
      </c>
      <c r="C3144" t="str" cm="1">
        <f t="array" ref="C3144">CleanText(B3144)</f>
        <v>what a load of woke bollocks</v>
      </c>
      <c r="D3144">
        <v>0</v>
      </c>
      <c r="E3144">
        <v>2</v>
      </c>
      <c r="F3144" t="s">
        <v>10</v>
      </c>
      <c r="G3144" t="str" cm="1">
        <f t="array" ref="G3144">FindCountryName(F3144)</f>
        <v>None</v>
      </c>
      <c r="H3144" s="3">
        <v>45144.141342592593</v>
      </c>
      <c r="I3144" s="3">
        <v>45144.141342592593</v>
      </c>
      <c r="J3144" s="3">
        <v>44422.737638888888</v>
      </c>
      <c r="K3144" cm="1">
        <f t="array" ref="K3144">sentimentCalc(C3144)</f>
        <v>0</v>
      </c>
      <c r="L3144" t="str" cm="1">
        <f t="array" ref="L3144">sentimentCategory(K3144)</f>
        <v>Neutral</v>
      </c>
    </row>
    <row r="3145" spans="1:12" x14ac:dyDescent="0.25">
      <c r="A3145" t="s">
        <v>427</v>
      </c>
      <c r="B3145" t="s">
        <v>428</v>
      </c>
      <c r="C3145" t="str" cm="1">
        <f t="array" ref="C3145">CleanText(B3145)</f>
        <v>what a movie brilliant</v>
      </c>
      <c r="D3145">
        <v>0</v>
      </c>
      <c r="E3145">
        <v>0</v>
      </c>
      <c r="F3145" t="s">
        <v>10</v>
      </c>
      <c r="G3145" t="str" cm="1">
        <f t="array" ref="G3145">FindCountryName(F3145)</f>
        <v>None</v>
      </c>
      <c r="H3145" s="3">
        <v>45322.271851851852</v>
      </c>
      <c r="I3145" s="3">
        <v>45322.271851851852</v>
      </c>
      <c r="J3145" s="3">
        <v>42939.900590277779</v>
      </c>
      <c r="K3145" cm="1">
        <f t="array" ref="K3145">sentimentCalc(C3145)</f>
        <v>4</v>
      </c>
      <c r="L3145" t="str" cm="1">
        <f t="array" ref="L3145">sentimentCategory(K3145)</f>
        <v>Positive</v>
      </c>
    </row>
    <row r="3146" spans="1:12" x14ac:dyDescent="0.25">
      <c r="A3146" t="s">
        <v>3908</v>
      </c>
      <c r="B3146" t="s">
        <v>3994</v>
      </c>
      <c r="C3146" t="str" cm="1">
        <f t="array" ref="C3146">CleanText(B3146)</f>
        <v>what a piece of junk movie</v>
      </c>
      <c r="D3146">
        <v>1</v>
      </c>
      <c r="E3146">
        <v>0</v>
      </c>
      <c r="F3146" t="s">
        <v>10</v>
      </c>
      <c r="G3146" t="str" cm="1">
        <f t="array" ref="G3146">FindCountryName(F3146)</f>
        <v>None</v>
      </c>
      <c r="H3146" s="3">
        <v>45143.904097222221</v>
      </c>
      <c r="I3146" s="3">
        <v>45143.904097222221</v>
      </c>
      <c r="J3146" s="3">
        <v>42007.565844907411</v>
      </c>
      <c r="K3146" cm="1">
        <f t="array" ref="K3146">sentimentCalc(C3146)</f>
        <v>0</v>
      </c>
      <c r="L3146" t="str" cm="1">
        <f t="array" ref="L3146">sentimentCategory(K3146)</f>
        <v>Neutral</v>
      </c>
    </row>
    <row r="3147" spans="1:12" x14ac:dyDescent="0.25">
      <c r="A3147" t="s">
        <v>1100</v>
      </c>
      <c r="B3147" t="s">
        <v>1101</v>
      </c>
      <c r="C3147" t="str" cm="1">
        <f t="array" ref="C3147">CleanText(B3147)</f>
        <v>what a stupid corny movie</v>
      </c>
      <c r="D3147">
        <v>3</v>
      </c>
      <c r="E3147">
        <v>1</v>
      </c>
      <c r="F3147" t="s">
        <v>10</v>
      </c>
      <c r="G3147" t="str" cm="1">
        <f t="array" ref="G3147">FindCountryName(F3147)</f>
        <v>None</v>
      </c>
      <c r="H3147" s="3">
        <v>45289.552060185182</v>
      </c>
      <c r="I3147" s="3">
        <v>45289.552060185182</v>
      </c>
      <c r="J3147" s="3">
        <v>44738.758761574078</v>
      </c>
      <c r="K3147" cm="1">
        <f t="array" ref="K3147">sentimentCalc(C3147)</f>
        <v>-2</v>
      </c>
      <c r="L3147" t="str" cm="1">
        <f t="array" ref="L3147">sentimentCategory(K3147)</f>
        <v>Negative</v>
      </c>
    </row>
    <row r="3148" spans="1:12" x14ac:dyDescent="0.25">
      <c r="A3148" t="s">
        <v>527</v>
      </c>
      <c r="B3148" t="s">
        <v>2783</v>
      </c>
      <c r="C3148" t="str" cm="1">
        <f t="array" ref="C3148">CleanText(B3148)</f>
        <v>what a stupid movie wow as if people like this i didnt even finish it skipped half and skimmed the rest watching it online  soo dumb</v>
      </c>
      <c r="D3148">
        <v>4</v>
      </c>
      <c r="E3148">
        <v>3</v>
      </c>
      <c r="F3148" t="s">
        <v>10</v>
      </c>
      <c r="G3148" t="str" cm="1">
        <f t="array" ref="G3148">FindCountryName(F3148)</f>
        <v>None</v>
      </c>
      <c r="H3148" s="3">
        <v>45158.010879629626</v>
      </c>
      <c r="I3148" s="3">
        <v>45158.010868055557</v>
      </c>
      <c r="J3148" s="3">
        <v>43004.397233796299</v>
      </c>
      <c r="K3148" cm="1">
        <f t="array" ref="K3148">sentimentCalc(C3148)</f>
        <v>1</v>
      </c>
      <c r="L3148" t="str" cm="1">
        <f t="array" ref="L3148">sentimentCategory(K3148)</f>
        <v>Positive</v>
      </c>
    </row>
    <row r="3149" spans="1:12" x14ac:dyDescent="0.25">
      <c r="A3149" t="s">
        <v>465</v>
      </c>
      <c r="B3149" t="s">
        <v>2500</v>
      </c>
      <c r="C3149" t="str" cm="1">
        <f t="array" ref="C3149">CleanText(B3149)</f>
        <v>what a stupid movie</v>
      </c>
      <c r="D3149">
        <v>3</v>
      </c>
      <c r="E3149">
        <v>0</v>
      </c>
      <c r="F3149" t="s">
        <v>10</v>
      </c>
      <c r="G3149" t="str" cm="1">
        <f t="array" ref="G3149">FindCountryName(F3149)</f>
        <v>None</v>
      </c>
      <c r="H3149" s="3">
        <v>45164.913263888891</v>
      </c>
      <c r="I3149" s="3">
        <v>45164.913263888891</v>
      </c>
      <c r="J3149" s="3">
        <v>42437.612430555557</v>
      </c>
      <c r="K3149" cm="1">
        <f t="array" ref="K3149">sentimentCalc(C3149)</f>
        <v>-2</v>
      </c>
      <c r="L3149" t="str" cm="1">
        <f t="array" ref="L3149">sentimentCategory(K3149)</f>
        <v>Negative</v>
      </c>
    </row>
    <row r="3150" spans="1:12" x14ac:dyDescent="0.25">
      <c r="A3150" t="s">
        <v>1752</v>
      </c>
      <c r="B3150" t="s">
        <v>1753</v>
      </c>
      <c r="C3150" t="str" cm="1">
        <f t="array" ref="C3150">CleanText(B3150)</f>
        <v>what a waste of film</v>
      </c>
      <c r="D3150">
        <v>1</v>
      </c>
      <c r="E3150">
        <v>0</v>
      </c>
      <c r="F3150" t="s">
        <v>10</v>
      </c>
      <c r="G3150" t="str" cm="1">
        <f t="array" ref="G3150">FindCountryName(F3150)</f>
        <v>None</v>
      </c>
      <c r="H3150" s="3">
        <v>45197.01021990741</v>
      </c>
      <c r="I3150" s="3">
        <v>45197.01021990741</v>
      </c>
      <c r="J3150" s="3">
        <v>41629.071006944447</v>
      </c>
      <c r="K3150" cm="1">
        <f t="array" ref="K3150">sentimentCalc(C3150)</f>
        <v>-1</v>
      </c>
      <c r="L3150" t="str" cm="1">
        <f t="array" ref="L3150">sentimentCategory(K3150)</f>
        <v>Negative</v>
      </c>
    </row>
    <row r="3151" spans="1:12" x14ac:dyDescent="0.25">
      <c r="A3151" t="s">
        <v>559</v>
      </c>
      <c r="B3151" t="s">
        <v>2623</v>
      </c>
      <c r="C3151" t="str" cm="1">
        <f t="array" ref="C3151">CleanText(B3151)</f>
        <v>what a waste of time</v>
      </c>
      <c r="D3151">
        <v>0</v>
      </c>
      <c r="E3151">
        <v>0</v>
      </c>
      <c r="F3151" t="s">
        <v>10</v>
      </c>
      <c r="G3151" t="str" cm="1">
        <f t="array" ref="G3151">FindCountryName(F3151)</f>
        <v>None</v>
      </c>
      <c r="H3151" s="3">
        <v>45161.521157407406</v>
      </c>
      <c r="I3151" s="3">
        <v>45161.521157407406</v>
      </c>
      <c r="J3151" s="3">
        <v>42562.56621527778</v>
      </c>
      <c r="K3151" cm="1">
        <f t="array" ref="K3151">sentimentCalc(C3151)</f>
        <v>-1</v>
      </c>
      <c r="L3151" t="str" cm="1">
        <f t="array" ref="L3151">sentimentCategory(K3151)</f>
        <v>Negative</v>
      </c>
    </row>
    <row r="3152" spans="1:12" x14ac:dyDescent="0.25">
      <c r="A3152" t="s">
        <v>201</v>
      </c>
      <c r="B3152" t="s">
        <v>3059</v>
      </c>
      <c r="C3152" t="str" cm="1">
        <f t="array" ref="C3152">CleanText(B3152)</f>
        <v>what an amazing inspiring movie for females</v>
      </c>
      <c r="D3152">
        <v>0</v>
      </c>
      <c r="E3152">
        <v>0</v>
      </c>
      <c r="F3152" t="s">
        <v>10</v>
      </c>
      <c r="G3152" t="str" cm="1">
        <f t="array" ref="G3152">FindCountryName(F3152)</f>
        <v>None</v>
      </c>
      <c r="H3152" s="3">
        <v>45153.863194444442</v>
      </c>
      <c r="I3152" s="3">
        <v>45153.863194444442</v>
      </c>
      <c r="J3152" s="3">
        <v>45153.703159722223</v>
      </c>
      <c r="K3152" cm="1">
        <f t="array" ref="K3152">sentimentCalc(C3152)</f>
        <v>7</v>
      </c>
      <c r="L3152" t="str" cm="1">
        <f t="array" ref="L3152">sentimentCategory(K3152)</f>
        <v>Positive</v>
      </c>
    </row>
    <row r="3153" spans="1:12" x14ac:dyDescent="0.25">
      <c r="A3153" t="s">
        <v>3564</v>
      </c>
      <c r="B3153" t="s">
        <v>3596</v>
      </c>
      <c r="C3153" t="str" cm="1">
        <f t="array" ref="C3153">CleanText(B3153)</f>
        <v>what an amazing movie</v>
      </c>
      <c r="D3153">
        <v>1</v>
      </c>
      <c r="E3153">
        <v>0</v>
      </c>
      <c r="F3153" t="s">
        <v>10</v>
      </c>
      <c r="G3153" t="str" cm="1">
        <f t="array" ref="G3153">FindCountryName(F3153)</f>
        <v>None</v>
      </c>
      <c r="H3153" s="3">
        <v>45147.299432870372</v>
      </c>
      <c r="I3153" s="3">
        <v>45147.299432870372</v>
      </c>
      <c r="J3153" s="3">
        <v>39481.681446759256</v>
      </c>
      <c r="K3153" cm="1">
        <f t="array" ref="K3153">sentimentCalc(C3153)</f>
        <v>4</v>
      </c>
      <c r="L3153" t="str" cm="1">
        <f t="array" ref="L3153">sentimentCategory(K3153)</f>
        <v>Positive</v>
      </c>
    </row>
    <row r="3154" spans="1:12" x14ac:dyDescent="0.25">
      <c r="A3154" t="s">
        <v>3119</v>
      </c>
      <c r="B3154" t="s">
        <v>3476</v>
      </c>
      <c r="C3154" t="str" cm="1">
        <f t="array" ref="C3154">CleanText(B3154)</f>
        <v>what an amazing piece of satire really well done at first i didnt get it but now i know its satire awesome sharing it with all i know and letting them know its satire thanks guys</v>
      </c>
      <c r="D3154">
        <v>0</v>
      </c>
      <c r="E3154">
        <v>0</v>
      </c>
      <c r="F3154" t="s">
        <v>10</v>
      </c>
      <c r="G3154" t="str" cm="1">
        <f t="array" ref="G3154">FindCountryName(F3154)</f>
        <v>None</v>
      </c>
      <c r="H3154" s="3">
        <v>45148.516886574071</v>
      </c>
      <c r="I3154" s="3">
        <v>45148.516886574071</v>
      </c>
      <c r="J3154" s="3">
        <v>44332.750752314816</v>
      </c>
      <c r="K3154" cm="1">
        <f t="array" ref="K3154">sentimentCalc(C3154)</f>
        <v>10</v>
      </c>
      <c r="L3154" t="str" cm="1">
        <f t="array" ref="L3154">sentimentCategory(K3154)</f>
        <v>Positive</v>
      </c>
    </row>
    <row r="3155" spans="1:12" x14ac:dyDescent="0.25">
      <c r="A3155" t="s">
        <v>788</v>
      </c>
      <c r="B3155" t="s">
        <v>4140</v>
      </c>
      <c r="C3155" t="str" cm="1">
        <f t="array" ref="C3155">CleanText(B3155)</f>
        <v>what happened to sindy</v>
      </c>
      <c r="D3155">
        <v>0</v>
      </c>
      <c r="E3155">
        <v>0</v>
      </c>
      <c r="F3155" t="s">
        <v>10</v>
      </c>
      <c r="G3155" t="str" cm="1">
        <f t="array" ref="G3155">FindCountryName(F3155)</f>
        <v>None</v>
      </c>
      <c r="H3155" s="3">
        <v>45142.595648148148</v>
      </c>
      <c r="I3155" s="3">
        <v>45142.595648148148</v>
      </c>
      <c r="J3155" s="3">
        <v>41351.305590277778</v>
      </c>
      <c r="K3155" cm="1">
        <f t="array" ref="K3155">sentimentCalc(C3155)</f>
        <v>0</v>
      </c>
      <c r="L3155" t="str" cm="1">
        <f t="array" ref="L3155">sentimentCategory(K3155)</f>
        <v>Neutral</v>
      </c>
    </row>
    <row r="3156" spans="1:12" x14ac:dyDescent="0.25">
      <c r="A3156" t="s">
        <v>169</v>
      </c>
      <c r="B3156" t="s">
        <v>4267</v>
      </c>
      <c r="C3156" t="str" cm="1">
        <f t="array" ref="C3156">CleanText(B3156)</f>
        <v>what i dont get is how come barbie isnt played by lizzo or dylan mulwaney or whatever is his name you know the bud beer guy</v>
      </c>
      <c r="D3156">
        <v>0</v>
      </c>
      <c r="E3156">
        <v>0</v>
      </c>
      <c r="F3156" t="s">
        <v>10</v>
      </c>
      <c r="G3156" t="str" cm="1">
        <f t="array" ref="G3156">FindCountryName(F3156)</f>
        <v>None</v>
      </c>
      <c r="H3156" s="3">
        <v>45141.363854166666</v>
      </c>
      <c r="I3156" s="3">
        <v>45141.363854166666</v>
      </c>
      <c r="J3156" s="3">
        <v>44401.224733796298</v>
      </c>
      <c r="K3156" cm="1">
        <f t="array" ref="K3156">sentimentCalc(C3156)</f>
        <v>0</v>
      </c>
      <c r="L3156" t="str" cm="1">
        <f t="array" ref="L3156">sentimentCategory(K3156)</f>
        <v>Neutral</v>
      </c>
    </row>
    <row r="3157" spans="1:12" x14ac:dyDescent="0.25">
      <c r="A3157" t="s">
        <v>718</v>
      </c>
      <c r="B3157" t="s">
        <v>3940</v>
      </c>
      <c r="C3157" t="str" cm="1">
        <f t="array" ref="C3157">CleanText(B3157)</f>
        <v>what if barbie was made black</v>
      </c>
      <c r="D3157">
        <v>0</v>
      </c>
      <c r="E3157">
        <v>2</v>
      </c>
      <c r="F3157" t="s">
        <v>1187</v>
      </c>
      <c r="G3157" t="str" cm="1">
        <f t="array" ref="G3157">FindCountryName(F3157)</f>
        <v>Jamaica</v>
      </c>
      <c r="H3157" s="3">
        <v>45144.354710648149</v>
      </c>
      <c r="I3157" s="3">
        <v>45144.354710648149</v>
      </c>
      <c r="J3157" s="3">
        <v>41768.542673611111</v>
      </c>
      <c r="K3157" cm="1">
        <f t="array" ref="K3157">sentimentCalc(C3157)</f>
        <v>0</v>
      </c>
      <c r="L3157" t="str" cm="1">
        <f t="array" ref="L3157">sentimentCategory(K3157)</f>
        <v>Neutral</v>
      </c>
    </row>
    <row r="3158" spans="1:12" x14ac:dyDescent="0.25">
      <c r="A3158" t="s">
        <v>79</v>
      </c>
      <c r="B3158" t="s">
        <v>3051</v>
      </c>
      <c r="C3158" t="str" cm="1">
        <f t="array" ref="C3158">CleanText(B3158)</f>
        <v>what insipidity</v>
      </c>
      <c r="D3158">
        <v>1</v>
      </c>
      <c r="E3158">
        <v>0</v>
      </c>
      <c r="F3158" t="s">
        <v>10</v>
      </c>
      <c r="G3158" t="str" cm="1">
        <f t="array" ref="G3158">FindCountryName(F3158)</f>
        <v>None</v>
      </c>
      <c r="H3158" s="3">
        <v>45154.032766203702</v>
      </c>
      <c r="I3158" s="3">
        <v>45154.032766203702</v>
      </c>
      <c r="J3158" s="3">
        <v>40819.817546296297</v>
      </c>
      <c r="K3158" cm="1">
        <f t="array" ref="K3158">sentimentCalc(C3158)</f>
        <v>0</v>
      </c>
      <c r="L3158" t="str" cm="1">
        <f t="array" ref="L3158">sentimentCategory(K3158)</f>
        <v>Neutral</v>
      </c>
    </row>
    <row r="3159" spans="1:12" x14ac:dyDescent="0.25">
      <c r="A3159" t="s">
        <v>4121</v>
      </c>
      <c r="B3159" t="s">
        <v>4122</v>
      </c>
      <c r="C3159" t="str" cm="1">
        <f t="array" ref="C3159">CleanText(B3159)</f>
        <v>what is it onnnn</v>
      </c>
      <c r="D3159">
        <v>1</v>
      </c>
      <c r="E3159">
        <v>0</v>
      </c>
      <c r="F3159" t="s">
        <v>10</v>
      </c>
      <c r="G3159" t="str" cm="1">
        <f t="array" ref="G3159">FindCountryName(F3159)</f>
        <v>None</v>
      </c>
      <c r="H3159" s="3">
        <v>45142.699525462966</v>
      </c>
      <c r="I3159" s="3">
        <v>45142.699525462966</v>
      </c>
      <c r="J3159" s="3">
        <v>44931.940069444441</v>
      </c>
      <c r="K3159" cm="1">
        <f t="array" ref="K3159">sentimentCalc(C3159)</f>
        <v>0</v>
      </c>
      <c r="L3159" t="str" cm="1">
        <f t="array" ref="L3159">sentimentCategory(K3159)</f>
        <v>Neutral</v>
      </c>
    </row>
    <row r="3160" spans="1:12" x14ac:dyDescent="0.25">
      <c r="A3160" t="s">
        <v>331</v>
      </c>
      <c r="B3160" t="s">
        <v>3500</v>
      </c>
      <c r="C3160" t="str" cm="1">
        <f t="array" ref="C3160">CleanText(B3160)</f>
        <v>what is mugatu doing here</v>
      </c>
      <c r="D3160">
        <v>0</v>
      </c>
      <c r="E3160">
        <v>0</v>
      </c>
      <c r="F3160" t="s">
        <v>10</v>
      </c>
      <c r="G3160" t="str" cm="1">
        <f t="array" ref="G3160">FindCountryName(F3160)</f>
        <v>None</v>
      </c>
      <c r="H3160" s="3">
        <v>45148.196956018517</v>
      </c>
      <c r="I3160" s="3">
        <v>45148.196944444448</v>
      </c>
      <c r="J3160" s="3">
        <v>44668.384305555555</v>
      </c>
      <c r="K3160" cm="1">
        <f t="array" ref="K3160">sentimentCalc(C3160)</f>
        <v>0</v>
      </c>
      <c r="L3160" t="str" cm="1">
        <f t="array" ref="L3160">sentimentCategory(K3160)</f>
        <v>Neutral</v>
      </c>
    </row>
    <row r="3161" spans="1:12" x14ac:dyDescent="0.25">
      <c r="A3161" t="s">
        <v>68</v>
      </c>
      <c r="B3161" t="s">
        <v>69</v>
      </c>
      <c r="C3161" t="str" cm="1">
        <f t="array" ref="C3161">CleanText(B3161)</f>
        <v>what is that</v>
      </c>
      <c r="D3161">
        <v>0</v>
      </c>
      <c r="E3161">
        <v>0</v>
      </c>
      <c r="F3161" t="s">
        <v>10</v>
      </c>
      <c r="G3161" t="str" cm="1">
        <f t="array" ref="G3161">FindCountryName(F3161)</f>
        <v>None</v>
      </c>
      <c r="H3161" s="3">
        <v>45342.534513888888</v>
      </c>
      <c r="I3161" s="3">
        <v>45342.534513888888</v>
      </c>
      <c r="J3161" s="3">
        <v>39769.34778935185</v>
      </c>
      <c r="K3161" cm="1">
        <f t="array" ref="K3161">sentimentCalc(C3161)</f>
        <v>0</v>
      </c>
      <c r="L3161" t="str" cm="1">
        <f t="array" ref="L3161">sentimentCategory(K3161)</f>
        <v>Neutral</v>
      </c>
    </row>
    <row r="3162" spans="1:12" x14ac:dyDescent="0.25">
      <c r="A3162" t="s">
        <v>629</v>
      </c>
      <c r="B3162" t="s">
        <v>630</v>
      </c>
      <c r="C3162" t="str" cm="1">
        <f t="array" ref="C3162">CleanText(B3162)</f>
        <v>what is the hype about i dont see what is new or feminist about this movie just seems like a campaign for mattel because they have figured out they have to purple wash barbie in order to survive still promoting superficial identity constructs and none of the clips or supposedly profound quotes i have seen from the movie have been radical or thoughtprovoking i grew up in the early s and played a lot with barbies but then i grew up is it a kids movie with something for the whole family or</v>
      </c>
      <c r="D3162">
        <v>0</v>
      </c>
      <c r="E3162">
        <v>3</v>
      </c>
      <c r="F3162" t="s">
        <v>10</v>
      </c>
      <c r="G3162" t="str" cm="1">
        <f t="array" ref="G3162">FindCountryName(F3162)</f>
        <v>None</v>
      </c>
      <c r="H3162" s="3">
        <v>45314.636631944442</v>
      </c>
      <c r="I3162" s="3">
        <v>45314.636631944442</v>
      </c>
      <c r="J3162" s="3">
        <v>40284.454548611109</v>
      </c>
      <c r="K3162" cm="1">
        <f t="array" ref="K3162">sentimentCalc(C3162)</f>
        <v>3</v>
      </c>
      <c r="L3162" t="str" cm="1">
        <f t="array" ref="L3162">sentimentCategory(K3162)</f>
        <v>Positive</v>
      </c>
    </row>
    <row r="3163" spans="1:12" x14ac:dyDescent="0.25">
      <c r="A3163" t="s">
        <v>2806</v>
      </c>
      <c r="B3163" t="s">
        <v>2807</v>
      </c>
      <c r="C3163" t="str" cm="1">
        <f t="array" ref="C3163">CleanText(B3163)</f>
        <v>what is the joker doing</v>
      </c>
      <c r="D3163">
        <v>0</v>
      </c>
      <c r="E3163">
        <v>0</v>
      </c>
      <c r="F3163" t="s">
        <v>1611</v>
      </c>
      <c r="G3163" t="str" cm="1">
        <f t="array" ref="G3163">FindCountryName(F3163)</f>
        <v>Azerbaijan</v>
      </c>
      <c r="H3163" s="3">
        <v>45157.609502314815</v>
      </c>
      <c r="I3163" s="3">
        <v>45157.609502314815</v>
      </c>
      <c r="J3163" s="3">
        <v>42386.731111111112</v>
      </c>
      <c r="K3163" cm="1">
        <f t="array" ref="K3163">sentimentCalc(C3163)</f>
        <v>0</v>
      </c>
      <c r="L3163" t="str" cm="1">
        <f t="array" ref="L3163">sentimentCategory(K3163)</f>
        <v>Neutral</v>
      </c>
    </row>
    <row r="3164" spans="1:12" x14ac:dyDescent="0.25">
      <c r="A3164" t="s">
        <v>609</v>
      </c>
      <c r="B3164" t="s">
        <v>3883</v>
      </c>
      <c r="C3164" t="str" cm="1">
        <f t="array" ref="C3164">CleanText(B3164)</f>
        <v>what is this cringe</v>
      </c>
      <c r="D3164">
        <v>0</v>
      </c>
      <c r="E3164">
        <v>2</v>
      </c>
      <c r="F3164" t="s">
        <v>147</v>
      </c>
      <c r="G3164" t="str" cm="1">
        <f t="array" ref="G3164">FindCountryName(F3164)</f>
        <v>France</v>
      </c>
      <c r="H3164" s="3">
        <v>45144.736458333333</v>
      </c>
      <c r="I3164" s="3">
        <v>45144.736458333333</v>
      </c>
      <c r="J3164" s="3">
        <v>42176.480243055557</v>
      </c>
      <c r="K3164" cm="1">
        <f t="array" ref="K3164">sentimentCalc(C3164)</f>
        <v>0</v>
      </c>
      <c r="L3164" t="str" cm="1">
        <f t="array" ref="L3164">sentimentCategory(K3164)</f>
        <v>Neutral</v>
      </c>
    </row>
    <row r="3165" spans="1:12" x14ac:dyDescent="0.25">
      <c r="A3165" t="s">
        <v>1065</v>
      </c>
      <c r="B3165" t="s">
        <v>4019</v>
      </c>
      <c r="C3165" t="str" cm="1">
        <f t="array" ref="C3165">CleanText(B3165)</f>
        <v>what is this</v>
      </c>
      <c r="D3165">
        <v>0</v>
      </c>
      <c r="E3165">
        <v>0</v>
      </c>
      <c r="F3165" t="s">
        <v>10</v>
      </c>
      <c r="G3165" t="str" cm="1">
        <f t="array" ref="G3165">FindCountryName(F3165)</f>
        <v>None</v>
      </c>
      <c r="H3165" s="3">
        <v>45143.620625000003</v>
      </c>
      <c r="I3165" s="3">
        <v>45143.620625000003</v>
      </c>
      <c r="J3165" s="3">
        <v>41104.827326388891</v>
      </c>
      <c r="K3165" cm="1">
        <f t="array" ref="K3165">sentimentCalc(C3165)</f>
        <v>0</v>
      </c>
      <c r="L3165" t="str" cm="1">
        <f t="array" ref="L3165">sentimentCategory(K3165)</f>
        <v>Neutral</v>
      </c>
    </row>
    <row r="3166" spans="1:12" x14ac:dyDescent="0.25">
      <c r="A3166" t="s">
        <v>472</v>
      </c>
      <c r="B3166" t="s">
        <v>3138</v>
      </c>
      <c r="C3166" t="str" cm="1">
        <f t="array" ref="C3166">CleanText(B3166)</f>
        <v>what is this now</v>
      </c>
      <c r="D3166">
        <v>0</v>
      </c>
      <c r="E3166">
        <v>0</v>
      </c>
      <c r="F3166" t="s">
        <v>10</v>
      </c>
      <c r="G3166" t="str" cm="1">
        <f t="array" ref="G3166">FindCountryName(F3166)</f>
        <v>None</v>
      </c>
      <c r="H3166" s="3">
        <v>45152.768645833334</v>
      </c>
      <c r="I3166" s="3">
        <v>45152.768645833334</v>
      </c>
      <c r="J3166" s="3">
        <v>43126.79278935185</v>
      </c>
      <c r="K3166" cm="1">
        <f t="array" ref="K3166">sentimentCalc(C3166)</f>
        <v>0</v>
      </c>
      <c r="L3166" t="str" cm="1">
        <f t="array" ref="L3166">sentimentCategory(K3166)</f>
        <v>Neutral</v>
      </c>
    </row>
    <row r="3167" spans="1:12" x14ac:dyDescent="0.25">
      <c r="A3167" t="s">
        <v>453</v>
      </c>
      <c r="B3167" t="s">
        <v>1213</v>
      </c>
      <c r="C3167" t="str" cm="1">
        <f t="array" ref="C3167">CleanText(B3167)</f>
        <v>what is this trash is this what passes as entertaining now</v>
      </c>
      <c r="D3167">
        <v>7</v>
      </c>
      <c r="E3167">
        <v>4</v>
      </c>
      <c r="F3167" t="s">
        <v>10</v>
      </c>
      <c r="G3167" t="str" cm="1">
        <f t="array" ref="G3167">FindCountryName(F3167)</f>
        <v>None</v>
      </c>
      <c r="H3167" s="3">
        <v>45275.768182870372</v>
      </c>
      <c r="I3167" s="3">
        <v>45275.768182870372</v>
      </c>
      <c r="J3167" s="3">
        <v>42403.900243055556</v>
      </c>
      <c r="K3167" cm="1">
        <f t="array" ref="K3167">sentimentCalc(C3167)</f>
        <v>2</v>
      </c>
      <c r="L3167" t="str" cm="1">
        <f t="array" ref="L3167">sentimentCategory(K3167)</f>
        <v>Positive</v>
      </c>
    </row>
    <row r="3168" spans="1:12" x14ac:dyDescent="0.25">
      <c r="A3168" t="s">
        <v>20</v>
      </c>
      <c r="B3168" t="s">
        <v>21</v>
      </c>
      <c r="C3168" t="str" cm="1">
        <f t="array" ref="C3168">CleanText(B3168)</f>
        <v>what makes people want to watch movies like this i cant believe it is one of the highest grossing movies of all time</v>
      </c>
      <c r="D3168">
        <v>0</v>
      </c>
      <c r="E3168">
        <v>1</v>
      </c>
      <c r="F3168" t="s">
        <v>10</v>
      </c>
      <c r="G3168" t="str" cm="1">
        <f t="array" ref="G3168">FindCountryName(F3168)</f>
        <v>None</v>
      </c>
      <c r="H3168" s="3">
        <v>45349.759745370371</v>
      </c>
      <c r="I3168" s="3">
        <v>45349.759745370371</v>
      </c>
      <c r="J3168" s="3">
        <v>42254.906400462962</v>
      </c>
      <c r="K3168" cm="1">
        <f t="array" ref="K3168">sentimentCalc(C3168)</f>
        <v>3</v>
      </c>
      <c r="L3168" t="str" cm="1">
        <f t="array" ref="L3168">sentimentCategory(K3168)</f>
        <v>Positive</v>
      </c>
    </row>
    <row r="3169" spans="1:12" x14ac:dyDescent="0.25">
      <c r="A3169" t="s">
        <v>156</v>
      </c>
      <c r="B3169" t="s">
        <v>2350</v>
      </c>
      <c r="C3169" t="str" cm="1">
        <f t="array" ref="C3169">CleanText(B3169)</f>
        <v>what the</v>
      </c>
      <c r="D3169">
        <v>0</v>
      </c>
      <c r="E3169">
        <v>0</v>
      </c>
      <c r="F3169" t="s">
        <v>10</v>
      </c>
      <c r="G3169" t="str" cm="1">
        <f t="array" ref="G3169">FindCountryName(F3169)</f>
        <v>None</v>
      </c>
      <c r="H3169" s="3">
        <v>45171.332199074073</v>
      </c>
      <c r="I3169" s="3">
        <v>45171.332187499997</v>
      </c>
      <c r="J3169" s="3">
        <v>44112.746562499997</v>
      </c>
      <c r="K3169" cm="1">
        <f t="array" ref="K3169">sentimentCalc(C3169)</f>
        <v>0</v>
      </c>
      <c r="L3169" t="str" cm="1">
        <f t="array" ref="L3169">sentimentCategory(K3169)</f>
        <v>Neutral</v>
      </c>
    </row>
    <row r="3170" spans="1:12" x14ac:dyDescent="0.25">
      <c r="A3170" t="s">
        <v>256</v>
      </c>
      <c r="B3170" t="s">
        <v>3982</v>
      </c>
      <c r="C3170" t="str" cm="1">
        <f t="array" ref="C3170">CleanText(B3170)</f>
        <v>what the music call when they reach los ngeles</v>
      </c>
      <c r="D3170">
        <v>0</v>
      </c>
      <c r="E3170">
        <v>0</v>
      </c>
      <c r="F3170" t="s">
        <v>10</v>
      </c>
      <c r="G3170" t="str" cm="1">
        <f t="array" ref="G3170">FindCountryName(F3170)</f>
        <v>None</v>
      </c>
      <c r="H3170" s="3">
        <v>45144.019814814812</v>
      </c>
      <c r="I3170" s="3">
        <v>45144.019814814812</v>
      </c>
      <c r="J3170" s="3">
        <v>44405.752581018518</v>
      </c>
      <c r="K3170" cm="1">
        <f t="array" ref="K3170">sentimentCalc(C3170)</f>
        <v>1</v>
      </c>
      <c r="L3170" t="str" cm="1">
        <f t="array" ref="L3170">sentimentCategory(K3170)</f>
        <v>Positive</v>
      </c>
    </row>
    <row r="3171" spans="1:12" x14ac:dyDescent="0.25">
      <c r="A3171" t="s">
        <v>2107</v>
      </c>
      <c r="B3171" t="s">
        <v>2108</v>
      </c>
      <c r="C3171" t="str" cm="1">
        <f t="array" ref="C3171">CleanText(B3171)</f>
        <v>what the music</v>
      </c>
      <c r="D3171">
        <v>0</v>
      </c>
      <c r="E3171">
        <v>0</v>
      </c>
      <c r="F3171" t="s">
        <v>10</v>
      </c>
      <c r="G3171" t="str" cm="1">
        <f t="array" ref="G3171">FindCountryName(F3171)</f>
        <v>None</v>
      </c>
      <c r="H3171" s="3">
        <v>45180.391527777778</v>
      </c>
      <c r="I3171" s="3">
        <v>45180.391527777778</v>
      </c>
      <c r="J3171" s="3">
        <v>44311.312731481485</v>
      </c>
      <c r="K3171" cm="1">
        <f t="array" ref="K3171">sentimentCalc(C3171)</f>
        <v>0</v>
      </c>
      <c r="L3171" t="str" cm="1">
        <f t="array" ref="L3171">sentimentCategory(K3171)</f>
        <v>Neutral</v>
      </c>
    </row>
    <row r="3172" spans="1:12" x14ac:dyDescent="0.25">
      <c r="A3172" t="s">
        <v>481</v>
      </c>
      <c r="B3172" t="s">
        <v>2710</v>
      </c>
      <c r="C3172" t="str" cm="1">
        <f t="array" ref="C3172">CleanText(B3172)</f>
        <v>what time is barbie playing today</v>
      </c>
      <c r="D3172">
        <v>0</v>
      </c>
      <c r="E3172">
        <v>0</v>
      </c>
      <c r="F3172" t="s">
        <v>10</v>
      </c>
      <c r="G3172" t="str" cm="1">
        <f t="array" ref="G3172">FindCountryName(F3172)</f>
        <v>None</v>
      </c>
      <c r="H3172" s="3">
        <v>45159.4609375</v>
      </c>
      <c r="I3172" s="3">
        <v>45159.4609375</v>
      </c>
      <c r="J3172" s="3">
        <v>41428.321030092593</v>
      </c>
      <c r="K3172" cm="1">
        <f t="array" ref="K3172">sentimentCalc(C3172)</f>
        <v>0</v>
      </c>
      <c r="L3172" t="str" cm="1">
        <f t="array" ref="L3172">sentimentCategory(K3172)</f>
        <v>Neutral</v>
      </c>
    </row>
    <row r="3173" spans="1:12" x14ac:dyDescent="0.25">
      <c r="A3173" t="s">
        <v>481</v>
      </c>
      <c r="B3173" t="s">
        <v>2709</v>
      </c>
      <c r="C3173" t="str" cm="1">
        <f t="array" ref="C3173">CleanText(B3173)</f>
        <v>what time is this playing</v>
      </c>
      <c r="D3173">
        <v>0</v>
      </c>
      <c r="E3173">
        <v>0</v>
      </c>
      <c r="F3173" t="s">
        <v>10</v>
      </c>
      <c r="G3173" t="str" cm="1">
        <f t="array" ref="G3173">FindCountryName(F3173)</f>
        <v>None</v>
      </c>
      <c r="H3173" s="3">
        <v>45159.461469907408</v>
      </c>
      <c r="I3173" s="3">
        <v>45159.461469907408</v>
      </c>
      <c r="J3173" s="3">
        <v>41428.321030092593</v>
      </c>
      <c r="K3173" cm="1">
        <f t="array" ref="K3173">sentimentCalc(C3173)</f>
        <v>0</v>
      </c>
      <c r="L3173" t="str" cm="1">
        <f t="array" ref="L3173">sentimentCategory(K3173)</f>
        <v>Neutral</v>
      </c>
    </row>
    <row r="3174" spans="1:12" x14ac:dyDescent="0.25">
      <c r="A3174" t="s">
        <v>1325</v>
      </c>
      <c r="B3174" t="s">
        <v>1326</v>
      </c>
      <c r="C3174" t="str" cm="1">
        <f t="array" ref="C3174">CleanText(B3174)</f>
        <v>what title the third song</v>
      </c>
      <c r="D3174">
        <v>1</v>
      </c>
      <c r="E3174">
        <v>1</v>
      </c>
      <c r="F3174" t="s">
        <v>10</v>
      </c>
      <c r="G3174" t="str" cm="1">
        <f t="array" ref="G3174">FindCountryName(F3174)</f>
        <v>None</v>
      </c>
      <c r="H3174" s="3">
        <v>45245.005289351851</v>
      </c>
      <c r="I3174" s="3">
        <v>45245.005289351851</v>
      </c>
      <c r="J3174" s="3">
        <v>45093.001076388886</v>
      </c>
      <c r="K3174" cm="1">
        <f t="array" ref="K3174">sentimentCalc(C3174)</f>
        <v>0</v>
      </c>
      <c r="L3174" t="str" cm="1">
        <f t="array" ref="L3174">sentimentCategory(K3174)</f>
        <v>Neutral</v>
      </c>
    </row>
    <row r="3175" spans="1:12" x14ac:dyDescent="0.25">
      <c r="A3175" t="s">
        <v>616</v>
      </c>
      <c r="B3175" t="s">
        <v>617</v>
      </c>
      <c r="C3175" t="str" cm="1">
        <f t="array" ref="C3175">CleanText(B3175)</f>
        <v>what will heartspacerealized barbie be like</v>
      </c>
      <c r="D3175">
        <v>0</v>
      </c>
      <c r="E3175">
        <v>0</v>
      </c>
      <c r="F3175" t="s">
        <v>10</v>
      </c>
      <c r="G3175" t="str" cm="1">
        <f t="array" ref="G3175">FindCountryName(F3175)</f>
        <v>None</v>
      </c>
      <c r="H3175" s="3">
        <v>45315.222557870373</v>
      </c>
      <c r="I3175" s="3">
        <v>45315.222557870373</v>
      </c>
      <c r="J3175" s="3">
        <v>39215.851203703707</v>
      </c>
      <c r="K3175" cm="1">
        <f t="array" ref="K3175">sentimentCalc(C3175)</f>
        <v>2</v>
      </c>
      <c r="L3175" t="str" cm="1">
        <f t="array" ref="L3175">sentimentCategory(K3175)</f>
        <v>Positive</v>
      </c>
    </row>
    <row r="3176" spans="1:12" x14ac:dyDescent="0.25">
      <c r="A3176" t="s">
        <v>472</v>
      </c>
      <c r="B3176" t="s">
        <v>4389</v>
      </c>
      <c r="C3176" t="str" cm="1">
        <f t="array" ref="C3176">CleanText(B3176)</f>
        <v>whats that  a nightmare in pink</v>
      </c>
      <c r="D3176">
        <v>0</v>
      </c>
      <c r="E3176">
        <v>1</v>
      </c>
      <c r="F3176" t="s">
        <v>1050</v>
      </c>
      <c r="G3176" t="str" cm="1">
        <f t="array" ref="G3176">FindCountryName(F3176)</f>
        <v>Germany</v>
      </c>
      <c r="H3176" s="3">
        <v>45140.502592592595</v>
      </c>
      <c r="I3176" s="3">
        <v>45140.502592592595</v>
      </c>
      <c r="J3176" s="3">
        <v>43179.261886574073</v>
      </c>
      <c r="K3176" cm="1">
        <f t="array" ref="K3176">sentimentCalc(C3176)</f>
        <v>0</v>
      </c>
      <c r="L3176" t="str" cm="1">
        <f t="array" ref="L3176">sentimentCategory(K3176)</f>
        <v>Neutral</v>
      </c>
    </row>
    <row r="3177" spans="1:12" x14ac:dyDescent="0.25">
      <c r="A3177" t="s">
        <v>1572</v>
      </c>
      <c r="B3177" t="s">
        <v>4028</v>
      </c>
      <c r="C3177" t="str" cm="1">
        <f t="array" ref="C3177">CleanText(B3177)</f>
        <v>whats it on netflix</v>
      </c>
      <c r="D3177">
        <v>0</v>
      </c>
      <c r="E3177">
        <v>2</v>
      </c>
      <c r="F3177" t="s">
        <v>10</v>
      </c>
      <c r="G3177" t="str" cm="1">
        <f t="array" ref="G3177">FindCountryName(F3177)</f>
        <v>None</v>
      </c>
      <c r="H3177" s="3">
        <v>45143.592916666668</v>
      </c>
      <c r="I3177" s="3">
        <v>45143.592916666668</v>
      </c>
      <c r="J3177" s="3">
        <v>44578.52516203704</v>
      </c>
      <c r="K3177" cm="1">
        <f t="array" ref="K3177">sentimentCalc(C3177)</f>
        <v>0</v>
      </c>
      <c r="L3177" t="str" cm="1">
        <f t="array" ref="L3177">sentimentCategory(K3177)</f>
        <v>Neutral</v>
      </c>
    </row>
    <row r="3178" spans="1:12" x14ac:dyDescent="0.25">
      <c r="A3178" t="s">
        <v>360</v>
      </c>
      <c r="B3178" t="s">
        <v>1327</v>
      </c>
      <c r="C3178" t="str" cm="1">
        <f t="array" ref="C3178">CleanText(B3178)</f>
        <v>whats up barbie</v>
      </c>
      <c r="D3178">
        <v>1</v>
      </c>
      <c r="E3178">
        <v>0</v>
      </c>
      <c r="F3178" t="s">
        <v>10</v>
      </c>
      <c r="G3178" t="str" cm="1">
        <f t="array" ref="G3178">FindCountryName(F3178)</f>
        <v>None</v>
      </c>
      <c r="H3178" s="3">
        <v>45244.231874999998</v>
      </c>
      <c r="I3178" s="3">
        <v>45244.231874999998</v>
      </c>
      <c r="J3178" s="3">
        <v>44119.442685185182</v>
      </c>
      <c r="K3178" cm="1">
        <f t="array" ref="K3178">sentimentCalc(C3178)</f>
        <v>0</v>
      </c>
      <c r="L3178" t="str" cm="1">
        <f t="array" ref="L3178">sentimentCategory(K3178)</f>
        <v>Neutral</v>
      </c>
    </row>
    <row r="3179" spans="1:12" x14ac:dyDescent="0.25">
      <c r="A3179" t="s">
        <v>3526</v>
      </c>
      <c r="B3179" t="s">
        <v>3527</v>
      </c>
      <c r="C3179" t="str" cm="1">
        <f t="array" ref="C3179">CleanText(B3179)</f>
        <v>whats funny is that ken was the real hero of the movie he brought equality to the barbie world that both the kens and barbies liked and then he was kicked back to being nd class but realized his own self worth</v>
      </c>
      <c r="D3179">
        <v>5</v>
      </c>
      <c r="E3179">
        <v>1</v>
      </c>
      <c r="F3179" t="s">
        <v>10</v>
      </c>
      <c r="G3179" t="str" cm="1">
        <f t="array" ref="G3179">FindCountryName(F3179)</f>
        <v>None</v>
      </c>
      <c r="H3179" s="3">
        <v>45147.815104166664</v>
      </c>
      <c r="I3179" s="3">
        <v>45147.815092592595</v>
      </c>
      <c r="J3179" s="3">
        <v>40834.557037037041</v>
      </c>
      <c r="K3179" cm="1">
        <f t="array" ref="K3179">sentimentCalc(C3179)</f>
        <v>10</v>
      </c>
      <c r="L3179" t="str" cm="1">
        <f t="array" ref="L3179">sentimentCategory(K3179)</f>
        <v>Positive</v>
      </c>
    </row>
    <row r="3180" spans="1:12" x14ac:dyDescent="0.25">
      <c r="A3180" t="s">
        <v>162</v>
      </c>
      <c r="B3180" t="s">
        <v>1199</v>
      </c>
      <c r="C3180" t="str" cm="1">
        <f t="array" ref="C3180">CleanText(B3180)</f>
        <v>whats kinda funny is that mattel the company that owns the barbie brand were suffering from a massive slump in sales someone boasted that a movie would probably help cash flows for  they agreed but woah did they underestimate how much the movie has raked in a whopping  billion and they went to media giant warner bros to get the movie made and distributed parents wb brought us cartoons like yogi bear and loony toons and the lord of the rings and harry potter films thats how big of a name they are it has led to a resurgence in the toys so a staggering  million was cashed out from the movie profits to aid mattels toy line its interesting to hear parents saying the barbie name is the only thing on their daughters minds when they asked them what do you want for xmas this year that is a marketing execs wildest dream come true</v>
      </c>
      <c r="D3180">
        <v>0</v>
      </c>
      <c r="E3180">
        <v>0</v>
      </c>
      <c r="F3180" t="s">
        <v>10</v>
      </c>
      <c r="G3180" t="str" cm="1">
        <f t="array" ref="G3180">FindCountryName(F3180)</f>
        <v>None</v>
      </c>
      <c r="H3180" s="3">
        <v>45277.526655092595</v>
      </c>
      <c r="I3180" s="3">
        <v>45277.526655092595</v>
      </c>
      <c r="J3180" s="3">
        <v>41709.610289351855</v>
      </c>
      <c r="K3180" cm="1">
        <f t="array" ref="K3180">sentimentCalc(C3180)</f>
        <v>13</v>
      </c>
      <c r="L3180" t="str" cm="1">
        <f t="array" ref="L3180">sentimentCategory(K3180)</f>
        <v>Positive</v>
      </c>
    </row>
    <row r="3181" spans="1:12" x14ac:dyDescent="0.25">
      <c r="A3181" t="s">
        <v>3295</v>
      </c>
      <c r="B3181" t="s">
        <v>3296</v>
      </c>
      <c r="C3181" t="str" cm="1">
        <f t="array" ref="C3181">CleanText(B3181)</f>
        <v>whats the queue outside of the cinema playing the barbie movie called a barbiecue</v>
      </c>
      <c r="D3181">
        <v>1</v>
      </c>
      <c r="E3181">
        <v>0</v>
      </c>
      <c r="F3181" t="s">
        <v>10</v>
      </c>
      <c r="G3181" t="str" cm="1">
        <f t="array" ref="G3181">FindCountryName(F3181)</f>
        <v>None</v>
      </c>
      <c r="H3181" s="3">
        <v>45150.609513888892</v>
      </c>
      <c r="I3181" s="3">
        <v>45150.609513888892</v>
      </c>
      <c r="J3181" s="3">
        <v>44203.381354166668</v>
      </c>
      <c r="K3181" cm="1">
        <f t="array" ref="K3181">sentimentCalc(C3181)</f>
        <v>0</v>
      </c>
      <c r="L3181" t="str" cm="1">
        <f t="array" ref="L3181">sentimentCategory(K3181)</f>
        <v>Neutral</v>
      </c>
    </row>
    <row r="3182" spans="1:12" x14ac:dyDescent="0.25">
      <c r="A3182" t="s">
        <v>626</v>
      </c>
      <c r="B3182" t="s">
        <v>627</v>
      </c>
      <c r="C3182" t="str" cm="1">
        <f t="array" ref="C3182">CleanText(B3182)</f>
        <v>whats up with her feet does she have arthritis</v>
      </c>
      <c r="D3182">
        <v>0</v>
      </c>
      <c r="E3182">
        <v>0</v>
      </c>
      <c r="F3182" t="s">
        <v>628</v>
      </c>
      <c r="G3182" t="str" cm="1">
        <f t="array" ref="G3182">FindCountryName(F3182)</f>
        <v>Canada</v>
      </c>
      <c r="H3182" s="3">
        <v>45314.808888888889</v>
      </c>
      <c r="I3182" s="3">
        <v>45314.809629629628</v>
      </c>
      <c r="J3182" s="3">
        <v>45144.208819444444</v>
      </c>
      <c r="K3182" cm="1">
        <f t="array" ref="K3182">sentimentCalc(C3182)</f>
        <v>0</v>
      </c>
      <c r="L3182" t="str" cm="1">
        <f t="array" ref="L3182">sentimentCategory(K3182)</f>
        <v>Neutral</v>
      </c>
    </row>
    <row r="3183" spans="1:12" x14ac:dyDescent="0.25">
      <c r="A3183" t="s">
        <v>871</v>
      </c>
      <c r="B3183" t="s">
        <v>4473</v>
      </c>
      <c r="C3183" t="str" cm="1">
        <f t="array" ref="C3183">CleanText(B3183)</f>
        <v>whats wrong with flat feet</v>
      </c>
      <c r="D3183">
        <v>0</v>
      </c>
      <c r="E3183">
        <v>0</v>
      </c>
      <c r="F3183" t="s">
        <v>10</v>
      </c>
      <c r="G3183" t="str" cm="1">
        <f t="array" ref="G3183">FindCountryName(F3183)</f>
        <v>None</v>
      </c>
      <c r="H3183" s="3">
        <v>45140.042800925927</v>
      </c>
      <c r="I3183" s="3">
        <v>45140.042800925927</v>
      </c>
      <c r="J3183" s="3">
        <v>44086.560567129629</v>
      </c>
      <c r="K3183" cm="1">
        <f t="array" ref="K3183">sentimentCalc(C3183)</f>
        <v>-2</v>
      </c>
      <c r="L3183" t="str" cm="1">
        <f t="array" ref="L3183">sentimentCategory(K3183)</f>
        <v>Negative</v>
      </c>
    </row>
    <row r="3184" spans="1:12" x14ac:dyDescent="0.25">
      <c r="A3184" t="s">
        <v>938</v>
      </c>
      <c r="B3184" t="s">
        <v>3528</v>
      </c>
      <c r="C3184" t="str" cm="1">
        <f t="array" ref="C3184">CleanText(B3184)</f>
        <v>whats wrong with generation  such low iq movies</v>
      </c>
      <c r="D3184">
        <v>3</v>
      </c>
      <c r="E3184">
        <v>0</v>
      </c>
      <c r="F3184" t="s">
        <v>10</v>
      </c>
      <c r="G3184" t="str" cm="1">
        <f t="array" ref="G3184">FindCountryName(F3184)</f>
        <v>None</v>
      </c>
      <c r="H3184" s="3">
        <v>45147.797175925924</v>
      </c>
      <c r="I3184" s="3">
        <v>45147.797175925924</v>
      </c>
      <c r="J3184" s="3">
        <v>44703.358877314815</v>
      </c>
      <c r="K3184" cm="1">
        <f t="array" ref="K3184">sentimentCalc(C3184)</f>
        <v>-2</v>
      </c>
      <c r="L3184" t="str" cm="1">
        <f t="array" ref="L3184">sentimentCategory(K3184)</f>
        <v>Negative</v>
      </c>
    </row>
    <row r="3185" spans="1:12" x14ac:dyDescent="0.25">
      <c r="A3185" t="s">
        <v>1848</v>
      </c>
      <c r="B3185" t="s">
        <v>2977</v>
      </c>
      <c r="C3185" t="str" cm="1">
        <f t="array" ref="C3185">CleanText(B3185)</f>
        <v>when a member of suicide squad quitted and turns into a doll</v>
      </c>
      <c r="D3185">
        <v>0</v>
      </c>
      <c r="E3185">
        <v>0</v>
      </c>
      <c r="F3185" t="s">
        <v>10</v>
      </c>
      <c r="G3185" t="str" cm="1">
        <f t="array" ref="G3185">FindCountryName(F3185)</f>
        <v>None</v>
      </c>
      <c r="H3185" s="3">
        <v>45154.943460648145</v>
      </c>
      <c r="I3185" s="3">
        <v>45154.943460648145</v>
      </c>
      <c r="J3185" s="3">
        <v>43928.157129629632</v>
      </c>
      <c r="K3185" cm="1">
        <f t="array" ref="K3185">sentimentCalc(C3185)</f>
        <v>-2</v>
      </c>
      <c r="L3185" t="str" cm="1">
        <f t="array" ref="L3185">sentimentCategory(K3185)</f>
        <v>Negative</v>
      </c>
    </row>
    <row r="3186" spans="1:12" x14ac:dyDescent="0.25">
      <c r="A3186" t="s">
        <v>329</v>
      </c>
      <c r="B3186" t="s">
        <v>3870</v>
      </c>
      <c r="C3186" t="str" cm="1">
        <f t="array" ref="C3186">CleanText(B3186)</f>
        <v>when are you people going to grow up for gawds sake</v>
      </c>
      <c r="D3186">
        <v>0</v>
      </c>
      <c r="E3186">
        <v>1</v>
      </c>
      <c r="F3186" t="s">
        <v>10</v>
      </c>
      <c r="G3186" t="str" cm="1">
        <f t="array" ref="G3186">FindCountryName(F3186)</f>
        <v>None</v>
      </c>
      <c r="H3186" s="3">
        <v>45144.869027777779</v>
      </c>
      <c r="I3186" s="3">
        <v>45144.869027777779</v>
      </c>
      <c r="J3186" s="3">
        <v>42347.387152777781</v>
      </c>
      <c r="K3186" cm="1">
        <f t="array" ref="K3186">sentimentCalc(C3186)</f>
        <v>0</v>
      </c>
      <c r="L3186" t="str" cm="1">
        <f t="array" ref="L3186">sentimentCategory(K3186)</f>
        <v>Neutral</v>
      </c>
    </row>
    <row r="3187" spans="1:12" x14ac:dyDescent="0.25">
      <c r="A3187" t="s">
        <v>810</v>
      </c>
      <c r="B3187" t="s">
        <v>4416</v>
      </c>
      <c r="C3187" t="str" cm="1">
        <f t="array" ref="C3187">CleanText(B3187)</f>
        <v>when barbie floated out of the top of her house that was my favorite part i watched the movie already i liked it it was pretty good</v>
      </c>
      <c r="D3187">
        <v>0</v>
      </c>
      <c r="E3187">
        <v>1</v>
      </c>
      <c r="F3187" t="s">
        <v>10</v>
      </c>
      <c r="G3187" t="str" cm="1">
        <f t="array" ref="G3187">FindCountryName(F3187)</f>
        <v>None</v>
      </c>
      <c r="H3187" s="3">
        <v>45140.407384259262</v>
      </c>
      <c r="I3187" s="3">
        <v>45140.407384259262</v>
      </c>
      <c r="J3187" s="3">
        <v>44516.447222222225</v>
      </c>
      <c r="K3187" cm="1">
        <f t="array" ref="K3187">sentimentCalc(C3187)</f>
        <v>10</v>
      </c>
      <c r="L3187" t="str" cm="1">
        <f t="array" ref="L3187">sentimentCategory(K3187)</f>
        <v>Positive</v>
      </c>
    </row>
    <row r="3188" spans="1:12" x14ac:dyDescent="0.25">
      <c r="A3188" t="s">
        <v>2454</v>
      </c>
      <c r="B3188" t="s">
        <v>2455</v>
      </c>
      <c r="C3188" t="str" cm="1">
        <f t="array" ref="C3188">CleanText(B3188)</f>
        <v>when does barbie come on sky</v>
      </c>
      <c r="D3188">
        <v>0</v>
      </c>
      <c r="E3188">
        <v>0</v>
      </c>
      <c r="F3188" t="s">
        <v>10</v>
      </c>
      <c r="G3188" t="str" cm="1">
        <f t="array" ref="G3188">FindCountryName(F3188)</f>
        <v>None</v>
      </c>
      <c r="H3188" s="3">
        <v>45166.513842592591</v>
      </c>
      <c r="I3188" s="3">
        <v>45166.513842592591</v>
      </c>
      <c r="J3188" s="3">
        <v>45081.750555555554</v>
      </c>
      <c r="K3188" cm="1">
        <f t="array" ref="K3188">sentimentCalc(C3188)</f>
        <v>0</v>
      </c>
      <c r="L3188" t="str" cm="1">
        <f t="array" ref="L3188">sentimentCategory(K3188)</f>
        <v>Neutral</v>
      </c>
    </row>
    <row r="3189" spans="1:12" x14ac:dyDescent="0.25">
      <c r="A3189" t="s">
        <v>3067</v>
      </c>
      <c r="B3189" t="s">
        <v>3068</v>
      </c>
      <c r="C3189" t="str" cm="1">
        <f t="array" ref="C3189">CleanText(B3189)</f>
        <v>when does the gi joe moving come out</v>
      </c>
      <c r="D3189">
        <v>0</v>
      </c>
      <c r="E3189">
        <v>1</v>
      </c>
      <c r="F3189" t="s">
        <v>10</v>
      </c>
      <c r="G3189" t="str" cm="1">
        <f t="array" ref="G3189">FindCountryName(F3189)</f>
        <v>None</v>
      </c>
      <c r="H3189" s="3">
        <v>45153.7731712963</v>
      </c>
      <c r="I3189" s="3">
        <v>45153.7731712963</v>
      </c>
      <c r="J3189" s="3">
        <v>40965.867118055554</v>
      </c>
      <c r="K3189" cm="1">
        <f t="array" ref="K3189">sentimentCalc(C3189)</f>
        <v>0</v>
      </c>
      <c r="L3189" t="str" cm="1">
        <f t="array" ref="L3189">sentimentCategory(K3189)</f>
        <v>Neutral</v>
      </c>
    </row>
    <row r="3190" spans="1:12" x14ac:dyDescent="0.25">
      <c r="A3190" t="s">
        <v>2132</v>
      </c>
      <c r="B3190" t="s">
        <v>2133</v>
      </c>
      <c r="C3190" t="str" cm="1">
        <f t="array" ref="C3190">CleanText(B3190)</f>
        <v>when girls become barbies  boys become honey bees</v>
      </c>
      <c r="D3190">
        <v>1</v>
      </c>
      <c r="E3190">
        <v>0</v>
      </c>
      <c r="F3190" t="s">
        <v>1073</v>
      </c>
      <c r="G3190" t="str" cm="1">
        <f t="array" ref="G3190">FindCountryName(F3190)</f>
        <v>India</v>
      </c>
      <c r="H3190" s="3">
        <v>45179.270914351851</v>
      </c>
      <c r="I3190" s="3">
        <v>45179.271238425928</v>
      </c>
      <c r="J3190" s="3">
        <v>39201.421898148146</v>
      </c>
      <c r="K3190" cm="1">
        <f t="array" ref="K3190">sentimentCalc(C3190)</f>
        <v>0</v>
      </c>
      <c r="L3190" t="str" cm="1">
        <f t="array" ref="L3190">sentimentCategory(K3190)</f>
        <v>Neutral</v>
      </c>
    </row>
    <row r="3191" spans="1:12" x14ac:dyDescent="0.25">
      <c r="A3191" t="s">
        <v>3430</v>
      </c>
      <c r="B3191" t="s">
        <v>3432</v>
      </c>
      <c r="C3191" t="str" cm="1">
        <f t="array" ref="C3191">CleanText(B3191)</f>
        <v>when he spank barbie that is completely stupidity no one do like that</v>
      </c>
      <c r="D3191">
        <v>0</v>
      </c>
      <c r="E3191">
        <v>0</v>
      </c>
      <c r="F3191" t="s">
        <v>10</v>
      </c>
      <c r="G3191" t="str" cm="1">
        <f t="array" ref="G3191">FindCountryName(F3191)</f>
        <v>None</v>
      </c>
      <c r="H3191" s="3">
        <v>45148.978136574071</v>
      </c>
      <c r="I3191" s="3">
        <v>45148.978125000001</v>
      </c>
      <c r="J3191" s="3">
        <v>44955.155798611115</v>
      </c>
      <c r="K3191" cm="1">
        <f t="array" ref="K3191">sentimentCalc(C3191)</f>
        <v>1</v>
      </c>
      <c r="L3191" t="str" cm="1">
        <f t="array" ref="L3191">sentimentCategory(K3191)</f>
        <v>Positive</v>
      </c>
    </row>
    <row r="3192" spans="1:12" x14ac:dyDescent="0.25">
      <c r="A3192" t="s">
        <v>235</v>
      </c>
      <c r="B3192" t="s">
        <v>1658</v>
      </c>
      <c r="C3192" t="str" cm="1">
        <f t="array" ref="C3192">CleanText(B3192)</f>
        <v>when she takes the high heels off she has invisible high heels because her foot was in the high heels like it normally goes when she takes it off its still like that way</v>
      </c>
      <c r="D3192">
        <v>0</v>
      </c>
      <c r="E3192">
        <v>0</v>
      </c>
      <c r="F3192" t="s">
        <v>10</v>
      </c>
      <c r="G3192" t="str" cm="1">
        <f t="array" ref="G3192">FindCountryName(F3192)</f>
        <v>None</v>
      </c>
      <c r="H3192" s="3">
        <v>45204.958101851851</v>
      </c>
      <c r="I3192" s="3">
        <v>45204.958101851851</v>
      </c>
      <c r="J3192" s="3">
        <v>44720.077546296299</v>
      </c>
      <c r="K3192" cm="1">
        <f t="array" ref="K3192">sentimentCalc(C3192)</f>
        <v>4</v>
      </c>
      <c r="L3192" t="str" cm="1">
        <f t="array" ref="L3192">sentimentCategory(K3192)</f>
        <v>Positive</v>
      </c>
    </row>
    <row r="3193" spans="1:12" x14ac:dyDescent="0.25">
      <c r="A3193" t="s">
        <v>3672</v>
      </c>
      <c r="B3193" t="s">
        <v>3673</v>
      </c>
      <c r="C3193" t="str" cm="1">
        <f t="array" ref="C3193">CleanText(B3193)</f>
        <v>when they show a trailer i feel like there showing the hole movie</v>
      </c>
      <c r="D3193">
        <v>1</v>
      </c>
      <c r="E3193">
        <v>0</v>
      </c>
      <c r="F3193" t="s">
        <v>10</v>
      </c>
      <c r="G3193" t="str" cm="1">
        <f t="array" ref="G3193">FindCountryName(F3193)</f>
        <v>None</v>
      </c>
      <c r="H3193" s="3">
        <v>45146.578726851854</v>
      </c>
      <c r="I3193" s="3">
        <v>45146.578726851854</v>
      </c>
      <c r="J3193" s="3">
        <v>41000.470347222225</v>
      </c>
      <c r="K3193" cm="1">
        <f t="array" ref="K3193">sentimentCalc(C3193)</f>
        <v>2</v>
      </c>
      <c r="L3193" t="str" cm="1">
        <f t="array" ref="L3193">sentimentCategory(K3193)</f>
        <v>Positive</v>
      </c>
    </row>
    <row r="3194" spans="1:12" x14ac:dyDescent="0.25">
      <c r="A3194" t="s">
        <v>501</v>
      </c>
      <c r="B3194" t="s">
        <v>608</v>
      </c>
      <c r="C3194" t="str" cm="1">
        <f t="array" ref="C3194">CleanText(B3194)</f>
        <v>when this came out i was with the  out there saying that seemingly ridiculous flick would bomb now it is one of my all time favstill a bit ashamed to admit but still</v>
      </c>
      <c r="D3194">
        <v>0</v>
      </c>
      <c r="E3194">
        <v>0</v>
      </c>
      <c r="F3194" t="s">
        <v>10</v>
      </c>
      <c r="G3194" t="str" cm="1">
        <f t="array" ref="G3194">FindCountryName(F3194)</f>
        <v>None</v>
      </c>
      <c r="H3194" s="3">
        <v>45315.724212962959</v>
      </c>
      <c r="I3194" s="3">
        <v>45315.724212962959</v>
      </c>
      <c r="J3194" s="3">
        <v>45195.738692129627</v>
      </c>
      <c r="K3194" cm="1">
        <f t="array" ref="K3194">sentimentCalc(C3194)</f>
        <v>-7</v>
      </c>
      <c r="L3194" t="str" cm="1">
        <f t="array" ref="L3194">sentimentCategory(K3194)</f>
        <v>Negative</v>
      </c>
    </row>
    <row r="3195" spans="1:12" x14ac:dyDescent="0.25">
      <c r="A3195" t="s">
        <v>1279</v>
      </c>
      <c r="B3195" t="s">
        <v>1280</v>
      </c>
      <c r="C3195" t="str" cm="1">
        <f t="array" ref="C3195">CleanText(B3195)</f>
        <v>when we went to that party you asked if we ever thought about dyingi remember it well what of iti believe we did</v>
      </c>
      <c r="D3195">
        <v>1</v>
      </c>
      <c r="E3195">
        <v>0</v>
      </c>
      <c r="F3195" t="s">
        <v>227</v>
      </c>
      <c r="G3195" t="str" cm="1">
        <f t="array" ref="G3195">FindCountryName(F3195)</f>
        <v>United States of America (the)</v>
      </c>
      <c r="H3195" s="3">
        <v>45258.926747685182</v>
      </c>
      <c r="I3195" s="3">
        <v>45258.926747685182</v>
      </c>
      <c r="J3195" s="3">
        <v>42928.603449074071</v>
      </c>
      <c r="K3195" cm="1">
        <f t="array" ref="K3195">sentimentCalc(C3195)</f>
        <v>0</v>
      </c>
      <c r="L3195" t="str" cm="1">
        <f t="array" ref="L3195">sentimentCategory(K3195)</f>
        <v>Neutral</v>
      </c>
    </row>
    <row r="3196" spans="1:12" x14ac:dyDescent="0.25">
      <c r="A3196" t="s">
        <v>126</v>
      </c>
      <c r="B3196" t="s">
        <v>3898</v>
      </c>
      <c r="C3196" t="str" cm="1">
        <f t="array" ref="C3196">CleanText(B3196)</f>
        <v>when you think people cant get more stupid dont get distracted soundoffreedom pizzagate</v>
      </c>
      <c r="D3196">
        <v>1</v>
      </c>
      <c r="E3196">
        <v>0</v>
      </c>
      <c r="F3196" t="s">
        <v>10</v>
      </c>
      <c r="G3196" t="str" cm="1">
        <f t="array" ref="G3196">FindCountryName(F3196)</f>
        <v>None</v>
      </c>
      <c r="H3196" s="3">
        <v>45144.631354166668</v>
      </c>
      <c r="I3196" s="3">
        <v>45144.709050925929</v>
      </c>
      <c r="J3196" s="3">
        <v>41613.324606481481</v>
      </c>
      <c r="K3196" cm="1">
        <f t="array" ref="K3196">sentimentCalc(C3196)</f>
        <v>-4</v>
      </c>
      <c r="L3196" t="str" cm="1">
        <f t="array" ref="L3196">sentimentCategory(K3196)</f>
        <v>Negative</v>
      </c>
    </row>
    <row r="3197" spans="1:12" x14ac:dyDescent="0.25">
      <c r="A3197" t="s">
        <v>1433</v>
      </c>
      <c r="B3197" t="s">
        <v>1639</v>
      </c>
      <c r="C3197" t="str" cm="1">
        <f t="array" ref="C3197">CleanText(B3197)</f>
        <v>where are you from i want to go to you</v>
      </c>
      <c r="D3197">
        <v>0</v>
      </c>
      <c r="E3197">
        <v>0</v>
      </c>
      <c r="F3197" t="s">
        <v>10</v>
      </c>
      <c r="G3197" t="str" cm="1">
        <f t="array" ref="G3197">FindCountryName(F3197)</f>
        <v>None</v>
      </c>
      <c r="H3197" s="3">
        <v>45206.61377314815</v>
      </c>
      <c r="I3197" s="3">
        <v>45206.61377314815</v>
      </c>
      <c r="J3197" s="3">
        <v>44292.62363425926</v>
      </c>
      <c r="K3197" cm="1">
        <f t="array" ref="K3197">sentimentCalc(C3197)</f>
        <v>1</v>
      </c>
      <c r="L3197" t="str" cm="1">
        <f t="array" ref="L3197">sentimentCategory(K3197)</f>
        <v>Positive</v>
      </c>
    </row>
    <row r="3198" spans="1:12" x14ac:dyDescent="0.25">
      <c r="A3198" t="s">
        <v>955</v>
      </c>
      <c r="B3198" t="s">
        <v>2808</v>
      </c>
      <c r="C3198" t="str" cm="1">
        <f t="array" ref="C3198">CleanText(B3198)</f>
        <v>where can i watch it please</v>
      </c>
      <c r="D3198">
        <v>0</v>
      </c>
      <c r="E3198">
        <v>0</v>
      </c>
      <c r="F3198" t="s">
        <v>10</v>
      </c>
      <c r="G3198" t="str" cm="1">
        <f t="array" ref="G3198">FindCountryName(F3198)</f>
        <v>None</v>
      </c>
      <c r="H3198" s="3">
        <v>45157.602465277778</v>
      </c>
      <c r="I3198" s="3">
        <v>45157.602465277778</v>
      </c>
      <c r="J3198" s="3">
        <v>43934.537488425929</v>
      </c>
      <c r="K3198" cm="1">
        <f t="array" ref="K3198">sentimentCalc(C3198)</f>
        <v>1</v>
      </c>
      <c r="L3198" t="str" cm="1">
        <f t="array" ref="L3198">sentimentCategory(K3198)</f>
        <v>Positive</v>
      </c>
    </row>
    <row r="3199" spans="1:12" x14ac:dyDescent="0.25">
      <c r="A3199" t="s">
        <v>1572</v>
      </c>
      <c r="B3199" t="s">
        <v>1573</v>
      </c>
      <c r="C3199" t="str" cm="1">
        <f t="array" ref="C3199">CleanText(B3199)</f>
        <v>where can i watch this</v>
      </c>
      <c r="D3199">
        <v>0</v>
      </c>
      <c r="E3199">
        <v>1</v>
      </c>
      <c r="F3199" t="s">
        <v>10</v>
      </c>
      <c r="G3199" t="str" cm="1">
        <f t="array" ref="G3199">FindCountryName(F3199)</f>
        <v>None</v>
      </c>
      <c r="H3199" s="3">
        <v>45213.929328703707</v>
      </c>
      <c r="I3199" s="3">
        <v>45213.929328703707</v>
      </c>
      <c r="J3199" s="3">
        <v>45194.196875000001</v>
      </c>
      <c r="K3199" cm="1">
        <f t="array" ref="K3199">sentimentCalc(C3199)</f>
        <v>0</v>
      </c>
      <c r="L3199" t="str" cm="1">
        <f t="array" ref="L3199">sentimentCategory(K3199)</f>
        <v>Neutral</v>
      </c>
    </row>
    <row r="3200" spans="1:12" x14ac:dyDescent="0.25">
      <c r="A3200" t="s">
        <v>3670</v>
      </c>
      <c r="B3200" t="s">
        <v>4378</v>
      </c>
      <c r="C3200" t="str" cm="1">
        <f t="array" ref="C3200">CleanText(B3200)</f>
        <v>where can we see this netflix</v>
      </c>
      <c r="D3200">
        <v>0</v>
      </c>
      <c r="E3200">
        <v>0</v>
      </c>
      <c r="F3200" t="s">
        <v>10</v>
      </c>
      <c r="G3200" t="str" cm="1">
        <f t="array" ref="G3200">FindCountryName(F3200)</f>
        <v>None</v>
      </c>
      <c r="H3200" s="3">
        <v>45140.545300925929</v>
      </c>
      <c r="I3200" s="3">
        <v>45140.545300925929</v>
      </c>
      <c r="J3200" s="3">
        <v>41604.542743055557</v>
      </c>
      <c r="K3200" cm="1">
        <f t="array" ref="K3200">sentimentCalc(C3200)</f>
        <v>0</v>
      </c>
      <c r="L3200" t="str" cm="1">
        <f t="array" ref="L3200">sentimentCategory(K3200)</f>
        <v>Neutral</v>
      </c>
    </row>
    <row r="3201" spans="1:12" x14ac:dyDescent="0.25">
      <c r="A3201" t="s">
        <v>3865</v>
      </c>
      <c r="B3201" t="s">
        <v>3866</v>
      </c>
      <c r="C3201" t="str" cm="1">
        <f t="array" ref="C3201">CleanText(B3201)</f>
        <v>where is charlis song</v>
      </c>
      <c r="D3201">
        <v>0</v>
      </c>
      <c r="E3201">
        <v>0</v>
      </c>
      <c r="F3201" t="s">
        <v>10</v>
      </c>
      <c r="G3201" t="str" cm="1">
        <f t="array" ref="G3201">FindCountryName(F3201)</f>
        <v>None</v>
      </c>
      <c r="H3201" s="3">
        <v>45144.905324074076</v>
      </c>
      <c r="I3201" s="3">
        <v>45144.905324074076</v>
      </c>
      <c r="J3201" s="3">
        <v>44839.682685185187</v>
      </c>
      <c r="K3201" cm="1">
        <f t="array" ref="K3201">sentimentCalc(C3201)</f>
        <v>0</v>
      </c>
      <c r="L3201" t="str" cm="1">
        <f t="array" ref="L3201">sentimentCategory(K3201)</f>
        <v>Neutral</v>
      </c>
    </row>
    <row r="3202" spans="1:12" x14ac:dyDescent="0.25">
      <c r="A3202" t="s">
        <v>3415</v>
      </c>
      <c r="B3202" t="s">
        <v>4184</v>
      </c>
      <c r="C3202" t="str" cm="1">
        <f t="array" ref="C3202">CleanText(B3202)</f>
        <v>where tf is chelsea and stacy bro</v>
      </c>
      <c r="D3202">
        <v>0</v>
      </c>
      <c r="E3202">
        <v>0</v>
      </c>
      <c r="F3202" t="s">
        <v>10</v>
      </c>
      <c r="G3202" t="str" cm="1">
        <f t="array" ref="G3202">FindCountryName(F3202)</f>
        <v>None</v>
      </c>
      <c r="H3202" s="3">
        <v>45142.198425925926</v>
      </c>
      <c r="I3202" s="3">
        <v>45142.198425925926</v>
      </c>
      <c r="J3202" s="3">
        <v>45066.392928240741</v>
      </c>
      <c r="K3202" cm="1">
        <f t="array" ref="K3202">sentimentCalc(C3202)</f>
        <v>0</v>
      </c>
      <c r="L3202" t="str" cm="1">
        <f t="array" ref="L3202">sentimentCategory(K3202)</f>
        <v>Neutral</v>
      </c>
    </row>
    <row r="3203" spans="1:12" x14ac:dyDescent="0.25">
      <c r="A3203" t="s">
        <v>3256</v>
      </c>
      <c r="B3203" t="s">
        <v>4143</v>
      </c>
      <c r="C3203" t="str" cm="1">
        <f t="array" ref="C3203">CleanText(B3203)</f>
        <v>where we can watch this barbie movie</v>
      </c>
      <c r="D3203">
        <v>1</v>
      </c>
      <c r="E3203">
        <v>0</v>
      </c>
      <c r="F3203" t="s">
        <v>10</v>
      </c>
      <c r="G3203" t="str" cm="1">
        <f t="array" ref="G3203">FindCountryName(F3203)</f>
        <v>None</v>
      </c>
      <c r="H3203" s="3">
        <v>45142.575706018521</v>
      </c>
      <c r="I3203" s="3">
        <v>45142.575706018521</v>
      </c>
      <c r="J3203" s="3">
        <v>45084.625694444447</v>
      </c>
      <c r="K3203" cm="1">
        <f t="array" ref="K3203">sentimentCalc(C3203)</f>
        <v>0</v>
      </c>
      <c r="L3203" t="str" cm="1">
        <f t="array" ref="L3203">sentimentCategory(K3203)</f>
        <v>Neutral</v>
      </c>
    </row>
    <row r="3204" spans="1:12" x14ac:dyDescent="0.25">
      <c r="A3204" t="s">
        <v>302</v>
      </c>
      <c r="B3204" t="s">
        <v>2453</v>
      </c>
      <c r="C3204" t="str" cm="1">
        <f t="array" ref="C3204">CleanText(B3204)</f>
        <v>wheres chelsea</v>
      </c>
      <c r="D3204">
        <v>0</v>
      </c>
      <c r="E3204">
        <v>0</v>
      </c>
      <c r="F3204" t="s">
        <v>10</v>
      </c>
      <c r="G3204" t="str" cm="1">
        <f t="array" ref="G3204">FindCountryName(F3204)</f>
        <v>None</v>
      </c>
      <c r="H3204" s="3">
        <v>45166.610497685186</v>
      </c>
      <c r="I3204" s="3">
        <v>45166.610486111109</v>
      </c>
      <c r="J3204" s="3">
        <v>44803.524560185186</v>
      </c>
      <c r="K3204" cm="1">
        <f t="array" ref="K3204">sentimentCalc(C3204)</f>
        <v>0</v>
      </c>
      <c r="L3204" t="str" cm="1">
        <f t="array" ref="L3204">sentimentCategory(K3204)</f>
        <v>Neutral</v>
      </c>
    </row>
    <row r="3205" spans="1:12" x14ac:dyDescent="0.25">
      <c r="A3205" t="s">
        <v>230</v>
      </c>
      <c r="B3205" t="s">
        <v>1487</v>
      </c>
      <c r="C3205" t="str" cm="1">
        <f t="array" ref="C3205">CleanText(B3205)</f>
        <v>which was a more successful movie barbie or oppenheimer on the one hand you have oppenheimer nuclear physicist extraordinaire who said that he had become death the destroyer of worlds from vedic scripture from four thousand years ago lol and on the other hand you have a fing piece of plastic i dunno but at the box office barbie reigned supreme go figure</v>
      </c>
      <c r="D3205">
        <v>0</v>
      </c>
      <c r="E3205">
        <v>1</v>
      </c>
      <c r="F3205" t="s">
        <v>227</v>
      </c>
      <c r="G3205" t="str" cm="1">
        <f t="array" ref="G3205">FindCountryName(F3205)</f>
        <v>United States of America (the)</v>
      </c>
      <c r="H3205" s="3">
        <v>45221.147094907406</v>
      </c>
      <c r="I3205" s="3">
        <v>45221.147094907406</v>
      </c>
      <c r="J3205" s="3">
        <v>39872.825462962966</v>
      </c>
      <c r="K3205" cm="1">
        <f t="array" ref="K3205">sentimentCalc(C3205)</f>
        <v>1</v>
      </c>
      <c r="L3205" t="str" cm="1">
        <f t="array" ref="L3205">sentimentCategory(K3205)</f>
        <v>Positive</v>
      </c>
    </row>
    <row r="3206" spans="1:12" x14ac:dyDescent="0.25">
      <c r="A3206" t="s">
        <v>54</v>
      </c>
      <c r="B3206" t="s">
        <v>4234</v>
      </c>
      <c r="C3206" t="str" cm="1">
        <f t="array" ref="C3206">CleanText(B3206)</f>
        <v>white privilege at its finest</v>
      </c>
      <c r="D3206">
        <v>1</v>
      </c>
      <c r="E3206">
        <v>2</v>
      </c>
      <c r="F3206" t="s">
        <v>10</v>
      </c>
      <c r="G3206" t="str" cm="1">
        <f t="array" ref="G3206">FindCountryName(F3206)</f>
        <v>None</v>
      </c>
      <c r="H3206" s="3">
        <v>45141.660034722219</v>
      </c>
      <c r="I3206" s="3">
        <v>45141.660034722219</v>
      </c>
      <c r="J3206" s="3">
        <v>44960.209641203706</v>
      </c>
      <c r="K3206" cm="1">
        <f t="array" ref="K3206">sentimentCalc(C3206)</f>
        <v>0</v>
      </c>
      <c r="L3206" t="str" cm="1">
        <f t="array" ref="L3206">sentimentCategory(K3206)</f>
        <v>Neutral</v>
      </c>
    </row>
    <row r="3207" spans="1:12" x14ac:dyDescent="0.25">
      <c r="A3207" t="s">
        <v>205</v>
      </c>
      <c r="B3207" t="s">
        <v>4415</v>
      </c>
      <c r="C3207" t="str" cm="1">
        <f t="array" ref="C3207">CleanText(B3207)</f>
        <v>who all are barbie haters</v>
      </c>
      <c r="D3207">
        <v>0</v>
      </c>
      <c r="E3207">
        <v>3</v>
      </c>
      <c r="F3207" t="s">
        <v>10</v>
      </c>
      <c r="G3207" t="str" cm="1">
        <f t="array" ref="G3207">FindCountryName(F3207)</f>
        <v>None</v>
      </c>
      <c r="H3207" s="3">
        <v>45140.410324074073</v>
      </c>
      <c r="I3207" s="3">
        <v>45140.410324074073</v>
      </c>
      <c r="J3207" s="3">
        <v>44048.135405092595</v>
      </c>
      <c r="K3207" cm="1">
        <f t="array" ref="K3207">sentimentCalc(C3207)</f>
        <v>-3</v>
      </c>
      <c r="L3207" t="str" cm="1">
        <f t="array" ref="L3207">sentimentCategory(K3207)</f>
        <v>Negative</v>
      </c>
    </row>
    <row r="3208" spans="1:12" x14ac:dyDescent="0.25">
      <c r="A3208" t="s">
        <v>555</v>
      </c>
      <c r="B3208" t="s">
        <v>2069</v>
      </c>
      <c r="C3208" t="str" cm="1">
        <f t="array" ref="C3208">CleanText(B3208)</f>
        <v>who else felt very unsure about this movie at first but ended up falling in love with it</v>
      </c>
      <c r="D3208">
        <v>2</v>
      </c>
      <c r="E3208">
        <v>2</v>
      </c>
      <c r="F3208" t="s">
        <v>10</v>
      </c>
      <c r="G3208" t="str" cm="1">
        <f t="array" ref="G3208">FindCountryName(F3208)</f>
        <v>None</v>
      </c>
      <c r="H3208" s="3">
        <v>45182.071817129632</v>
      </c>
      <c r="I3208" s="3">
        <v>45182.071817129632</v>
      </c>
      <c r="J3208" s="3">
        <v>43919.795428240737</v>
      </c>
      <c r="K3208" cm="1">
        <f t="array" ref="K3208">sentimentCalc(C3208)</f>
        <v>1</v>
      </c>
      <c r="L3208" t="str" cm="1">
        <f t="array" ref="L3208">sentimentCategory(K3208)</f>
        <v>Positive</v>
      </c>
    </row>
    <row r="3209" spans="1:12" x14ac:dyDescent="0.25">
      <c r="A3209" t="s">
        <v>3410</v>
      </c>
      <c r="B3209" t="s">
        <v>4009</v>
      </c>
      <c r="C3209" t="str" cm="1">
        <f t="array" ref="C3209">CleanText(B3209)</f>
        <v>who else got dont worry darling kinda vibescause i did</v>
      </c>
      <c r="D3209">
        <v>1</v>
      </c>
      <c r="E3209">
        <v>0</v>
      </c>
      <c r="F3209" t="s">
        <v>10</v>
      </c>
      <c r="G3209" t="str" cm="1">
        <f t="array" ref="G3209">FindCountryName(F3209)</f>
        <v>None</v>
      </c>
      <c r="H3209" s="3">
        <v>45143.786435185182</v>
      </c>
      <c r="I3209" s="3">
        <v>45143.786435185182</v>
      </c>
      <c r="J3209" s="3">
        <v>44980.591458333336</v>
      </c>
      <c r="K3209" cm="1">
        <f t="array" ref="K3209">sentimentCalc(C3209)</f>
        <v>-3</v>
      </c>
      <c r="L3209" t="str" cm="1">
        <f t="array" ref="L3209">sentimentCategory(K3209)</f>
        <v>Negative</v>
      </c>
    </row>
    <row r="3210" spans="1:12" x14ac:dyDescent="0.25">
      <c r="A3210" t="s">
        <v>182</v>
      </c>
      <c r="B3210" t="s">
        <v>1191</v>
      </c>
      <c r="C3210" t="str" cm="1">
        <f t="array" ref="C3210">CleanText(B3210)</f>
        <v>who like barbie but i like in old life but now i like cars and animes</v>
      </c>
      <c r="D3210">
        <v>0</v>
      </c>
      <c r="E3210">
        <v>0</v>
      </c>
      <c r="F3210" t="s">
        <v>10</v>
      </c>
      <c r="G3210" t="str" cm="1">
        <f t="array" ref="G3210">FindCountryName(F3210)</f>
        <v>None</v>
      </c>
      <c r="H3210" s="3">
        <v>45279.16479166667</v>
      </c>
      <c r="I3210" s="3">
        <v>45279.16479166667</v>
      </c>
      <c r="J3210" s="3">
        <v>45275.418287037035</v>
      </c>
      <c r="K3210" cm="1">
        <f t="array" ref="K3210">sentimentCalc(C3210)</f>
        <v>6</v>
      </c>
      <c r="L3210" t="str" cm="1">
        <f t="array" ref="L3210">sentimentCategory(K3210)</f>
        <v>Positive</v>
      </c>
    </row>
    <row r="3211" spans="1:12" x14ac:dyDescent="0.25">
      <c r="A3211" t="s">
        <v>256</v>
      </c>
      <c r="B3211" t="s">
        <v>3377</v>
      </c>
      <c r="C3211" t="str" cm="1">
        <f t="array" ref="C3211">CleanText(B3211)</f>
        <v>who makes a movie like this someone with no dignity someone with no honor someone who is a true pedophile themselves yes this is who makes these kind of useless shameful stupid dumb movies get a hold of yourself learn from real filmmakers that make the sound of freedom do something useful with your life filmmakers stop abusing little children and putting out stupid movies like this you will be caught redhanded and there will be nowhere to hide</v>
      </c>
      <c r="D3211">
        <v>0</v>
      </c>
      <c r="E3211">
        <v>0</v>
      </c>
      <c r="F3211" t="s">
        <v>10</v>
      </c>
      <c r="G3211" t="str" cm="1">
        <f t="array" ref="G3211">FindCountryName(F3211)</f>
        <v>None</v>
      </c>
      <c r="H3211" s="3">
        <v>45149.446712962963</v>
      </c>
      <c r="I3211" s="3">
        <v>45149.446712962963</v>
      </c>
      <c r="J3211" s="3">
        <v>41710.671689814815</v>
      </c>
      <c r="K3211" cm="1">
        <f t="array" ref="K3211">sentimentCalc(C3211)</f>
        <v>0</v>
      </c>
      <c r="L3211" t="str" cm="1">
        <f t="array" ref="L3211">sentimentCategory(K3211)</f>
        <v>Neutral</v>
      </c>
    </row>
    <row r="3212" spans="1:12" x14ac:dyDescent="0.25">
      <c r="A3212" t="s">
        <v>372</v>
      </c>
      <c r="B3212" t="s">
        <v>1824</v>
      </c>
      <c r="C3212" t="str" cm="1">
        <f t="array" ref="C3212">CleanText(B3212)</f>
        <v>who would have thought a movie about barbie dolls would probably became movie of the year</v>
      </c>
      <c r="D3212">
        <v>0</v>
      </c>
      <c r="E3212">
        <v>1</v>
      </c>
      <c r="F3212" t="s">
        <v>10</v>
      </c>
      <c r="G3212" t="str" cm="1">
        <f t="array" ref="G3212">FindCountryName(F3212)</f>
        <v>None</v>
      </c>
      <c r="H3212" s="3">
        <v>45192.421817129631</v>
      </c>
      <c r="I3212" s="3">
        <v>45192.421805555554</v>
      </c>
      <c r="J3212" s="3">
        <v>41538.877280092594</v>
      </c>
      <c r="K3212" cm="1">
        <f t="array" ref="K3212">sentimentCalc(C3212)</f>
        <v>0</v>
      </c>
      <c r="L3212" t="str" cm="1">
        <f t="array" ref="L3212">sentimentCategory(K3212)</f>
        <v>Neutral</v>
      </c>
    </row>
    <row r="3213" spans="1:12" x14ac:dyDescent="0.25">
      <c r="A3213" t="s">
        <v>836</v>
      </c>
      <c r="B3213" t="s">
        <v>837</v>
      </c>
      <c r="C3213" t="str" cm="1">
        <f t="array" ref="C3213">CleanText(B3213)</f>
        <v>whoever wrote the literal dialogue should literally take some literal writing classes literally</v>
      </c>
      <c r="D3213">
        <v>1</v>
      </c>
      <c r="E3213">
        <v>0</v>
      </c>
      <c r="F3213" t="s">
        <v>10</v>
      </c>
      <c r="G3213" t="str" cm="1">
        <f t="array" ref="G3213">FindCountryName(F3213)</f>
        <v>None</v>
      </c>
      <c r="H3213" s="3">
        <v>45302.308645833335</v>
      </c>
      <c r="I3213" s="3">
        <v>45302.308645833335</v>
      </c>
      <c r="J3213" s="3">
        <v>39202.681006944447</v>
      </c>
      <c r="K3213" cm="1">
        <f t="array" ref="K3213">sentimentCalc(C3213)</f>
        <v>0</v>
      </c>
      <c r="L3213" t="str" cm="1">
        <f t="array" ref="L3213">sentimentCategory(K3213)</f>
        <v>Neutral</v>
      </c>
    </row>
    <row r="3214" spans="1:12" x14ac:dyDescent="0.25">
      <c r="A3214" t="s">
        <v>225</v>
      </c>
      <c r="B3214" t="s">
        <v>1266</v>
      </c>
      <c r="C3214" t="str" cm="1">
        <f t="array" ref="C3214">CleanText(B3214)</f>
        <v>why are there no single asian barbie in this movie</v>
      </c>
      <c r="D3214">
        <v>0</v>
      </c>
      <c r="E3214">
        <v>0</v>
      </c>
      <c r="F3214" t="s">
        <v>10</v>
      </c>
      <c r="G3214" t="str" cm="1">
        <f t="array" ref="G3214">FindCountryName(F3214)</f>
        <v>None</v>
      </c>
      <c r="H3214" s="3">
        <v>45262.970949074072</v>
      </c>
      <c r="I3214" s="3">
        <v>45262.970949074072</v>
      </c>
      <c r="J3214" s="3">
        <v>41772.01939814815</v>
      </c>
      <c r="K3214" cm="1">
        <f t="array" ref="K3214">sentimentCalc(C3214)</f>
        <v>-1</v>
      </c>
      <c r="L3214" t="str" cm="1">
        <f t="array" ref="L3214">sentimentCategory(K3214)</f>
        <v>Negative</v>
      </c>
    </row>
    <row r="3215" spans="1:12" x14ac:dyDescent="0.25">
      <c r="A3215" t="s">
        <v>525</v>
      </c>
      <c r="B3215" t="s">
        <v>3591</v>
      </c>
      <c r="C3215" t="str" cm="1">
        <f t="array" ref="C3215">CleanText(B3215)</f>
        <v>why barbie never got pregnantbecause ken came in a different boxps pathetic movie it just reflects the stupidity and idiocy of modern society as for ken hes the perfect example of a stupid vulnerable simp</v>
      </c>
      <c r="D3215">
        <v>1</v>
      </c>
      <c r="E3215">
        <v>2</v>
      </c>
      <c r="F3215" t="s">
        <v>10</v>
      </c>
      <c r="G3215" t="str" cm="1">
        <f t="array" ref="G3215">FindCountryName(F3215)</f>
        <v>None</v>
      </c>
      <c r="H3215" s="3">
        <v>45147.341782407406</v>
      </c>
      <c r="I3215" s="3">
        <v>45147.341770833336</v>
      </c>
      <c r="J3215" s="3">
        <v>41397.21429398148</v>
      </c>
      <c r="K3215" cm="1">
        <f t="array" ref="K3215">sentimentCalc(C3215)</f>
        <v>-3</v>
      </c>
      <c r="L3215" t="str" cm="1">
        <f t="array" ref="L3215">sentimentCategory(K3215)</f>
        <v>Negative</v>
      </c>
    </row>
    <row r="3216" spans="1:12" x14ac:dyDescent="0.25">
      <c r="A3216" t="s">
        <v>1561</v>
      </c>
      <c r="B3216" t="s">
        <v>2619</v>
      </c>
      <c r="C3216" t="str" cm="1">
        <f t="array" ref="C3216">CleanText(B3216)</f>
        <v>why did i think that ryan gosling and freddie prinze jr that acted as fred jones in scooby doo were the same person</v>
      </c>
      <c r="D3216">
        <v>3</v>
      </c>
      <c r="E3216">
        <v>0</v>
      </c>
      <c r="F3216" t="s">
        <v>10</v>
      </c>
      <c r="G3216" t="str" cm="1">
        <f t="array" ref="G3216">FindCountryName(F3216)</f>
        <v>None</v>
      </c>
      <c r="H3216" s="3">
        <v>45161.74894675926</v>
      </c>
      <c r="I3216" s="3">
        <v>45161.74894675926</v>
      </c>
      <c r="J3216" s="3">
        <v>44282.295381944445</v>
      </c>
      <c r="K3216" cm="1">
        <f t="array" ref="K3216">sentimentCalc(C3216)</f>
        <v>0</v>
      </c>
      <c r="L3216" t="str" cm="1">
        <f t="array" ref="L3216">sentimentCategory(K3216)</f>
        <v>Neutral</v>
      </c>
    </row>
    <row r="3217" spans="1:12" x14ac:dyDescent="0.25">
      <c r="A3217" t="s">
        <v>2103</v>
      </c>
      <c r="B3217" t="s">
        <v>2104</v>
      </c>
      <c r="C3217" t="str" cm="1">
        <f t="array" ref="C3217">CleanText(B3217)</f>
        <v>why did they have to ruin the movie by introducing some fat woman who doesnt even fit barbie environment</v>
      </c>
      <c r="D3217">
        <v>0</v>
      </c>
      <c r="E3217">
        <v>2</v>
      </c>
      <c r="F3217" t="s">
        <v>10</v>
      </c>
      <c r="G3217" t="str" cm="1">
        <f t="array" ref="G3217">FindCountryName(F3217)</f>
        <v>None</v>
      </c>
      <c r="H3217" s="3">
        <v>45180.64984953704</v>
      </c>
      <c r="I3217" s="3">
        <v>45180.64984953704</v>
      </c>
      <c r="J3217" s="3">
        <v>40927.389490740738</v>
      </c>
      <c r="K3217" cm="1">
        <f t="array" ref="K3217">sentimentCalc(C3217)</f>
        <v>-1</v>
      </c>
      <c r="L3217" t="str" cm="1">
        <f t="array" ref="L3217">sentimentCategory(K3217)</f>
        <v>Negative</v>
      </c>
    </row>
    <row r="3218" spans="1:12" x14ac:dyDescent="0.25">
      <c r="A3218" t="s">
        <v>100</v>
      </c>
      <c r="B3218" t="s">
        <v>2622</v>
      </c>
      <c r="C3218" t="str" cm="1">
        <f t="array" ref="C3218">CleanText(B3218)</f>
        <v>why did this pop up when i literally searched oppenheimer</v>
      </c>
      <c r="D3218">
        <v>2</v>
      </c>
      <c r="E3218">
        <v>1</v>
      </c>
      <c r="F3218" t="s">
        <v>10</v>
      </c>
      <c r="G3218" t="str" cm="1">
        <f t="array" ref="G3218">FindCountryName(F3218)</f>
        <v>None</v>
      </c>
      <c r="H3218" s="3">
        <v>45161.54346064815</v>
      </c>
      <c r="I3218" s="3">
        <v>45161.54346064815</v>
      </c>
      <c r="J3218" s="3">
        <v>42392.884895833333</v>
      </c>
      <c r="K3218" cm="1">
        <f t="array" ref="K3218">sentimentCalc(C3218)</f>
        <v>0</v>
      </c>
      <c r="L3218" t="str" cm="1">
        <f t="array" ref="L3218">sentimentCategory(K3218)</f>
        <v>Neutral</v>
      </c>
    </row>
    <row r="3219" spans="1:12" x14ac:dyDescent="0.25">
      <c r="A3219" t="s">
        <v>1503</v>
      </c>
      <c r="B3219" t="s">
        <v>3371</v>
      </c>
      <c r="C3219" t="str" cm="1">
        <f t="array" ref="C3219">CleanText(B3219)</f>
        <v>why did you ruin it by casting will ferrell</v>
      </c>
      <c r="D3219">
        <v>0</v>
      </c>
      <c r="E3219">
        <v>0</v>
      </c>
      <c r="F3219" t="s">
        <v>10</v>
      </c>
      <c r="G3219" t="str" cm="1">
        <f t="array" ref="G3219">FindCountryName(F3219)</f>
        <v>None</v>
      </c>
      <c r="H3219" s="3">
        <v>45149.499131944445</v>
      </c>
      <c r="I3219" s="3">
        <v>45149.499131944445</v>
      </c>
      <c r="J3219" s="3">
        <v>41539.445972222224</v>
      </c>
      <c r="K3219" cm="1">
        <f t="array" ref="K3219">sentimentCalc(C3219)</f>
        <v>-2</v>
      </c>
      <c r="L3219" t="str" cm="1">
        <f t="array" ref="L3219">sentimentCategory(K3219)</f>
        <v>Negative</v>
      </c>
    </row>
    <row r="3220" spans="1:12" x14ac:dyDescent="0.25">
      <c r="A3220" t="s">
        <v>2322</v>
      </c>
      <c r="B3220" t="s">
        <v>3633</v>
      </c>
      <c r="C3220" t="str" cm="1">
        <f t="array" ref="C3220">CleanText(B3220)</f>
        <v>why didnt barbie get pregnantbecause ken came in a different box</v>
      </c>
      <c r="D3220">
        <v>0</v>
      </c>
      <c r="E3220">
        <v>0</v>
      </c>
      <c r="F3220" t="s">
        <v>10</v>
      </c>
      <c r="G3220" t="str" cm="1">
        <f t="array" ref="G3220">FindCountryName(F3220)</f>
        <v>None</v>
      </c>
      <c r="H3220" s="3">
        <v>45146.972395833334</v>
      </c>
      <c r="I3220" s="3">
        <v>45146.972384259258</v>
      </c>
      <c r="J3220" s="3">
        <v>41692.838530092595</v>
      </c>
      <c r="K3220" cm="1">
        <f t="array" ref="K3220">sentimentCalc(C3220)</f>
        <v>0</v>
      </c>
      <c r="L3220" t="str" cm="1">
        <f t="array" ref="L3220">sentimentCategory(K3220)</f>
        <v>Neutral</v>
      </c>
    </row>
    <row r="3221" spans="1:12" x14ac:dyDescent="0.25">
      <c r="A3221" t="s">
        <v>1279</v>
      </c>
      <c r="B3221" t="s">
        <v>4151</v>
      </c>
      <c r="C3221" t="str" cm="1">
        <f t="array" ref="C3221">CleanText(B3221)</f>
        <v>why do i feel like this movie was made between</v>
      </c>
      <c r="D3221">
        <v>1</v>
      </c>
      <c r="E3221">
        <v>0</v>
      </c>
      <c r="F3221" t="s">
        <v>10</v>
      </c>
      <c r="G3221" t="str" cm="1">
        <f t="array" ref="G3221">FindCountryName(F3221)</f>
        <v>None</v>
      </c>
      <c r="H3221" s="3">
        <v>45142.510358796295</v>
      </c>
      <c r="I3221" s="3">
        <v>45142.510358796295</v>
      </c>
      <c r="J3221" s="3">
        <v>44393.06927083333</v>
      </c>
      <c r="K3221" cm="1">
        <f t="array" ref="K3221">sentimentCalc(C3221)</f>
        <v>2</v>
      </c>
      <c r="L3221" t="str" cm="1">
        <f t="array" ref="L3221">sentimentCategory(K3221)</f>
        <v>Positive</v>
      </c>
    </row>
    <row r="3222" spans="1:12" x14ac:dyDescent="0.25">
      <c r="A3222" t="s">
        <v>2089</v>
      </c>
      <c r="B3222" t="s">
        <v>2090</v>
      </c>
      <c r="C3222" t="str" cm="1">
        <f t="array" ref="C3222">CleanText(B3222)</f>
        <v>why do i keep having this disturbing thought a lot of people seem to look exactly like this nowadays</v>
      </c>
      <c r="D3222">
        <v>1</v>
      </c>
      <c r="E3222">
        <v>0</v>
      </c>
      <c r="F3222" t="s">
        <v>1133</v>
      </c>
      <c r="G3222" t="str" cm="1">
        <f t="array" ref="G3222">FindCountryName(F3222)</f>
        <v>Netherlands (the)</v>
      </c>
      <c r="H3222" s="3">
        <v>45181.169803240744</v>
      </c>
      <c r="I3222" s="3">
        <v>45181.169791666667</v>
      </c>
      <c r="J3222" s="3">
        <v>39267.417256944442</v>
      </c>
      <c r="K3222" cm="1">
        <f t="array" ref="K3222">sentimentCalc(C3222)</f>
        <v>0</v>
      </c>
      <c r="L3222" t="str" cm="1">
        <f t="array" ref="L3222">sentimentCategory(K3222)</f>
        <v>Neutral</v>
      </c>
    </row>
    <row r="3223" spans="1:12" x14ac:dyDescent="0.25">
      <c r="A3223" t="s">
        <v>447</v>
      </c>
      <c r="B3223" t="s">
        <v>3571</v>
      </c>
      <c r="C3223" t="str" cm="1">
        <f t="array" ref="C3223">CleanText(B3223)</f>
        <v>why do people like trailers that spoil the whoe story i knew nothing before i watched the movie i can really recommend it</v>
      </c>
      <c r="D3223">
        <v>0</v>
      </c>
      <c r="E3223">
        <v>0</v>
      </c>
      <c r="F3223" t="s">
        <v>10</v>
      </c>
      <c r="G3223" t="str" cm="1">
        <f t="array" ref="G3223">FindCountryName(F3223)</f>
        <v>None</v>
      </c>
      <c r="H3223" s="3">
        <v>45147.472384259258</v>
      </c>
      <c r="I3223" s="3">
        <v>45147.472384259258</v>
      </c>
      <c r="J3223" s="3">
        <v>39229.738715277781</v>
      </c>
      <c r="K3223" cm="1">
        <f t="array" ref="K3223">sentimentCalc(C3223)</f>
        <v>4</v>
      </c>
      <c r="L3223" t="str" cm="1">
        <f t="array" ref="L3223">sentimentCategory(K3223)</f>
        <v>Positive</v>
      </c>
    </row>
    <row r="3224" spans="1:12" x14ac:dyDescent="0.25">
      <c r="A3224" t="s">
        <v>3638</v>
      </c>
      <c r="B3224" t="s">
        <v>3639</v>
      </c>
      <c r="C3224" t="str" cm="1">
        <f t="array" ref="C3224">CleanText(B3224)</f>
        <v>why does everyone love barbie why does she only like pink</v>
      </c>
      <c r="D3224">
        <v>0</v>
      </c>
      <c r="E3224">
        <v>5</v>
      </c>
      <c r="F3224" t="s">
        <v>10</v>
      </c>
      <c r="G3224" t="str" cm="1">
        <f t="array" ref="G3224">FindCountryName(F3224)</f>
        <v>None</v>
      </c>
      <c r="H3224" s="3">
        <v>45146.950590277775</v>
      </c>
      <c r="I3224" s="3">
        <v>45146.950578703705</v>
      </c>
      <c r="J3224" s="3">
        <v>45062.072337962964</v>
      </c>
      <c r="K3224" cm="1">
        <f t="array" ref="K3224">sentimentCalc(C3224)</f>
        <v>5</v>
      </c>
      <c r="L3224" t="str" cm="1">
        <f t="array" ref="L3224">sentimentCategory(K3224)</f>
        <v>Positive</v>
      </c>
    </row>
    <row r="3225" spans="1:12" x14ac:dyDescent="0.25">
      <c r="A3225" t="s">
        <v>11</v>
      </c>
      <c r="B3225" t="s">
        <v>1688</v>
      </c>
      <c r="C3225" t="str" cm="1">
        <f t="array" ref="C3225">CleanText(B3225)</f>
        <v>why does ken and barbie look  yrs old</v>
      </c>
      <c r="D3225">
        <v>0</v>
      </c>
      <c r="E3225">
        <v>3</v>
      </c>
      <c r="F3225" t="s">
        <v>10</v>
      </c>
      <c r="G3225" t="str" cm="1">
        <f t="array" ref="G3225">FindCountryName(F3225)</f>
        <v>None</v>
      </c>
      <c r="H3225" s="3">
        <v>45201.788263888891</v>
      </c>
      <c r="I3225" s="3">
        <v>45201.872673611113</v>
      </c>
      <c r="J3225" s="3">
        <v>45023.75990740741</v>
      </c>
      <c r="K3225" cm="1">
        <f t="array" ref="K3225">sentimentCalc(C3225)</f>
        <v>0</v>
      </c>
      <c r="L3225" t="str" cm="1">
        <f t="array" ref="L3225">sentimentCategory(K3225)</f>
        <v>Neutral</v>
      </c>
    </row>
    <row r="3226" spans="1:12" x14ac:dyDescent="0.25">
      <c r="A3226" t="s">
        <v>2227</v>
      </c>
      <c r="B3226" t="s">
        <v>3283</v>
      </c>
      <c r="C3226" t="str" cm="1">
        <f t="array" ref="C3226">CleanText(B3226)</f>
        <v>why does this actually look good</v>
      </c>
      <c r="D3226">
        <v>0</v>
      </c>
      <c r="E3226">
        <v>0</v>
      </c>
      <c r="F3226" t="s">
        <v>3284</v>
      </c>
      <c r="G3226" t="str" cm="1">
        <f t="array" ref="G3226">FindCountryName(F3226)</f>
        <v>Namibia</v>
      </c>
      <c r="H3226" s="3">
        <v>45150.733090277776</v>
      </c>
      <c r="I3226" s="3">
        <v>45150.733090277776</v>
      </c>
      <c r="J3226" s="3">
        <v>42486.345914351848</v>
      </c>
      <c r="K3226" cm="1">
        <f t="array" ref="K3226">sentimentCalc(C3226)</f>
        <v>3</v>
      </c>
      <c r="L3226" t="str" cm="1">
        <f t="array" ref="L3226">sentimentCategory(K3226)</f>
        <v>Positive</v>
      </c>
    </row>
    <row r="3227" spans="1:12" x14ac:dyDescent="0.25">
      <c r="A3227" t="s">
        <v>45</v>
      </c>
      <c r="B3227" t="s">
        <v>3501</v>
      </c>
      <c r="C3227" t="str" cm="1">
        <f t="array" ref="C3227">CleanText(B3227)</f>
        <v>why is barbie not black</v>
      </c>
      <c r="D3227">
        <v>2</v>
      </c>
      <c r="E3227">
        <v>0</v>
      </c>
      <c r="F3227" t="s">
        <v>10</v>
      </c>
      <c r="G3227" t="str" cm="1">
        <f t="array" ref="G3227">FindCountryName(F3227)</f>
        <v>None</v>
      </c>
      <c r="H3227" s="3">
        <v>45148.195173611108</v>
      </c>
      <c r="I3227" s="3">
        <v>45148.195162037038</v>
      </c>
      <c r="J3227" s="3">
        <v>45099.106041666666</v>
      </c>
      <c r="K3227" cm="1">
        <f t="array" ref="K3227">sentimentCalc(C3227)</f>
        <v>0</v>
      </c>
      <c r="L3227" t="str" cm="1">
        <f t="array" ref="L3227">sentimentCategory(K3227)</f>
        <v>Neutral</v>
      </c>
    </row>
    <row r="3228" spans="1:12" x14ac:dyDescent="0.25">
      <c r="A3228" t="s">
        <v>162</v>
      </c>
      <c r="B3228" t="s">
        <v>1470</v>
      </c>
      <c r="C3228" t="str" cm="1">
        <f t="array" ref="C3228">CleanText(B3228)</f>
        <v>why is everything so pink</v>
      </c>
      <c r="D3228">
        <v>0</v>
      </c>
      <c r="E3228">
        <v>1</v>
      </c>
      <c r="F3228" t="s">
        <v>10</v>
      </c>
      <c r="G3228" t="str" cm="1">
        <f t="array" ref="G3228">FindCountryName(F3228)</f>
        <v>None</v>
      </c>
      <c r="H3228" s="3">
        <v>45226.053159722222</v>
      </c>
      <c r="I3228" s="3">
        <v>45226.053159722222</v>
      </c>
      <c r="J3228" s="3">
        <v>44664.582557870373</v>
      </c>
      <c r="K3228" cm="1">
        <f t="array" ref="K3228">sentimentCalc(C3228)</f>
        <v>0</v>
      </c>
      <c r="L3228" t="str" cm="1">
        <f t="array" ref="L3228">sentimentCategory(K3228)</f>
        <v>Neutral</v>
      </c>
    </row>
    <row r="3229" spans="1:12" x14ac:dyDescent="0.25">
      <c r="A3229" t="s">
        <v>1792</v>
      </c>
      <c r="B3229" t="s">
        <v>4277</v>
      </c>
      <c r="C3229" t="str" cm="1">
        <f t="array" ref="C3229">CleanText(B3229)</f>
        <v>why is it delayed in uae for a whole month</v>
      </c>
      <c r="D3229">
        <v>1</v>
      </c>
      <c r="E3229">
        <v>6</v>
      </c>
      <c r="F3229" t="s">
        <v>10</v>
      </c>
      <c r="G3229" t="str" cm="1">
        <f t="array" ref="G3229">FindCountryName(F3229)</f>
        <v>None</v>
      </c>
      <c r="H3229" s="3">
        <v>45141.279317129629</v>
      </c>
      <c r="I3229" s="3">
        <v>45141.279317129629</v>
      </c>
      <c r="J3229" s="3">
        <v>44095.043819444443</v>
      </c>
      <c r="K3229" cm="1">
        <f t="array" ref="K3229">sentimentCalc(C3229)</f>
        <v>-1</v>
      </c>
      <c r="L3229" t="str" cm="1">
        <f t="array" ref="L3229">sentimentCategory(K3229)</f>
        <v>Negative</v>
      </c>
    </row>
    <row r="3230" spans="1:12" x14ac:dyDescent="0.25">
      <c r="A3230" t="s">
        <v>2208</v>
      </c>
      <c r="B3230" t="s">
        <v>2209</v>
      </c>
      <c r="C3230" t="str" cm="1">
        <f t="array" ref="C3230">CleanText(B3230)</f>
        <v>why is it that people get mad at disney for having ariel be played by a black woman since thats not how they grew to know ariel yet theyre okay with the actor playing barbie in this movie having a pis why cant people just make up their minds</v>
      </c>
      <c r="D3230">
        <v>0</v>
      </c>
      <c r="E3230">
        <v>2</v>
      </c>
      <c r="F3230" t="s">
        <v>10</v>
      </c>
      <c r="G3230" t="str" cm="1">
        <f t="array" ref="G3230">FindCountryName(F3230)</f>
        <v>None</v>
      </c>
      <c r="H3230" s="3">
        <v>45175.882372685184</v>
      </c>
      <c r="I3230" s="3">
        <v>45175.882372685184</v>
      </c>
      <c r="J3230" s="3">
        <v>40304.660000000003</v>
      </c>
      <c r="K3230" cm="1">
        <f t="array" ref="K3230">sentimentCalc(C3230)</f>
        <v>-3</v>
      </c>
      <c r="L3230" t="str" cm="1">
        <f t="array" ref="L3230">sentimentCategory(K3230)</f>
        <v>Negative</v>
      </c>
    </row>
    <row r="3231" spans="1:12" x14ac:dyDescent="0.25">
      <c r="A3231" t="s">
        <v>133</v>
      </c>
      <c r="B3231" t="s">
        <v>3176</v>
      </c>
      <c r="C3231" t="str" cm="1">
        <f t="array" ref="C3231">CleanText(B3231)</f>
        <v>why is ken so fkn old</v>
      </c>
      <c r="D3231">
        <v>3</v>
      </c>
      <c r="E3231">
        <v>1</v>
      </c>
      <c r="F3231" t="s">
        <v>10</v>
      </c>
      <c r="G3231" t="str" cm="1">
        <f t="array" ref="G3231">FindCountryName(F3231)</f>
        <v>None</v>
      </c>
      <c r="H3231" s="3">
        <v>45152.382962962962</v>
      </c>
      <c r="I3231" s="3">
        <v>45152.382962962962</v>
      </c>
      <c r="J3231" s="3">
        <v>43407.875694444447</v>
      </c>
      <c r="K3231" cm="1">
        <f t="array" ref="K3231">sentimentCalc(C3231)</f>
        <v>0</v>
      </c>
      <c r="L3231" t="str" cm="1">
        <f t="array" ref="L3231">sentimentCategory(K3231)</f>
        <v>Neutral</v>
      </c>
    </row>
    <row r="3232" spans="1:12" x14ac:dyDescent="0.25">
      <c r="A3232" t="s">
        <v>197</v>
      </c>
      <c r="B3232" t="s">
        <v>3413</v>
      </c>
      <c r="C3232" t="str" cm="1">
        <f t="array" ref="C3232">CleanText(B3232)</f>
        <v>why is ken so old</v>
      </c>
      <c r="D3232">
        <v>1</v>
      </c>
      <c r="E3232">
        <v>0</v>
      </c>
      <c r="F3232" t="s">
        <v>10</v>
      </c>
      <c r="G3232" t="str" cm="1">
        <f t="array" ref="G3232">FindCountryName(F3232)</f>
        <v>None</v>
      </c>
      <c r="H3232" s="3">
        <v>45149.208368055559</v>
      </c>
      <c r="I3232" s="3">
        <v>45149.208368055559</v>
      </c>
      <c r="J3232" s="3">
        <v>41414.846759259257</v>
      </c>
      <c r="K3232" cm="1">
        <f t="array" ref="K3232">sentimentCalc(C3232)</f>
        <v>0</v>
      </c>
      <c r="L3232" t="str" cm="1">
        <f t="array" ref="L3232">sentimentCategory(K3232)</f>
        <v>Neutral</v>
      </c>
    </row>
    <row r="3233" spans="1:12" x14ac:dyDescent="0.25">
      <c r="A3233" t="s">
        <v>1129</v>
      </c>
      <c r="B3233" t="s">
        <v>1665</v>
      </c>
      <c r="C3233" t="str" cm="1">
        <f t="array" ref="C3233">CleanText(B3233)</f>
        <v>why is ken so zesty</v>
      </c>
      <c r="D3233">
        <v>0</v>
      </c>
      <c r="E3233">
        <v>0</v>
      </c>
      <c r="F3233" t="s">
        <v>10</v>
      </c>
      <c r="G3233" t="str" cm="1">
        <f t="array" ref="G3233">FindCountryName(F3233)</f>
        <v>None</v>
      </c>
      <c r="H3233" s="3">
        <v>45204.162094907406</v>
      </c>
      <c r="I3233" s="3">
        <v>45204.162094907406</v>
      </c>
      <c r="J3233" s="3">
        <v>44668.823379629626</v>
      </c>
      <c r="K3233" cm="1">
        <f t="array" ref="K3233">sentimentCalc(C3233)</f>
        <v>0</v>
      </c>
      <c r="L3233" t="str" cm="1">
        <f t="array" ref="L3233">sentimentCategory(K3233)</f>
        <v>Neutral</v>
      </c>
    </row>
    <row r="3234" spans="1:12" x14ac:dyDescent="0.25">
      <c r="A3234" t="s">
        <v>54</v>
      </c>
      <c r="B3234" t="s">
        <v>2199</v>
      </c>
      <c r="C3234" t="str" cm="1">
        <f t="array" ref="C3234">CleanText(B3234)</f>
        <v>why is there a fat barbie</v>
      </c>
      <c r="D3234">
        <v>0</v>
      </c>
      <c r="E3234">
        <v>10</v>
      </c>
      <c r="F3234" t="s">
        <v>10</v>
      </c>
      <c r="G3234" t="str" cm="1">
        <f t="array" ref="G3234">FindCountryName(F3234)</f>
        <v>None</v>
      </c>
      <c r="H3234" s="3">
        <v>45176.068541666667</v>
      </c>
      <c r="I3234" s="3">
        <v>45176.068530092591</v>
      </c>
      <c r="J3234" s="3">
        <v>44041.474756944444</v>
      </c>
      <c r="K3234" cm="1">
        <f t="array" ref="K3234">sentimentCalc(C3234)</f>
        <v>0</v>
      </c>
      <c r="L3234" t="str" cm="1">
        <f t="array" ref="L3234">sentimentCategory(K3234)</f>
        <v>Neutral</v>
      </c>
    </row>
    <row r="3235" spans="1:12" x14ac:dyDescent="0.25">
      <c r="A3235" t="s">
        <v>1281</v>
      </c>
      <c r="B3235" t="s">
        <v>3777</v>
      </c>
      <c r="C3235" t="str" cm="1">
        <f t="array" ref="C3235">CleanText(B3235)</f>
        <v>why is this popular it looks incredibly dumb</v>
      </c>
      <c r="D3235">
        <v>0</v>
      </c>
      <c r="E3235">
        <v>0</v>
      </c>
      <c r="F3235" t="s">
        <v>10</v>
      </c>
      <c r="G3235" t="str" cm="1">
        <f t="array" ref="G3235">FindCountryName(F3235)</f>
        <v>None</v>
      </c>
      <c r="H3235" s="3">
        <v>45145.567418981482</v>
      </c>
      <c r="I3235" s="3">
        <v>45145.567418981482</v>
      </c>
      <c r="J3235" s="3">
        <v>38972.889398148145</v>
      </c>
      <c r="K3235" cm="1">
        <f t="array" ref="K3235">sentimentCalc(C3235)</f>
        <v>0</v>
      </c>
      <c r="L3235" t="str" cm="1">
        <f t="array" ref="L3235">sentimentCategory(K3235)</f>
        <v>Neutral</v>
      </c>
    </row>
    <row r="3236" spans="1:12" x14ac:dyDescent="0.25">
      <c r="A3236" t="s">
        <v>804</v>
      </c>
      <c r="B3236" t="s">
        <v>3427</v>
      </c>
      <c r="C3236" t="str" cm="1">
        <f t="array" ref="C3236">CleanText(B3236)</f>
        <v>why isnt there a pregnant barbie because ken came in a different box</v>
      </c>
      <c r="D3236">
        <v>1</v>
      </c>
      <c r="E3236">
        <v>0</v>
      </c>
      <c r="F3236" t="s">
        <v>10</v>
      </c>
      <c r="G3236" t="str" cm="1">
        <f t="array" ref="G3236">FindCountryName(F3236)</f>
        <v>None</v>
      </c>
      <c r="H3236" s="3">
        <v>45149.034479166665</v>
      </c>
      <c r="I3236" s="3">
        <v>45149.034479166665</v>
      </c>
      <c r="J3236" s="3">
        <v>41524.765057870369</v>
      </c>
      <c r="K3236" cm="1">
        <f t="array" ref="K3236">sentimentCalc(C3236)</f>
        <v>0</v>
      </c>
      <c r="L3236" t="str" cm="1">
        <f t="array" ref="L3236">sentimentCategory(K3236)</f>
        <v>Neutral</v>
      </c>
    </row>
    <row r="3237" spans="1:12" x14ac:dyDescent="0.25">
      <c r="A3237" t="s">
        <v>405</v>
      </c>
      <c r="B3237" t="s">
        <v>3483</v>
      </c>
      <c r="C3237" t="str" cm="1">
        <f t="array" ref="C3237">CleanText(B3237)</f>
        <v>why it so fast</v>
      </c>
      <c r="D3237">
        <v>0</v>
      </c>
      <c r="E3237">
        <v>0</v>
      </c>
      <c r="F3237" t="s">
        <v>10</v>
      </c>
      <c r="G3237" t="str" cm="1">
        <f t="array" ref="G3237">FindCountryName(F3237)</f>
        <v>None</v>
      </c>
      <c r="H3237" s="3">
        <v>45148.401979166665</v>
      </c>
      <c r="I3237" s="3">
        <v>45148.401979166665</v>
      </c>
      <c r="J3237" s="3">
        <v>45123.470671296294</v>
      </c>
      <c r="K3237" cm="1">
        <f t="array" ref="K3237">sentimentCalc(C3237)</f>
        <v>0</v>
      </c>
      <c r="L3237" t="str" cm="1">
        <f t="array" ref="L3237">sentimentCategory(K3237)</f>
        <v>Neutral</v>
      </c>
    </row>
    <row r="3238" spans="1:12" x14ac:dyDescent="0.25">
      <c r="A3238" t="s">
        <v>832</v>
      </c>
      <c r="B3238" t="s">
        <v>3717</v>
      </c>
      <c r="C3238" t="str" cm="1">
        <f t="array" ref="C3238">CleanText(B3238)</f>
        <v>why should i ever watch this i mean wtf</v>
      </c>
      <c r="D3238">
        <v>0</v>
      </c>
      <c r="E3238">
        <v>0</v>
      </c>
      <c r="F3238" t="s">
        <v>10</v>
      </c>
      <c r="G3238" t="str" cm="1">
        <f t="array" ref="G3238">FindCountryName(F3238)</f>
        <v>None</v>
      </c>
      <c r="H3238" s="3">
        <v>45146.071782407409</v>
      </c>
      <c r="I3238" s="3">
        <v>45146.071782407409</v>
      </c>
      <c r="J3238" s="3">
        <v>42726.180995370371</v>
      </c>
      <c r="K3238" cm="1">
        <f t="array" ref="K3238">sentimentCalc(C3238)</f>
        <v>0</v>
      </c>
      <c r="L3238" t="str" cm="1">
        <f t="array" ref="L3238">sentimentCategory(K3238)</f>
        <v>Neutral</v>
      </c>
    </row>
    <row r="3239" spans="1:12" x14ac:dyDescent="0.25">
      <c r="A3239" t="s">
        <v>41</v>
      </c>
      <c r="B3239" t="s">
        <v>2965</v>
      </c>
      <c r="C3239" t="str" cm="1">
        <f t="array" ref="C3239">CleanText(B3239)</f>
        <v>why the heck is this so cringe</v>
      </c>
      <c r="D3239">
        <v>0</v>
      </c>
      <c r="E3239">
        <v>0</v>
      </c>
      <c r="F3239" t="s">
        <v>10</v>
      </c>
      <c r="G3239" t="str" cm="1">
        <f t="array" ref="G3239">FindCountryName(F3239)</f>
        <v>None</v>
      </c>
      <c r="H3239" s="3">
        <v>45155.374189814815</v>
      </c>
      <c r="I3239" s="3">
        <v>45155.374189814815</v>
      </c>
      <c r="J3239" s="3">
        <v>45035.358113425929</v>
      </c>
      <c r="K3239" cm="1">
        <f t="array" ref="K3239">sentimentCalc(C3239)</f>
        <v>0</v>
      </c>
      <c r="L3239" t="str" cm="1">
        <f t="array" ref="L3239">sentimentCategory(K3239)</f>
        <v>Neutral</v>
      </c>
    </row>
    <row r="3240" spans="1:12" x14ac:dyDescent="0.25">
      <c r="A3240" t="s">
        <v>232</v>
      </c>
      <c r="B3240" t="s">
        <v>234</v>
      </c>
      <c r="C3240" t="str" cm="1">
        <f t="array" ref="C3240">CleanText(B3240)</f>
        <v>why would anyone watch a barbie doll movie its so stupid why promote stupidity i have watched the stupidity increase over the last  years and am relieved that human beings will extinct themselves and give other more worthy life forms a chance</v>
      </c>
      <c r="D3240">
        <v>1</v>
      </c>
      <c r="E3240">
        <v>1</v>
      </c>
      <c r="F3240" t="s">
        <v>10</v>
      </c>
      <c r="G3240" t="str" cm="1">
        <f t="array" ref="G3240">FindCountryName(F3240)</f>
        <v>None</v>
      </c>
      <c r="H3240" s="3">
        <v>45328.381840277776</v>
      </c>
      <c r="I3240" s="3">
        <v>45328.381840277776</v>
      </c>
      <c r="J3240" s="3">
        <v>40183.738611111112</v>
      </c>
      <c r="K3240" cm="1">
        <f t="array" ref="K3240">sentimentCalc(C3240)</f>
        <v>6</v>
      </c>
      <c r="L3240" t="str" cm="1">
        <f t="array" ref="L3240">sentimentCategory(K3240)</f>
        <v>Positive</v>
      </c>
    </row>
    <row r="3241" spans="1:12" x14ac:dyDescent="0.25">
      <c r="A3241" t="s">
        <v>2986</v>
      </c>
      <c r="B3241" t="s">
        <v>3627</v>
      </c>
      <c r="C3241" t="str" cm="1">
        <f t="array" ref="C3241">CleanText(B3241)</f>
        <v>will ferrell should be ken and margot robbie isnt cute enough for barbie she looks like a bad or mean woman more suitable for a witch character</v>
      </c>
      <c r="D3241">
        <v>1</v>
      </c>
      <c r="E3241">
        <v>0</v>
      </c>
      <c r="F3241" t="s">
        <v>10</v>
      </c>
      <c r="G3241" t="str" cm="1">
        <f t="array" ref="G3241">FindCountryName(F3241)</f>
        <v>None</v>
      </c>
      <c r="H3241" s="3">
        <v>45147.00136574074</v>
      </c>
      <c r="I3241" s="3">
        <v>45147.00136574074</v>
      </c>
      <c r="J3241" s="3">
        <v>41008.089212962965</v>
      </c>
      <c r="K3241" cm="1">
        <f t="array" ref="K3241">sentimentCalc(C3241)</f>
        <v>1</v>
      </c>
      <c r="L3241" t="str" cm="1">
        <f t="array" ref="L3241">sentimentCategory(K3241)</f>
        <v>Positive</v>
      </c>
    </row>
    <row r="3242" spans="1:12" x14ac:dyDescent="0.25">
      <c r="A3242" t="s">
        <v>1545</v>
      </c>
      <c r="B3242" t="s">
        <v>1546</v>
      </c>
      <c r="C3242" t="str" cm="1">
        <f t="array" ref="C3242">CleanText(B3242)</f>
        <v>will ferrellmattel ceo in barbie moviepresident business in lego movieand best of all mugatu</v>
      </c>
      <c r="D3242">
        <v>1</v>
      </c>
      <c r="E3242">
        <v>0</v>
      </c>
      <c r="F3242" t="s">
        <v>10</v>
      </c>
      <c r="G3242" t="str" cm="1">
        <f t="array" ref="G3242">FindCountryName(F3242)</f>
        <v>None</v>
      </c>
      <c r="H3242" s="3">
        <v>45214.702743055554</v>
      </c>
      <c r="I3242" s="3">
        <v>45214.704502314817</v>
      </c>
      <c r="J3242" s="3">
        <v>41671.112129629626</v>
      </c>
      <c r="K3242" cm="1">
        <f t="array" ref="K3242">sentimentCalc(C3242)</f>
        <v>3</v>
      </c>
      <c r="L3242" t="str" cm="1">
        <f t="array" ref="L3242">sentimentCategory(K3242)</f>
        <v>Positive</v>
      </c>
    </row>
    <row r="3243" spans="1:12" x14ac:dyDescent="0.25">
      <c r="A3243" t="s">
        <v>4467</v>
      </c>
      <c r="B3243" t="s">
        <v>4468</v>
      </c>
      <c r="C3243" t="str" cm="1">
        <f t="array" ref="C3243">CleanText(B3243)</f>
        <v>will release on netflix or hbo</v>
      </c>
      <c r="D3243">
        <v>0</v>
      </c>
      <c r="E3243">
        <v>2</v>
      </c>
      <c r="F3243" t="s">
        <v>10</v>
      </c>
      <c r="G3243" t="str" cm="1">
        <f t="array" ref="G3243">FindCountryName(F3243)</f>
        <v>None</v>
      </c>
      <c r="H3243" s="3">
        <v>45140.106747685182</v>
      </c>
      <c r="I3243" s="3">
        <v>45140.107731481483</v>
      </c>
      <c r="J3243" s="3">
        <v>44693.262199074074</v>
      </c>
      <c r="K3243" cm="1">
        <f t="array" ref="K3243">sentimentCalc(C3243)</f>
        <v>0</v>
      </c>
      <c r="L3243" t="str" cm="1">
        <f t="array" ref="L3243">sentimentCategory(K3243)</f>
        <v>Neutral</v>
      </c>
    </row>
    <row r="3244" spans="1:12" x14ac:dyDescent="0.25">
      <c r="A3244" t="s">
        <v>4467</v>
      </c>
      <c r="B3244" t="s">
        <v>4469</v>
      </c>
      <c r="C3244" t="str" cm="1">
        <f t="array" ref="C3244">CleanText(B3244)</f>
        <v>will release on netflix</v>
      </c>
      <c r="D3244">
        <v>0</v>
      </c>
      <c r="E3244">
        <v>0</v>
      </c>
      <c r="F3244" t="s">
        <v>10</v>
      </c>
      <c r="G3244" t="str" cm="1">
        <f t="array" ref="G3244">FindCountryName(F3244)</f>
        <v>None</v>
      </c>
      <c r="H3244" s="3">
        <v>45140.106574074074</v>
      </c>
      <c r="I3244" s="3">
        <v>45140.106574074074</v>
      </c>
      <c r="J3244" s="3">
        <v>44693.262199074074</v>
      </c>
      <c r="K3244" cm="1">
        <f t="array" ref="K3244">sentimentCalc(C3244)</f>
        <v>0</v>
      </c>
      <c r="L3244" t="str" cm="1">
        <f t="array" ref="L3244">sentimentCategory(K3244)</f>
        <v>Neutral</v>
      </c>
    </row>
    <row r="3245" spans="1:12" x14ac:dyDescent="0.25">
      <c r="A3245" t="s">
        <v>213</v>
      </c>
      <c r="B3245" t="s">
        <v>661</v>
      </c>
      <c r="C3245" t="str" cm="1">
        <f t="array" ref="C3245">CleanText(B3245)</f>
        <v>will take all girls on a journey through history</v>
      </c>
      <c r="D3245">
        <v>0</v>
      </c>
      <c r="E3245">
        <v>0</v>
      </c>
      <c r="F3245" t="s">
        <v>10</v>
      </c>
      <c r="G3245" t="str" cm="1">
        <f t="array" ref="G3245">FindCountryName(F3245)</f>
        <v>None</v>
      </c>
      <c r="H3245" s="3">
        <v>45314.275023148148</v>
      </c>
      <c r="I3245" s="3">
        <v>45314.275023148148</v>
      </c>
      <c r="J3245" s="3">
        <v>41180.1253125</v>
      </c>
      <c r="K3245" cm="1">
        <f t="array" ref="K3245">sentimentCalc(C3245)</f>
        <v>0</v>
      </c>
      <c r="L3245" t="str" cm="1">
        <f t="array" ref="L3245">sentimentCategory(K3245)</f>
        <v>Neutral</v>
      </c>
    </row>
    <row r="3246" spans="1:12" x14ac:dyDescent="0.25">
      <c r="A3246" t="s">
        <v>4403</v>
      </c>
      <c r="B3246" t="s">
        <v>4404</v>
      </c>
      <c r="C3246" t="str" cm="1">
        <f t="array" ref="C3246">CleanText(B3246)</f>
        <v>will this movie work also be available in iran or afghanistan</v>
      </c>
      <c r="D3246">
        <v>0</v>
      </c>
      <c r="E3246">
        <v>0</v>
      </c>
      <c r="F3246" t="s">
        <v>10</v>
      </c>
      <c r="G3246" t="str" cm="1">
        <f t="array" ref="G3246">FindCountryName(F3246)</f>
        <v>None</v>
      </c>
      <c r="H3246" s="3">
        <v>45140.442650462966</v>
      </c>
      <c r="I3246" s="3">
        <v>45140.442650462966</v>
      </c>
      <c r="J3246" s="3">
        <v>39091.795081018521</v>
      </c>
      <c r="K3246" cm="1">
        <f t="array" ref="K3246">sentimentCalc(C3246)</f>
        <v>0</v>
      </c>
      <c r="L3246" t="str" cm="1">
        <f t="array" ref="L3246">sentimentCategory(K3246)</f>
        <v>Neutral</v>
      </c>
    </row>
    <row r="3247" spans="1:12" x14ac:dyDescent="0.25">
      <c r="A3247" t="s">
        <v>400</v>
      </c>
      <c r="B3247" t="s">
        <v>3179</v>
      </c>
      <c r="C3247" t="str" cm="1">
        <f t="array" ref="C3247">CleanText(B3247)</f>
        <v>wish margot was few years younger age is showing up for this character</v>
      </c>
      <c r="D3247">
        <v>1</v>
      </c>
      <c r="E3247">
        <v>2</v>
      </c>
      <c r="F3247" t="s">
        <v>10</v>
      </c>
      <c r="G3247" t="str" cm="1">
        <f t="array" ref="G3247">FindCountryName(F3247)</f>
        <v>None</v>
      </c>
      <c r="H3247" s="3">
        <v>45152.333935185183</v>
      </c>
      <c r="I3247" s="3">
        <v>45152.333935185183</v>
      </c>
      <c r="J3247" s="3">
        <v>44678.366620370369</v>
      </c>
      <c r="K3247" cm="1">
        <f t="array" ref="K3247">sentimentCalc(C3247)</f>
        <v>1</v>
      </c>
      <c r="L3247" t="str" cm="1">
        <f t="array" ref="L3247">sentimentCategory(K3247)</f>
        <v>Positive</v>
      </c>
    </row>
    <row r="3248" spans="1:12" x14ac:dyDescent="0.25">
      <c r="A3248" t="s">
        <v>307</v>
      </c>
      <c r="B3248" t="s">
        <v>2756</v>
      </c>
      <c r="C3248" t="str" cm="1">
        <f t="array" ref="C3248">CleanText(B3248)</f>
        <v>with the amount of hype this mocie had and everyone sayin its sooo good i thought its gonna be a wow meanwhile i could barely stay awake and pay attention to the screen it was so borin yup i know unpopular opinion eat me alive now</v>
      </c>
      <c r="D3248">
        <v>0</v>
      </c>
      <c r="E3248">
        <v>0</v>
      </c>
      <c r="F3248" t="s">
        <v>10</v>
      </c>
      <c r="G3248" t="str" cm="1">
        <f t="array" ref="G3248">FindCountryName(F3248)</f>
        <v>None</v>
      </c>
      <c r="H3248" s="3">
        <v>45158.48269675926</v>
      </c>
      <c r="I3248" s="3">
        <v>45158.482685185183</v>
      </c>
      <c r="J3248" s="3">
        <v>41766.241875</v>
      </c>
      <c r="K3248" cm="1">
        <f t="array" ref="K3248">sentimentCalc(C3248)</f>
        <v>7</v>
      </c>
      <c r="L3248" t="str" cm="1">
        <f t="array" ref="L3248">sentimentCategory(K3248)</f>
        <v>Positive</v>
      </c>
    </row>
    <row r="3249" spans="1:12" x14ac:dyDescent="0.25">
      <c r="A3249" t="s">
        <v>329</v>
      </c>
      <c r="B3249" t="s">
        <v>2578</v>
      </c>
      <c r="C3249" t="str" cm="1">
        <f t="array" ref="C3249">CleanText(B3249)</f>
        <v>without the blaring music and costumes i guess whats summer without some drama</v>
      </c>
      <c r="D3249">
        <v>0</v>
      </c>
      <c r="E3249">
        <v>0</v>
      </c>
      <c r="F3249" t="s">
        <v>10</v>
      </c>
      <c r="G3249" t="str" cm="1">
        <f t="array" ref="G3249">FindCountryName(F3249)</f>
        <v>None</v>
      </c>
      <c r="H3249" s="3">
        <v>45162.78193287037</v>
      </c>
      <c r="I3249" s="3">
        <v>45162.78193287037</v>
      </c>
      <c r="J3249" s="3">
        <v>42291.861759259256</v>
      </c>
      <c r="K3249" cm="1">
        <f t="array" ref="K3249">sentimentCalc(C3249)</f>
        <v>0</v>
      </c>
      <c r="L3249" t="str" cm="1">
        <f t="array" ref="L3249">sentimentCategory(K3249)</f>
        <v>Neutral</v>
      </c>
    </row>
    <row r="3250" spans="1:12" x14ac:dyDescent="0.25">
      <c r="A3250" t="s">
        <v>828</v>
      </c>
      <c r="B3250" t="s">
        <v>4373</v>
      </c>
      <c r="C3250" t="str" cm="1">
        <f t="array" ref="C3250">CleanText(B3250)</f>
        <v>woah woah woah woah wait a minute hold the phones did they just rip off of the matrix</v>
      </c>
      <c r="D3250">
        <v>0</v>
      </c>
      <c r="E3250">
        <v>0</v>
      </c>
      <c r="F3250" t="s">
        <v>10</v>
      </c>
      <c r="G3250" t="str" cm="1">
        <f t="array" ref="G3250">FindCountryName(F3250)</f>
        <v>None</v>
      </c>
      <c r="H3250" s="3">
        <v>45140.573391203703</v>
      </c>
      <c r="I3250" s="3">
        <v>45140.573391203703</v>
      </c>
      <c r="J3250" s="3">
        <v>39606.076493055552</v>
      </c>
      <c r="K3250" cm="1">
        <f t="array" ref="K3250">sentimentCalc(C3250)</f>
        <v>0</v>
      </c>
      <c r="L3250" t="str" cm="1">
        <f t="array" ref="L3250">sentimentCategory(K3250)</f>
        <v>Neutral</v>
      </c>
    </row>
    <row r="3251" spans="1:12" x14ac:dyDescent="0.25">
      <c r="A3251" t="s">
        <v>2590</v>
      </c>
      <c r="B3251" t="s">
        <v>2591</v>
      </c>
      <c r="C3251" t="str" cm="1">
        <f t="array" ref="C3251">CleanText(B3251)</f>
        <v>wohootheres  everywhereeat that sigmas</v>
      </c>
      <c r="D3251">
        <v>1</v>
      </c>
      <c r="E3251">
        <v>0</v>
      </c>
      <c r="F3251" t="s">
        <v>10</v>
      </c>
      <c r="G3251" t="str" cm="1">
        <f t="array" ref="G3251">FindCountryName(F3251)</f>
        <v>None</v>
      </c>
      <c r="H3251" s="3">
        <v>45162.407326388886</v>
      </c>
      <c r="I3251" s="3">
        <v>45162.407326388886</v>
      </c>
      <c r="J3251" s="3">
        <v>44426.192696759259</v>
      </c>
      <c r="K3251" cm="1">
        <f t="array" ref="K3251">sentimentCalc(C3251)</f>
        <v>0</v>
      </c>
      <c r="L3251" t="str" cm="1">
        <f t="array" ref="L3251">sentimentCategory(K3251)</f>
        <v>Neutral</v>
      </c>
    </row>
    <row r="3252" spans="1:12" x14ac:dyDescent="0.25">
      <c r="A3252" t="s">
        <v>1065</v>
      </c>
      <c r="B3252" t="s">
        <v>3701</v>
      </c>
      <c r="C3252" t="str" cm="1">
        <f t="array" ref="C3252">CleanText(B3252)</f>
        <v>woke are bitting f woke</v>
      </c>
      <c r="D3252">
        <v>2</v>
      </c>
      <c r="E3252">
        <v>0</v>
      </c>
      <c r="F3252" t="s">
        <v>10</v>
      </c>
      <c r="G3252" t="str" cm="1">
        <f t="array" ref="G3252">FindCountryName(F3252)</f>
        <v>None</v>
      </c>
      <c r="H3252" s="3">
        <v>45146.294212962966</v>
      </c>
      <c r="I3252" s="3">
        <v>45146.294212962966</v>
      </c>
      <c r="J3252" s="3">
        <v>43394.301157407404</v>
      </c>
      <c r="K3252" cm="1">
        <f t="array" ref="K3252">sentimentCalc(C3252)</f>
        <v>0</v>
      </c>
      <c r="L3252" t="str" cm="1">
        <f t="array" ref="L3252">sentimentCategory(K3252)</f>
        <v>Neutral</v>
      </c>
    </row>
    <row r="3253" spans="1:12" x14ac:dyDescent="0.25">
      <c r="A3253" t="s">
        <v>38</v>
      </c>
      <c r="B3253" t="s">
        <v>4479</v>
      </c>
      <c r="C3253" t="str" cm="1">
        <f t="array" ref="C3253">CleanText(B3253)</f>
        <v>woke garbage</v>
      </c>
      <c r="D3253">
        <v>8</v>
      </c>
      <c r="E3253">
        <v>3</v>
      </c>
      <c r="F3253" t="s">
        <v>10</v>
      </c>
      <c r="G3253" t="str" cm="1">
        <f t="array" ref="G3253">FindCountryName(F3253)</f>
        <v>None</v>
      </c>
      <c r="H3253" s="3">
        <v>45140.000902777778</v>
      </c>
      <c r="I3253" s="3">
        <v>45140.000902777778</v>
      </c>
      <c r="J3253" s="3">
        <v>43515.90896990741</v>
      </c>
      <c r="K3253" cm="1">
        <f t="array" ref="K3253">sentimentCalc(C3253)</f>
        <v>0</v>
      </c>
      <c r="L3253" t="str" cm="1">
        <f t="array" ref="L3253">sentimentCategory(K3253)</f>
        <v>Neutral</v>
      </c>
    </row>
    <row r="3254" spans="1:12" x14ac:dyDescent="0.25">
      <c r="A3254" t="s">
        <v>215</v>
      </c>
      <c r="B3254" t="s">
        <v>1152</v>
      </c>
      <c r="C3254" t="str" cm="1">
        <f t="array" ref="C3254">CleanText(B3254)</f>
        <v>woke trash</v>
      </c>
      <c r="D3254">
        <v>6</v>
      </c>
      <c r="E3254">
        <v>1</v>
      </c>
      <c r="F3254" t="s">
        <v>10</v>
      </c>
      <c r="G3254" t="str" cm="1">
        <f t="array" ref="G3254">FindCountryName(F3254)</f>
        <v>None</v>
      </c>
      <c r="H3254" s="3">
        <v>45282.81082175926</v>
      </c>
      <c r="I3254" s="3">
        <v>45282.81082175926</v>
      </c>
      <c r="J3254" s="3">
        <v>40845.945324074077</v>
      </c>
      <c r="K3254" cm="1">
        <f t="array" ref="K3254">sentimentCalc(C3254)</f>
        <v>0</v>
      </c>
      <c r="L3254" t="str" cm="1">
        <f t="array" ref="L3254">sentimentCategory(K3254)</f>
        <v>Neutral</v>
      </c>
    </row>
    <row r="3255" spans="1:12" x14ac:dyDescent="0.25">
      <c r="A3255" t="s">
        <v>116</v>
      </c>
      <c r="B3255" t="s">
        <v>3058</v>
      </c>
      <c r="C3255" t="str" cm="1">
        <f t="array" ref="C3255">CleanText(B3255)</f>
        <v>woman lmao</v>
      </c>
      <c r="D3255">
        <v>2</v>
      </c>
      <c r="E3255">
        <v>0</v>
      </c>
      <c r="F3255" t="s">
        <v>10</v>
      </c>
      <c r="G3255" t="str" cm="1">
        <f t="array" ref="G3255">FindCountryName(F3255)</f>
        <v>None</v>
      </c>
      <c r="H3255" s="3">
        <v>45153.933530092596</v>
      </c>
      <c r="I3255" s="3">
        <v>45153.933530092596</v>
      </c>
      <c r="J3255" s="3">
        <v>44000.00304398148</v>
      </c>
      <c r="K3255" cm="1">
        <f t="array" ref="K3255">sentimentCalc(C3255)</f>
        <v>0</v>
      </c>
      <c r="L3255" t="str" cm="1">
        <f t="array" ref="L3255">sentimentCategory(K3255)</f>
        <v>Neutral</v>
      </c>
    </row>
    <row r="3256" spans="1:12" x14ac:dyDescent="0.25">
      <c r="A3256" t="s">
        <v>4013</v>
      </c>
      <c r="B3256" t="s">
        <v>4014</v>
      </c>
      <c r="C3256" t="str" cm="1">
        <f t="array" ref="C3256">CleanText(B3256)</f>
        <v>women</v>
      </c>
      <c r="D3256">
        <v>0</v>
      </c>
      <c r="E3256">
        <v>0</v>
      </c>
      <c r="F3256" t="s">
        <v>10</v>
      </c>
      <c r="G3256" t="str" cm="1">
        <f t="array" ref="G3256">FindCountryName(F3256)</f>
        <v>None</v>
      </c>
      <c r="H3256" s="3">
        <v>45143.71234953704</v>
      </c>
      <c r="I3256" s="3">
        <v>45143.71234953704</v>
      </c>
      <c r="J3256" s="3">
        <v>43406.498611111114</v>
      </c>
      <c r="K3256" cm="1">
        <f t="array" ref="K3256">sentimentCalc(C3256)</f>
        <v>0</v>
      </c>
      <c r="L3256" t="str" cm="1">
        <f t="array" ref="L3256">sentimentCategory(K3256)</f>
        <v>Neutral</v>
      </c>
    </row>
    <row r="3257" spans="1:12" x14ac:dyDescent="0.25">
      <c r="A3257" t="s">
        <v>3237</v>
      </c>
      <c r="B3257" t="s">
        <v>4220</v>
      </c>
      <c r="C3257" t="str" cm="1">
        <f t="array" ref="C3257">CleanText(B3257)</f>
        <v>women</v>
      </c>
      <c r="D3257">
        <v>2</v>
      </c>
      <c r="E3257">
        <v>0</v>
      </c>
      <c r="F3257" t="s">
        <v>10</v>
      </c>
      <c r="G3257" t="str" cm="1">
        <f t="array" ref="G3257">FindCountryName(F3257)</f>
        <v>None</v>
      </c>
      <c r="H3257" s="3">
        <v>45141.776631944442</v>
      </c>
      <c r="I3257" s="3">
        <v>45141.776631944442</v>
      </c>
      <c r="J3257" s="3">
        <v>44827.855208333334</v>
      </c>
      <c r="K3257" cm="1">
        <f t="array" ref="K3257">sentimentCalc(C3257)</f>
        <v>0</v>
      </c>
      <c r="L3257" t="str" cm="1">
        <f t="array" ref="L3257">sentimentCategory(K3257)</f>
        <v>Neutral</v>
      </c>
    </row>
    <row r="3258" spans="1:12" x14ac:dyDescent="0.25">
      <c r="A3258" t="s">
        <v>1328</v>
      </c>
      <c r="B3258" t="s">
        <v>3738</v>
      </c>
      <c r="C3258" t="str" cm="1">
        <f t="array" ref="C3258">CleanText(B3258)</f>
        <v>women dont objectify mealso women yay barbie</v>
      </c>
      <c r="D3258">
        <v>2</v>
      </c>
      <c r="E3258">
        <v>0</v>
      </c>
      <c r="F3258" t="s">
        <v>10</v>
      </c>
      <c r="G3258" t="str" cm="1">
        <f t="array" ref="G3258">FindCountryName(F3258)</f>
        <v>None</v>
      </c>
      <c r="H3258" s="3">
        <v>45145.872731481482</v>
      </c>
      <c r="I3258" s="3">
        <v>45145.872731481482</v>
      </c>
      <c r="J3258" s="3">
        <v>40249.174027777779</v>
      </c>
      <c r="K3258" cm="1">
        <f t="array" ref="K3258">sentimentCalc(C3258)</f>
        <v>0</v>
      </c>
      <c r="L3258" t="str" cm="1">
        <f t="array" ref="L3258">sentimentCategory(K3258)</f>
        <v>Neutral</v>
      </c>
    </row>
    <row r="3259" spans="1:12" x14ac:dyDescent="0.25">
      <c r="A3259" t="s">
        <v>534</v>
      </c>
      <c r="B3259" t="s">
        <v>2407</v>
      </c>
      <c r="C3259" t="str" cm="1">
        <f t="array" ref="C3259">CleanText(B3259)</f>
        <v>wonderful movie</v>
      </c>
      <c r="D3259">
        <v>1</v>
      </c>
      <c r="E3259">
        <v>0</v>
      </c>
      <c r="F3259" t="s">
        <v>10</v>
      </c>
      <c r="G3259" t="str" cm="1">
        <f t="array" ref="G3259">FindCountryName(F3259)</f>
        <v>None</v>
      </c>
      <c r="H3259" s="3">
        <v>45168.43472222222</v>
      </c>
      <c r="I3259" s="3">
        <v>45168.43472222222</v>
      </c>
      <c r="J3259" s="3">
        <v>42238.331400462965</v>
      </c>
      <c r="K3259" cm="1">
        <f t="array" ref="K3259">sentimentCalc(C3259)</f>
        <v>4</v>
      </c>
      <c r="L3259" t="str" cm="1">
        <f t="array" ref="L3259">sentimentCategory(K3259)</f>
        <v>Positive</v>
      </c>
    </row>
    <row r="3260" spans="1:12" x14ac:dyDescent="0.25">
      <c r="A3260" t="s">
        <v>378</v>
      </c>
      <c r="B3260" t="s">
        <v>1139</v>
      </c>
      <c r="C3260" t="str" cm="1">
        <f t="array" ref="C3260">CleanText(B3260)</f>
        <v>wonderful treasure</v>
      </c>
      <c r="D3260">
        <v>1</v>
      </c>
      <c r="E3260">
        <v>0</v>
      </c>
      <c r="F3260" t="s">
        <v>10</v>
      </c>
      <c r="G3260" t="str" cm="1">
        <f t="array" ref="G3260">FindCountryName(F3260)</f>
        <v>None</v>
      </c>
      <c r="H3260" s="3">
        <v>45284.013506944444</v>
      </c>
      <c r="I3260" s="3">
        <v>45284.013506944444</v>
      </c>
      <c r="J3260" s="3">
        <v>42789.863171296296</v>
      </c>
      <c r="K3260" cm="1">
        <f t="array" ref="K3260">sentimentCalc(C3260)</f>
        <v>6</v>
      </c>
      <c r="L3260" t="str" cm="1">
        <f t="array" ref="L3260">sentimentCategory(K3260)</f>
        <v>Positive</v>
      </c>
    </row>
    <row r="3261" spans="1:12" x14ac:dyDescent="0.25">
      <c r="A3261" t="s">
        <v>3529</v>
      </c>
      <c r="B3261" t="s">
        <v>3530</v>
      </c>
      <c r="C3261" t="str" cm="1">
        <f t="array" ref="C3261">CleanText(B3261)</f>
        <v>wonderful in livan the film was forbidden the mens world sucks i suppose</v>
      </c>
      <c r="D3261">
        <v>0</v>
      </c>
      <c r="E3261">
        <v>0</v>
      </c>
      <c r="F3261" t="s">
        <v>10</v>
      </c>
      <c r="G3261" t="str" cm="1">
        <f t="array" ref="G3261">FindCountryName(F3261)</f>
        <v>None</v>
      </c>
      <c r="H3261" s="3">
        <v>45147.790960648148</v>
      </c>
      <c r="I3261" s="3">
        <v>45147.790960648148</v>
      </c>
      <c r="J3261" s="3">
        <v>45147.790949074071</v>
      </c>
      <c r="K3261" cm="1">
        <f t="array" ref="K3261">sentimentCalc(C3261)</f>
        <v>1</v>
      </c>
      <c r="L3261" t="str" cm="1">
        <f t="array" ref="L3261">sentimentCategory(K3261)</f>
        <v>Positive</v>
      </c>
    </row>
    <row r="3262" spans="1:12" x14ac:dyDescent="0.25">
      <c r="A3262" t="s">
        <v>1685</v>
      </c>
      <c r="B3262" t="s">
        <v>3536</v>
      </c>
      <c r="C3262" t="str" cm="1">
        <f t="array" ref="C3262">CleanText(B3262)</f>
        <v>wonderful managed to make me cry for a movie for the first time in my life</v>
      </c>
      <c r="D3262">
        <v>2</v>
      </c>
      <c r="E3262">
        <v>0</v>
      </c>
      <c r="F3262" t="s">
        <v>10</v>
      </c>
      <c r="G3262" t="str" cm="1">
        <f t="array" ref="G3262">FindCountryName(F3262)</f>
        <v>None</v>
      </c>
      <c r="H3262" s="3">
        <v>45147.705659722225</v>
      </c>
      <c r="I3262" s="3">
        <v>45147.705659722225</v>
      </c>
      <c r="J3262" s="3">
        <v>42255.582696759258</v>
      </c>
      <c r="K3262" cm="1">
        <f t="array" ref="K3262">sentimentCalc(C3262)</f>
        <v>3</v>
      </c>
      <c r="L3262" t="str" cm="1">
        <f t="array" ref="L3262">sentimentCategory(K3262)</f>
        <v>Positive</v>
      </c>
    </row>
    <row r="3263" spans="1:12" x14ac:dyDescent="0.25">
      <c r="A3263" t="s">
        <v>2722</v>
      </c>
      <c r="B3263" t="s">
        <v>2724</v>
      </c>
      <c r="C3263" t="str" cm="1">
        <f t="array" ref="C3263">CleanText(B3263)</f>
        <v>wonka  official new trailer</v>
      </c>
      <c r="D3263">
        <v>0</v>
      </c>
      <c r="E3263">
        <v>0</v>
      </c>
      <c r="F3263" t="s">
        <v>227</v>
      </c>
      <c r="G3263" t="str" cm="1">
        <f t="array" ref="G3263">FindCountryName(F3263)</f>
        <v>United States of America (the)</v>
      </c>
      <c r="H3263" s="3">
        <v>45159.211550925924</v>
      </c>
      <c r="I3263" s="3">
        <v>45159.211539351854</v>
      </c>
      <c r="J3263" s="3">
        <v>45148.454386574071</v>
      </c>
      <c r="K3263" cm="1">
        <f t="array" ref="K3263">sentimentCalc(C3263)</f>
        <v>0</v>
      </c>
      <c r="L3263" t="str" cm="1">
        <f t="array" ref="L3263">sentimentCategory(K3263)</f>
        <v>Neutral</v>
      </c>
    </row>
    <row r="3264" spans="1:12" x14ac:dyDescent="0.25">
      <c r="A3264" t="s">
        <v>2722</v>
      </c>
      <c r="B3264" t="s">
        <v>2725</v>
      </c>
      <c r="C3264" t="str" cm="1">
        <f t="array" ref="C3264">CleanText(B3264)</f>
        <v>wonka  official new trailer recited by warner bros pictures  trailer a</v>
      </c>
      <c r="D3264">
        <v>0</v>
      </c>
      <c r="E3264">
        <v>0</v>
      </c>
      <c r="F3264" t="s">
        <v>227</v>
      </c>
      <c r="G3264" t="str" cm="1">
        <f t="array" ref="G3264">FindCountryName(F3264)</f>
        <v>United States of America (the)</v>
      </c>
      <c r="H3264" s="3">
        <v>45159.211469907408</v>
      </c>
      <c r="I3264" s="3">
        <v>45159.211469907408</v>
      </c>
      <c r="J3264" s="3">
        <v>45148.454386574071</v>
      </c>
      <c r="K3264" cm="1">
        <f t="array" ref="K3264">sentimentCalc(C3264)</f>
        <v>0</v>
      </c>
      <c r="L3264" t="str" cm="1">
        <f t="array" ref="L3264">sentimentCategory(K3264)</f>
        <v>Neutral</v>
      </c>
    </row>
    <row r="3265" spans="1:12" x14ac:dyDescent="0.25">
      <c r="A3265" t="s">
        <v>930</v>
      </c>
      <c r="B3265" t="s">
        <v>3559</v>
      </c>
      <c r="C3265" t="str" cm="1">
        <f t="array" ref="C3265">CleanText(B3265)</f>
        <v>wont wacht it its horrible</v>
      </c>
      <c r="D3265">
        <v>2</v>
      </c>
      <c r="E3265">
        <v>0</v>
      </c>
      <c r="F3265" t="s">
        <v>10</v>
      </c>
      <c r="G3265" t="str" cm="1">
        <f t="array" ref="G3265">FindCountryName(F3265)</f>
        <v>None</v>
      </c>
      <c r="H3265" s="3">
        <v>45147.524212962962</v>
      </c>
      <c r="I3265" s="3">
        <v>45147.524212962962</v>
      </c>
      <c r="J3265" s="3">
        <v>44632.394131944442</v>
      </c>
      <c r="K3265" cm="1">
        <f t="array" ref="K3265">sentimentCalc(C3265)</f>
        <v>-3</v>
      </c>
      <c r="L3265" t="str" cm="1">
        <f t="array" ref="L3265">sentimentCategory(K3265)</f>
        <v>Negative</v>
      </c>
    </row>
    <row r="3266" spans="1:12" x14ac:dyDescent="0.25">
      <c r="A3266" t="s">
        <v>2159</v>
      </c>
      <c r="B3266" t="s">
        <v>2160</v>
      </c>
      <c r="C3266" t="str" cm="1">
        <f t="array" ref="C3266">CleanText(B3266)</f>
        <v>world best very best movie is my fault</v>
      </c>
      <c r="D3266">
        <v>0</v>
      </c>
      <c r="E3266">
        <v>0</v>
      </c>
      <c r="F3266" t="s">
        <v>10</v>
      </c>
      <c r="G3266" t="str" cm="1">
        <f t="array" ref="G3266">FindCountryName(F3266)</f>
        <v>None</v>
      </c>
      <c r="H3266" s="3">
        <v>45177.546157407407</v>
      </c>
      <c r="I3266" s="3">
        <v>45177.546157407407</v>
      </c>
      <c r="J3266" s="3">
        <v>44762.671550925923</v>
      </c>
      <c r="K3266" cm="1">
        <f t="array" ref="K3266">sentimentCalc(C3266)</f>
        <v>6</v>
      </c>
      <c r="L3266" t="str" cm="1">
        <f t="array" ref="L3266">sentimentCategory(K3266)</f>
        <v>Positive</v>
      </c>
    </row>
    <row r="3267" spans="1:12" x14ac:dyDescent="0.25">
      <c r="A3267" t="s">
        <v>481</v>
      </c>
      <c r="B3267" t="s">
        <v>3218</v>
      </c>
      <c r="C3267" t="str" cm="1">
        <f t="array" ref="C3267">CleanText(B3267)</f>
        <v>worlds shittest film made ever</v>
      </c>
      <c r="D3267">
        <v>10</v>
      </c>
      <c r="E3267">
        <v>1</v>
      </c>
      <c r="F3267" t="s">
        <v>1151</v>
      </c>
      <c r="G3267" t="str" cm="1">
        <f t="array" ref="G3267">FindCountryName(F3267)</f>
        <v>United Kingdom of Great Britain and Northern Ireland (the)</v>
      </c>
      <c r="H3267" s="3">
        <v>45151.717256944445</v>
      </c>
      <c r="I3267" s="3">
        <v>45151.717256944445</v>
      </c>
      <c r="J3267" s="3">
        <v>41733.412499999999</v>
      </c>
      <c r="K3267" cm="1">
        <f t="array" ref="K3267">sentimentCalc(C3267)</f>
        <v>0</v>
      </c>
      <c r="L3267" t="str" cm="1">
        <f t="array" ref="L3267">sentimentCategory(K3267)</f>
        <v>Neutral</v>
      </c>
    </row>
    <row r="3268" spans="1:12" x14ac:dyDescent="0.25">
      <c r="A3268" t="s">
        <v>358</v>
      </c>
      <c r="B3268" t="s">
        <v>2809</v>
      </c>
      <c r="C3268" t="str" cm="1">
        <f t="array" ref="C3268">CleanText(B3268)</f>
        <v>worse movie ever</v>
      </c>
      <c r="D3268">
        <v>1</v>
      </c>
      <c r="E3268">
        <v>3</v>
      </c>
      <c r="F3268" t="s">
        <v>10</v>
      </c>
      <c r="G3268" t="str" cm="1">
        <f t="array" ref="G3268">FindCountryName(F3268)</f>
        <v>None</v>
      </c>
      <c r="H3268" s="3">
        <v>45157.595057870371</v>
      </c>
      <c r="I3268" s="3">
        <v>45157.595046296294</v>
      </c>
      <c r="J3268" s="3">
        <v>44074.130868055552</v>
      </c>
      <c r="K3268" cm="1">
        <f t="array" ref="K3268">sentimentCalc(C3268)</f>
        <v>-3</v>
      </c>
      <c r="L3268" t="str" cm="1">
        <f t="array" ref="L3268">sentimentCategory(K3268)</f>
        <v>Negative</v>
      </c>
    </row>
    <row r="3269" spans="1:12" x14ac:dyDescent="0.25">
      <c r="A3269" t="s">
        <v>158</v>
      </c>
      <c r="B3269" t="s">
        <v>4247</v>
      </c>
      <c r="C3269" t="str" cm="1">
        <f t="array" ref="C3269">CleanText(B3269)</f>
        <v>worse movie trailer ever</v>
      </c>
      <c r="D3269">
        <v>3</v>
      </c>
      <c r="E3269">
        <v>5</v>
      </c>
      <c r="F3269" t="s">
        <v>10</v>
      </c>
      <c r="G3269" t="str" cm="1">
        <f t="array" ref="G3269">FindCountryName(F3269)</f>
        <v>None</v>
      </c>
      <c r="H3269" s="3">
        <v>45141.494571759256</v>
      </c>
      <c r="I3269" s="3">
        <v>45141.494571759256</v>
      </c>
      <c r="J3269" s="3">
        <v>44472.349305555559</v>
      </c>
      <c r="K3269" cm="1">
        <f t="array" ref="K3269">sentimentCalc(C3269)</f>
        <v>-3</v>
      </c>
      <c r="L3269" t="str" cm="1">
        <f t="array" ref="L3269">sentimentCategory(K3269)</f>
        <v>Negative</v>
      </c>
    </row>
    <row r="3270" spans="1:12" x14ac:dyDescent="0.25">
      <c r="A3270" t="s">
        <v>2633</v>
      </c>
      <c r="B3270" t="s">
        <v>2634</v>
      </c>
      <c r="C3270" t="str" cm="1">
        <f t="array" ref="C3270">CleanText(B3270)</f>
        <v>worst</v>
      </c>
      <c r="D3270">
        <v>1</v>
      </c>
      <c r="E3270">
        <v>0</v>
      </c>
      <c r="F3270" t="s">
        <v>10</v>
      </c>
      <c r="G3270" t="str" cm="1">
        <f t="array" ref="G3270">FindCountryName(F3270)</f>
        <v>None</v>
      </c>
      <c r="H3270" s="3">
        <v>45161.268692129626</v>
      </c>
      <c r="I3270" s="3">
        <v>45161.268692129626</v>
      </c>
      <c r="J3270" s="3">
        <v>42022.138506944444</v>
      </c>
      <c r="K3270" cm="1">
        <f t="array" ref="K3270">sentimentCalc(C3270)</f>
        <v>-3</v>
      </c>
      <c r="L3270" t="str" cm="1">
        <f t="array" ref="L3270">sentimentCategory(K3270)</f>
        <v>Negative</v>
      </c>
    </row>
    <row r="3271" spans="1:12" x14ac:dyDescent="0.25">
      <c r="A3271" t="s">
        <v>307</v>
      </c>
      <c r="B3271" t="s">
        <v>3258</v>
      </c>
      <c r="C3271" t="str" cm="1">
        <f t="array" ref="C3271">CleanText(B3271)</f>
        <v>worst film ever definitely against other classics</v>
      </c>
      <c r="D3271">
        <v>5</v>
      </c>
      <c r="E3271">
        <v>0</v>
      </c>
      <c r="F3271" t="s">
        <v>10</v>
      </c>
      <c r="G3271" t="str" cm="1">
        <f t="array" ref="G3271">FindCountryName(F3271)</f>
        <v>None</v>
      </c>
      <c r="H3271" s="3">
        <v>45151.296249999999</v>
      </c>
      <c r="I3271" s="3">
        <v>45151.296249999999</v>
      </c>
      <c r="J3271" s="3">
        <v>42224.037939814814</v>
      </c>
      <c r="K3271" cm="1">
        <f t="array" ref="K3271">sentimentCalc(C3271)</f>
        <v>-3</v>
      </c>
      <c r="L3271" t="str" cm="1">
        <f t="array" ref="L3271">sentimentCategory(K3271)</f>
        <v>Negative</v>
      </c>
    </row>
    <row r="3272" spans="1:12" x14ac:dyDescent="0.25">
      <c r="A3272" t="s">
        <v>3678</v>
      </c>
      <c r="B3272" t="s">
        <v>4032</v>
      </c>
      <c r="C3272" t="str" cm="1">
        <f t="array" ref="C3272">CleanText(B3272)</f>
        <v>worst film ive ever seen was pushed by marketing</v>
      </c>
      <c r="D3272">
        <v>1</v>
      </c>
      <c r="E3272">
        <v>0</v>
      </c>
      <c r="F3272" t="s">
        <v>10</v>
      </c>
      <c r="G3272" t="str" cm="1">
        <f t="array" ref="G3272">FindCountryName(F3272)</f>
        <v>None</v>
      </c>
      <c r="H3272" s="3">
        <v>45143.552187499998</v>
      </c>
      <c r="I3272" s="3">
        <v>45143.552187499998</v>
      </c>
      <c r="J3272" s="3">
        <v>43057.615405092591</v>
      </c>
      <c r="K3272" cm="1">
        <f t="array" ref="K3272">sentimentCalc(C3272)</f>
        <v>-3</v>
      </c>
      <c r="L3272" t="str" cm="1">
        <f t="array" ref="L3272">sentimentCategory(K3272)</f>
        <v>Negative</v>
      </c>
    </row>
    <row r="3273" spans="1:12" x14ac:dyDescent="0.25">
      <c r="A3273" t="s">
        <v>114</v>
      </c>
      <c r="B3273" t="s">
        <v>4073</v>
      </c>
      <c r="C3273" t="str" cm="1">
        <f t="array" ref="C3273">CleanText(B3273)</f>
        <v>worst movie ever</v>
      </c>
      <c r="D3273">
        <v>5</v>
      </c>
      <c r="E3273">
        <v>0</v>
      </c>
      <c r="F3273" t="s">
        <v>10</v>
      </c>
      <c r="G3273" t="str" cm="1">
        <f t="array" ref="G3273">FindCountryName(F3273)</f>
        <v>None</v>
      </c>
      <c r="H3273" s="3">
        <v>45143.133518518516</v>
      </c>
      <c r="I3273" s="3">
        <v>45143.133518518516</v>
      </c>
      <c r="J3273" s="3">
        <v>44957.92763888889</v>
      </c>
      <c r="K3273" cm="1">
        <f t="array" ref="K3273">sentimentCalc(C3273)</f>
        <v>-3</v>
      </c>
      <c r="L3273" t="str" cm="1">
        <f t="array" ref="L3273">sentimentCategory(K3273)</f>
        <v>Negative</v>
      </c>
    </row>
    <row r="3274" spans="1:12" x14ac:dyDescent="0.25">
      <c r="A3274" t="s">
        <v>1496</v>
      </c>
      <c r="B3274" t="s">
        <v>2478</v>
      </c>
      <c r="C3274" t="str" cm="1">
        <f t="array" ref="C3274">CleanText(B3274)</f>
        <v>worst movie ever</v>
      </c>
      <c r="D3274">
        <v>2</v>
      </c>
      <c r="E3274">
        <v>2</v>
      </c>
      <c r="F3274" t="s">
        <v>10</v>
      </c>
      <c r="G3274" t="str" cm="1">
        <f t="array" ref="G3274">FindCountryName(F3274)</f>
        <v>None</v>
      </c>
      <c r="H3274" s="3">
        <v>45165.592083333337</v>
      </c>
      <c r="I3274" s="3">
        <v>45165.592083333337</v>
      </c>
      <c r="J3274" s="3">
        <v>44269.418449074074</v>
      </c>
      <c r="K3274" cm="1">
        <f t="array" ref="K3274">sentimentCalc(C3274)</f>
        <v>-3</v>
      </c>
      <c r="L3274" t="str" cm="1">
        <f t="array" ref="L3274">sentimentCategory(K3274)</f>
        <v>Negative</v>
      </c>
    </row>
    <row r="3275" spans="1:12" x14ac:dyDescent="0.25">
      <c r="A3275" t="s">
        <v>727</v>
      </c>
      <c r="B3275" t="s">
        <v>3516</v>
      </c>
      <c r="C3275" t="str" cm="1">
        <f t="array" ref="C3275">CleanText(B3275)</f>
        <v>worst movie ever humalate the mean of man and family and kids i wont watch it or let my kids watch this rubbish</v>
      </c>
      <c r="D3275">
        <v>2</v>
      </c>
      <c r="E3275">
        <v>0</v>
      </c>
      <c r="F3275" t="s">
        <v>10</v>
      </c>
      <c r="G3275" t="str" cm="1">
        <f t="array" ref="G3275">FindCountryName(F3275)</f>
        <v>None</v>
      </c>
      <c r="H3275" s="3">
        <v>45148.02783564815</v>
      </c>
      <c r="I3275" s="3">
        <v>45148.02783564815</v>
      </c>
      <c r="J3275" s="3">
        <v>43052.377106481479</v>
      </c>
      <c r="K3275" cm="1">
        <f t="array" ref="K3275">sentimentCalc(C3275)</f>
        <v>-3</v>
      </c>
      <c r="L3275" t="str" cm="1">
        <f t="array" ref="L3275">sentimentCategory(K3275)</f>
        <v>Negative</v>
      </c>
    </row>
    <row r="3276" spans="1:12" x14ac:dyDescent="0.25">
      <c r="A3276" t="s">
        <v>459</v>
      </c>
      <c r="B3276" t="s">
        <v>4198</v>
      </c>
      <c r="C3276" t="str" cm="1">
        <f t="array" ref="C3276">CleanText(B3276)</f>
        <v>worst movie ever made dont waste your time watching this believe me</v>
      </c>
      <c r="D3276">
        <v>2</v>
      </c>
      <c r="E3276">
        <v>3</v>
      </c>
      <c r="F3276" t="s">
        <v>10</v>
      </c>
      <c r="G3276" t="str" cm="1">
        <f t="array" ref="G3276">FindCountryName(F3276)</f>
        <v>None</v>
      </c>
      <c r="H3276" s="3">
        <v>45142.070659722223</v>
      </c>
      <c r="I3276" s="3">
        <v>45142.070659722223</v>
      </c>
      <c r="J3276" s="3">
        <v>41728.457141203704</v>
      </c>
      <c r="K3276" cm="1">
        <f t="array" ref="K3276">sentimentCalc(C3276)</f>
        <v>-4</v>
      </c>
      <c r="L3276" t="str" cm="1">
        <f t="array" ref="L3276">sentimentCategory(K3276)</f>
        <v>Negative</v>
      </c>
    </row>
    <row r="3277" spans="1:12" x14ac:dyDescent="0.25">
      <c r="A3277" t="s">
        <v>114</v>
      </c>
      <c r="B3277" t="s">
        <v>3447</v>
      </c>
      <c r="C3277" t="str" cm="1">
        <f t="array" ref="C3277">CleanText(B3277)</f>
        <v>worst movie ever yuck</v>
      </c>
      <c r="D3277">
        <v>5</v>
      </c>
      <c r="E3277">
        <v>0</v>
      </c>
      <c r="F3277" t="s">
        <v>10</v>
      </c>
      <c r="G3277" t="str" cm="1">
        <f t="array" ref="G3277">FindCountryName(F3277)</f>
        <v>None</v>
      </c>
      <c r="H3277" s="3">
        <v>45148.731770833336</v>
      </c>
      <c r="I3277" s="3">
        <v>45148.731770833336</v>
      </c>
      <c r="J3277" s="3">
        <v>41574.66028935185</v>
      </c>
      <c r="K3277" cm="1">
        <f t="array" ref="K3277">sentimentCalc(C3277)</f>
        <v>-3</v>
      </c>
      <c r="L3277" t="str" cm="1">
        <f t="array" ref="L3277">sentimentCategory(K3277)</f>
        <v>Negative</v>
      </c>
    </row>
    <row r="3278" spans="1:12" x14ac:dyDescent="0.25">
      <c r="A3278" t="s">
        <v>2134</v>
      </c>
      <c r="B3278" t="s">
        <v>2135</v>
      </c>
      <c r="C3278" t="str" cm="1">
        <f t="array" ref="C3278">CleanText(B3278)</f>
        <v>worst movie i ever seen which was made by femenists</v>
      </c>
      <c r="D3278">
        <v>3</v>
      </c>
      <c r="E3278">
        <v>6</v>
      </c>
      <c r="F3278" t="s">
        <v>497</v>
      </c>
      <c r="G3278" t="str" cm="1">
        <f t="array" ref="G3278">FindCountryName(F3278)</f>
        <v>Sweden</v>
      </c>
      <c r="H3278" s="3">
        <v>45179.122824074075</v>
      </c>
      <c r="I3278" s="3">
        <v>45179.122824074075</v>
      </c>
      <c r="J3278" s="3">
        <v>41475.952800925923</v>
      </c>
      <c r="K3278" cm="1">
        <f t="array" ref="K3278">sentimentCalc(C3278)</f>
        <v>-3</v>
      </c>
      <c r="L3278" t="str" cm="1">
        <f t="array" ref="L3278">sentimentCategory(K3278)</f>
        <v>Negative</v>
      </c>
    </row>
    <row r="3279" spans="1:12" x14ac:dyDescent="0.25">
      <c r="A3279" t="s">
        <v>158</v>
      </c>
      <c r="B3279" t="s">
        <v>3563</v>
      </c>
      <c r="C3279" t="str" cm="1">
        <f t="array" ref="C3279">CleanText(B3279)</f>
        <v>worst movie i have ever seen wb</v>
      </c>
      <c r="D3279">
        <v>4</v>
      </c>
      <c r="E3279">
        <v>0</v>
      </c>
      <c r="F3279" t="s">
        <v>10</v>
      </c>
      <c r="G3279" t="str" cm="1">
        <f t="array" ref="G3279">FindCountryName(F3279)</f>
        <v>None</v>
      </c>
      <c r="H3279" s="3">
        <v>45147.496550925927</v>
      </c>
      <c r="I3279" s="3">
        <v>45147.496539351851</v>
      </c>
      <c r="J3279" s="3">
        <v>41485.628541666665</v>
      </c>
      <c r="K3279" cm="1">
        <f t="array" ref="K3279">sentimentCalc(C3279)</f>
        <v>-3</v>
      </c>
      <c r="L3279" t="str" cm="1">
        <f t="array" ref="L3279">sentimentCategory(K3279)</f>
        <v>Negative</v>
      </c>
    </row>
    <row r="3280" spans="1:12" x14ac:dyDescent="0.25">
      <c r="A3280" t="s">
        <v>537</v>
      </c>
      <c r="B3280" t="s">
        <v>2166</v>
      </c>
      <c r="C3280" t="str" cm="1">
        <f t="array" ref="C3280">CleanText(B3280)</f>
        <v>worst movie watched ever</v>
      </c>
      <c r="D3280">
        <v>2</v>
      </c>
      <c r="E3280">
        <v>1</v>
      </c>
      <c r="F3280" t="s">
        <v>10</v>
      </c>
      <c r="G3280" t="str" cm="1">
        <f t="array" ref="G3280">FindCountryName(F3280)</f>
        <v>None</v>
      </c>
      <c r="H3280" s="3">
        <v>45177.44599537037</v>
      </c>
      <c r="I3280" s="3">
        <v>45177.44599537037</v>
      </c>
      <c r="J3280" s="3">
        <v>42338.110856481479</v>
      </c>
      <c r="K3280" cm="1">
        <f t="array" ref="K3280">sentimentCalc(C3280)</f>
        <v>-3</v>
      </c>
      <c r="L3280" t="str" cm="1">
        <f t="array" ref="L3280">sentimentCategory(K3280)</f>
        <v>Negative</v>
      </c>
    </row>
    <row r="3281" spans="1:12" x14ac:dyDescent="0.25">
      <c r="A3281" t="s">
        <v>1987</v>
      </c>
      <c r="B3281" t="s">
        <v>1988</v>
      </c>
      <c r="C3281" t="str" cm="1">
        <f t="array" ref="C3281">CleanText(B3281)</f>
        <v>worst movie</v>
      </c>
      <c r="D3281">
        <v>3</v>
      </c>
      <c r="E3281">
        <v>1</v>
      </c>
      <c r="F3281" t="s">
        <v>1073</v>
      </c>
      <c r="G3281" t="str" cm="1">
        <f t="array" ref="G3281">FindCountryName(F3281)</f>
        <v>India</v>
      </c>
      <c r="H3281" s="3">
        <v>45185.338240740741</v>
      </c>
      <c r="I3281" s="3">
        <v>45185.338240740741</v>
      </c>
      <c r="J3281" s="3">
        <v>45173.555208333331</v>
      </c>
      <c r="K3281" cm="1">
        <f t="array" ref="K3281">sentimentCalc(C3281)</f>
        <v>-3</v>
      </c>
      <c r="L3281" t="str" cm="1">
        <f t="array" ref="L3281">sentimentCategory(K3281)</f>
        <v>Negative</v>
      </c>
    </row>
    <row r="3282" spans="1:12" x14ac:dyDescent="0.25">
      <c r="A3282" t="s">
        <v>382</v>
      </c>
      <c r="B3282" t="s">
        <v>4018</v>
      </c>
      <c r="C3282" t="str" cm="1">
        <f t="array" ref="C3282">CleanText(B3282)</f>
        <v>wouldve been cooler if barbie was more like a spirit guide instead of crying so much</v>
      </c>
      <c r="D3282">
        <v>1</v>
      </c>
      <c r="E3282">
        <v>0</v>
      </c>
      <c r="F3282" t="s">
        <v>10</v>
      </c>
      <c r="G3282" t="str" cm="1">
        <f t="array" ref="G3282">FindCountryName(F3282)</f>
        <v>None</v>
      </c>
      <c r="H3282" s="3">
        <v>45143.628645833334</v>
      </c>
      <c r="I3282" s="3">
        <v>45143.628645833334</v>
      </c>
      <c r="J3282" s="3">
        <v>44163.440428240741</v>
      </c>
      <c r="K3282" cm="1">
        <f t="array" ref="K3282">sentimentCalc(C3282)</f>
        <v>1</v>
      </c>
      <c r="L3282" t="str" cm="1">
        <f t="array" ref="L3282">sentimentCategory(K3282)</f>
        <v>Positive</v>
      </c>
    </row>
    <row r="3283" spans="1:12" x14ac:dyDescent="0.25">
      <c r="A3283" t="s">
        <v>700</v>
      </c>
      <c r="B3283" t="s">
        <v>701</v>
      </c>
      <c r="C3283" t="str" cm="1">
        <f t="array" ref="C3283">CleanText(B3283)</f>
        <v>wow</v>
      </c>
      <c r="D3283">
        <v>0</v>
      </c>
      <c r="E3283">
        <v>0</v>
      </c>
      <c r="F3283" t="s">
        <v>10</v>
      </c>
      <c r="G3283" t="str" cm="1">
        <f t="array" ref="G3283">FindCountryName(F3283)</f>
        <v>None</v>
      </c>
      <c r="H3283" s="3">
        <v>45313.452384259261</v>
      </c>
      <c r="I3283" s="3">
        <v>45313.452384259261</v>
      </c>
      <c r="J3283" s="3">
        <v>44585.593831018516</v>
      </c>
      <c r="K3283" cm="1">
        <f t="array" ref="K3283">sentimentCalc(C3283)</f>
        <v>4</v>
      </c>
      <c r="L3283" t="str" cm="1">
        <f t="array" ref="L3283">sentimentCategory(K3283)</f>
        <v>Positive</v>
      </c>
    </row>
    <row r="3284" spans="1:12" x14ac:dyDescent="0.25">
      <c r="A3284" t="s">
        <v>788</v>
      </c>
      <c r="B3284" t="s">
        <v>793</v>
      </c>
      <c r="C3284" t="str" cm="1">
        <f t="array" ref="C3284">CleanText(B3284)</f>
        <v>wow ok ho bir film</v>
      </c>
      <c r="D3284">
        <v>0</v>
      </c>
      <c r="E3284">
        <v>0</v>
      </c>
      <c r="F3284" t="s">
        <v>10</v>
      </c>
      <c r="G3284" t="str" cm="1">
        <f t="array" ref="G3284">FindCountryName(F3284)</f>
        <v>None</v>
      </c>
      <c r="H3284" s="3">
        <v>45308.252233796295</v>
      </c>
      <c r="I3284" s="3">
        <v>45308.252233796295</v>
      </c>
      <c r="J3284" s="3">
        <v>44903.441168981481</v>
      </c>
      <c r="K3284" cm="1">
        <f t="array" ref="K3284">sentimentCalc(C3284)</f>
        <v>4</v>
      </c>
      <c r="L3284" t="str" cm="1">
        <f t="array" ref="L3284">sentimentCategory(K3284)</f>
        <v>Positive</v>
      </c>
    </row>
    <row r="3285" spans="1:12" x14ac:dyDescent="0.25">
      <c r="A3285" t="s">
        <v>2907</v>
      </c>
      <c r="B3285" t="s">
        <v>2908</v>
      </c>
      <c r="C3285" t="str" cm="1">
        <f t="array" ref="C3285">CleanText(B3285)</f>
        <v>wow barbie</v>
      </c>
      <c r="D3285">
        <v>0</v>
      </c>
      <c r="E3285">
        <v>0</v>
      </c>
      <c r="F3285" t="s">
        <v>10</v>
      </c>
      <c r="G3285" t="str" cm="1">
        <f t="array" ref="G3285">FindCountryName(F3285)</f>
        <v>None</v>
      </c>
      <c r="H3285" s="3">
        <v>45156.087361111109</v>
      </c>
      <c r="I3285" s="3">
        <v>45156.087361111109</v>
      </c>
      <c r="J3285" s="3">
        <v>45016.384953703702</v>
      </c>
      <c r="K3285" cm="1">
        <f t="array" ref="K3285">sentimentCalc(C3285)</f>
        <v>4</v>
      </c>
      <c r="L3285" t="str" cm="1">
        <f t="array" ref="L3285">sentimentCategory(K3285)</f>
        <v>Positive</v>
      </c>
    </row>
    <row r="3286" spans="1:12" x14ac:dyDescent="0.25">
      <c r="A3286" t="s">
        <v>205</v>
      </c>
      <c r="B3286" t="s">
        <v>2946</v>
      </c>
      <c r="C3286" t="str" cm="1">
        <f t="array" ref="C3286">CleanText(B3286)</f>
        <v>wow barbie  barbie my favourite beauti girl</v>
      </c>
      <c r="D3286">
        <v>0</v>
      </c>
      <c r="E3286">
        <v>0</v>
      </c>
      <c r="F3286" t="s">
        <v>10</v>
      </c>
      <c r="G3286" t="str" cm="1">
        <f t="array" ref="G3286">FindCountryName(F3286)</f>
        <v>None</v>
      </c>
      <c r="H3286" s="3">
        <v>45155.591134259259</v>
      </c>
      <c r="I3286" s="3">
        <v>45155.591134259259</v>
      </c>
      <c r="J3286" s="3">
        <v>40857.505706018521</v>
      </c>
      <c r="K3286" cm="1">
        <f t="array" ref="K3286">sentimentCalc(C3286)</f>
        <v>4</v>
      </c>
      <c r="L3286" t="str" cm="1">
        <f t="array" ref="L3286">sentimentCategory(K3286)</f>
        <v>Positive</v>
      </c>
    </row>
    <row r="3287" spans="1:12" x14ac:dyDescent="0.25">
      <c r="A3287" t="s">
        <v>1866</v>
      </c>
      <c r="B3287" t="s">
        <v>1867</v>
      </c>
      <c r="C3287" t="str" cm="1">
        <f t="array" ref="C3287">CleanText(B3287)</f>
        <v>wow</v>
      </c>
      <c r="D3287">
        <v>0</v>
      </c>
      <c r="E3287">
        <v>0</v>
      </c>
      <c r="F3287" t="s">
        <v>10</v>
      </c>
      <c r="G3287" t="str" cm="1">
        <f t="array" ref="G3287">FindCountryName(F3287)</f>
        <v>None</v>
      </c>
      <c r="H3287" s="3">
        <v>45190.074282407404</v>
      </c>
      <c r="I3287" s="3">
        <v>45190.074282407404</v>
      </c>
      <c r="J3287" s="3">
        <v>41379.88863425926</v>
      </c>
      <c r="K3287" cm="1">
        <f t="array" ref="K3287">sentimentCalc(C3287)</f>
        <v>4</v>
      </c>
      <c r="L3287" t="str" cm="1">
        <f t="array" ref="L3287">sentimentCategory(K3287)</f>
        <v>Positive</v>
      </c>
    </row>
    <row r="3288" spans="1:12" x14ac:dyDescent="0.25">
      <c r="A3288" t="s">
        <v>130</v>
      </c>
      <c r="B3288" t="s">
        <v>3942</v>
      </c>
      <c r="C3288" t="str" cm="1">
        <f t="array" ref="C3288">CleanText(B3288)</f>
        <v>wow</v>
      </c>
      <c r="D3288">
        <v>0</v>
      </c>
      <c r="E3288">
        <v>0</v>
      </c>
      <c r="F3288" t="s">
        <v>10</v>
      </c>
      <c r="G3288" t="str" cm="1">
        <f t="array" ref="G3288">FindCountryName(F3288)</f>
        <v>None</v>
      </c>
      <c r="H3288" s="3">
        <v>45144.345682870371</v>
      </c>
      <c r="I3288" s="3">
        <v>45144.345682870371</v>
      </c>
      <c r="J3288" s="3">
        <v>45080.938819444447</v>
      </c>
      <c r="K3288" cm="1">
        <f t="array" ref="K3288">sentimentCalc(C3288)</f>
        <v>4</v>
      </c>
      <c r="L3288" t="str" cm="1">
        <f t="array" ref="L3288">sentimentCategory(K3288)</f>
        <v>Positive</v>
      </c>
    </row>
    <row r="3289" spans="1:12" x14ac:dyDescent="0.25">
      <c r="A3289" t="s">
        <v>620</v>
      </c>
      <c r="B3289" t="s">
        <v>702</v>
      </c>
      <c r="C3289" t="str" cm="1">
        <f t="array" ref="C3289">CleanText(B3289)</f>
        <v>wow  wow super woway</v>
      </c>
      <c r="D3289">
        <v>0</v>
      </c>
      <c r="E3289">
        <v>0</v>
      </c>
      <c r="F3289" t="s">
        <v>10</v>
      </c>
      <c r="G3289" t="str" cm="1">
        <f t="array" ref="G3289">FindCountryName(F3289)</f>
        <v>None</v>
      </c>
      <c r="H3289" s="3">
        <v>45313.436412037037</v>
      </c>
      <c r="I3289" s="3">
        <v>45313.436412037037</v>
      </c>
      <c r="J3289" s="3">
        <v>44679.618750000001</v>
      </c>
      <c r="K3289" cm="1">
        <f t="array" ref="K3289">sentimentCalc(C3289)</f>
        <v>11</v>
      </c>
      <c r="L3289" t="str" cm="1">
        <f t="array" ref="L3289">sentimentCategory(K3289)</f>
        <v>Positive</v>
      </c>
    </row>
    <row r="3290" spans="1:12" x14ac:dyDescent="0.25">
      <c r="A3290" t="s">
        <v>737</v>
      </c>
      <c r="B3290" t="s">
        <v>2036</v>
      </c>
      <c r="C3290" t="str" cm="1">
        <f t="array" ref="C3290">CleanText(B3290)</f>
        <v>wow favorite barbe</v>
      </c>
      <c r="D3290">
        <v>0</v>
      </c>
      <c r="E3290">
        <v>0</v>
      </c>
      <c r="F3290" t="s">
        <v>10</v>
      </c>
      <c r="G3290" t="str" cm="1">
        <f t="array" ref="G3290">FindCountryName(F3290)</f>
        <v>None</v>
      </c>
      <c r="H3290" s="3">
        <v>45183.367048611108</v>
      </c>
      <c r="I3290" s="3">
        <v>45183.367048611108</v>
      </c>
      <c r="J3290" s="3">
        <v>45183.367025462961</v>
      </c>
      <c r="K3290" cm="1">
        <f t="array" ref="K3290">sentimentCalc(C3290)</f>
        <v>6</v>
      </c>
      <c r="L3290" t="str" cm="1">
        <f t="array" ref="L3290">sentimentCategory(K3290)</f>
        <v>Positive</v>
      </c>
    </row>
    <row r="3291" spans="1:12" x14ac:dyDescent="0.25">
      <c r="A3291" t="s">
        <v>20</v>
      </c>
      <c r="B3291" t="s">
        <v>2326</v>
      </c>
      <c r="C3291" t="str" cm="1">
        <f t="array" ref="C3291">CleanText(B3291)</f>
        <v>wow harley quinn is barbie hmmm</v>
      </c>
      <c r="D3291">
        <v>0</v>
      </c>
      <c r="E3291">
        <v>0</v>
      </c>
      <c r="F3291" t="s">
        <v>10</v>
      </c>
      <c r="G3291" t="str" cm="1">
        <f t="array" ref="G3291">FindCountryName(F3291)</f>
        <v>None</v>
      </c>
      <c r="H3291" s="3">
        <v>45171.925219907411</v>
      </c>
      <c r="I3291" s="3">
        <v>45171.925219907411</v>
      </c>
      <c r="J3291" s="3">
        <v>44869.07104166667</v>
      </c>
      <c r="K3291" cm="1">
        <f t="array" ref="K3291">sentimentCalc(C3291)</f>
        <v>4</v>
      </c>
      <c r="L3291" t="str" cm="1">
        <f t="array" ref="L3291">sentimentCategory(K3291)</f>
        <v>Positive</v>
      </c>
    </row>
    <row r="3292" spans="1:12" x14ac:dyDescent="0.25">
      <c r="A3292" t="s">
        <v>2025</v>
      </c>
      <c r="B3292" t="s">
        <v>2026</v>
      </c>
      <c r="C3292" t="str" cm="1">
        <f t="array" ref="C3292">CleanText(B3292)</f>
        <v>wow movie makers have run out of good ideas to make movies so sad now these days</v>
      </c>
      <c r="D3292">
        <v>4</v>
      </c>
      <c r="E3292">
        <v>1</v>
      </c>
      <c r="F3292" t="s">
        <v>10</v>
      </c>
      <c r="G3292" t="str" cm="1">
        <f t="array" ref="G3292">FindCountryName(F3292)</f>
        <v>None</v>
      </c>
      <c r="H3292" s="3">
        <v>45183.784502314818</v>
      </c>
      <c r="I3292" s="3">
        <v>45183.784502314818</v>
      </c>
      <c r="J3292" s="3">
        <v>41540.744143518517</v>
      </c>
      <c r="K3292" cm="1">
        <f t="array" ref="K3292">sentimentCalc(C3292)</f>
        <v>5</v>
      </c>
      <c r="L3292" t="str" cm="1">
        <f t="array" ref="L3292">sentimentCategory(K3292)</f>
        <v>Positive</v>
      </c>
    </row>
    <row r="3293" spans="1:12" x14ac:dyDescent="0.25">
      <c r="A3293" t="s">
        <v>1215</v>
      </c>
      <c r="B3293" t="s">
        <v>3575</v>
      </c>
      <c r="C3293" t="str" cm="1">
        <f t="array" ref="C3293">CleanText(B3293)</f>
        <v>wow muchos no la entienden la pelcula tiene muchos mensajes que es ser humano the toca a ti descubrir y sanar tu decides tus responsabilidades pero crecer vivir sufrir nos toca a todos juntos o solosno todos se puede controlar pero si tienes control sobre tus decisiones</v>
      </c>
      <c r="D3293">
        <v>10</v>
      </c>
      <c r="E3293">
        <v>0</v>
      </c>
      <c r="F3293" t="s">
        <v>10</v>
      </c>
      <c r="G3293" t="str" cm="1">
        <f t="array" ref="G3293">FindCountryName(F3293)</f>
        <v>None</v>
      </c>
      <c r="H3293" s="3">
        <v>45147.461296296293</v>
      </c>
      <c r="I3293" s="3">
        <v>45147.463148148148</v>
      </c>
      <c r="J3293" s="3">
        <v>41270.955868055556</v>
      </c>
      <c r="K3293" cm="1">
        <f t="array" ref="K3293">sentimentCalc(C3293)</f>
        <v>3</v>
      </c>
      <c r="L3293" t="str" cm="1">
        <f t="array" ref="L3293">sentimentCategory(K3293)</f>
        <v>Positive</v>
      </c>
    </row>
    <row r="3294" spans="1:12" x14ac:dyDescent="0.25">
      <c r="A3294" t="s">
        <v>145</v>
      </c>
      <c r="B3294" t="s">
        <v>3606</v>
      </c>
      <c r="C3294" t="str" cm="1">
        <f t="array" ref="C3294">CleanText(B3294)</f>
        <v>wow this barbie its so cool</v>
      </c>
      <c r="D3294">
        <v>0</v>
      </c>
      <c r="E3294">
        <v>0</v>
      </c>
      <c r="F3294" t="s">
        <v>10</v>
      </c>
      <c r="G3294" t="str" cm="1">
        <f t="array" ref="G3294">FindCountryName(F3294)</f>
        <v>None</v>
      </c>
      <c r="H3294" s="3">
        <v>45147.211377314816</v>
      </c>
      <c r="I3294" s="3">
        <v>45147.211377314816</v>
      </c>
      <c r="J3294" s="3">
        <v>44986.350277777776</v>
      </c>
      <c r="K3294" cm="1">
        <f t="array" ref="K3294">sentimentCalc(C3294)</f>
        <v>5</v>
      </c>
      <c r="L3294" t="str" cm="1">
        <f t="array" ref="L3294">sentimentCategory(K3294)</f>
        <v>Positive</v>
      </c>
    </row>
    <row r="3295" spans="1:12" x14ac:dyDescent="0.25">
      <c r="A3295" t="s">
        <v>1031</v>
      </c>
      <c r="B3295" t="s">
        <v>2064</v>
      </c>
      <c r="C3295" t="str" cm="1">
        <f t="array" ref="C3295">CleanText(B3295)</f>
        <v>wow this is dua lipa</v>
      </c>
      <c r="D3295">
        <v>1</v>
      </c>
      <c r="E3295">
        <v>0</v>
      </c>
      <c r="F3295" t="s">
        <v>10</v>
      </c>
      <c r="G3295" t="str" cm="1">
        <f t="array" ref="G3295">FindCountryName(F3295)</f>
        <v>None</v>
      </c>
      <c r="H3295" s="3">
        <v>45182.248715277776</v>
      </c>
      <c r="I3295" s="3">
        <v>45182.248715277776</v>
      </c>
      <c r="J3295" s="3">
        <v>45124.695057870369</v>
      </c>
      <c r="K3295" cm="1">
        <f t="array" ref="K3295">sentimentCalc(C3295)</f>
        <v>4</v>
      </c>
      <c r="L3295" t="str" cm="1">
        <f t="array" ref="L3295">sentimentCategory(K3295)</f>
        <v>Positive</v>
      </c>
    </row>
    <row r="3296" spans="1:12" x14ac:dyDescent="0.25">
      <c r="A3296" t="s">
        <v>3452</v>
      </c>
      <c r="B3296" t="s">
        <v>3453</v>
      </c>
      <c r="C3296" t="str" cm="1">
        <f t="array" ref="C3296">CleanText(B3296)</f>
        <v>wow this movie does great at putting male boys like me down and sad i guess all the feminists are happy i was looking forward to this movie</v>
      </c>
      <c r="D3296">
        <v>3</v>
      </c>
      <c r="E3296">
        <v>6</v>
      </c>
      <c r="F3296" t="s">
        <v>10</v>
      </c>
      <c r="G3296" t="str" cm="1">
        <f t="array" ref="G3296">FindCountryName(F3296)</f>
        <v>None</v>
      </c>
      <c r="H3296" s="3">
        <v>45148.680995370371</v>
      </c>
      <c r="I3296" s="3">
        <v>45149.583993055552</v>
      </c>
      <c r="J3296" s="3">
        <v>44881.790150462963</v>
      </c>
      <c r="K3296" cm="1">
        <f t="array" ref="K3296">sentimentCalc(C3296)</f>
        <v>10</v>
      </c>
      <c r="L3296" t="str" cm="1">
        <f t="array" ref="L3296">sentimentCategory(K3296)</f>
        <v>Positive</v>
      </c>
    </row>
    <row r="3297" spans="1:12" x14ac:dyDescent="0.25">
      <c r="A3297" t="s">
        <v>2641</v>
      </c>
      <c r="B3297" t="s">
        <v>2642</v>
      </c>
      <c r="C3297" t="str" cm="1">
        <f t="array" ref="C3297">CleanText(B3297)</f>
        <v>wow who wouldve thought  i literally cried real tears watching barbie it definitely hit home for me  humbling yet joyous feeling my soul with nothing but amazing memories i truly do miss being young innocent living carefree  thank you to the creators of this wonderful masterpiece</v>
      </c>
      <c r="D3297">
        <v>3</v>
      </c>
      <c r="E3297">
        <v>0</v>
      </c>
      <c r="F3297" t="s">
        <v>10</v>
      </c>
      <c r="G3297" t="str" cm="1">
        <f t="array" ref="G3297">FindCountryName(F3297)</f>
        <v>None</v>
      </c>
      <c r="H3297" s="3">
        <v>45160.857361111113</v>
      </c>
      <c r="I3297" s="3">
        <v>45160.857986111114</v>
      </c>
      <c r="J3297" s="3">
        <v>44850.697488425925</v>
      </c>
      <c r="K3297" cm="1">
        <f t="array" ref="K3297">sentimentCalc(C3297)</f>
        <v>17</v>
      </c>
      <c r="L3297" t="str" cm="1">
        <f t="array" ref="L3297">sentimentCategory(K3297)</f>
        <v>Positive</v>
      </c>
    </row>
    <row r="3298" spans="1:12" x14ac:dyDescent="0.25">
      <c r="A3298" t="s">
        <v>417</v>
      </c>
      <c r="B3298" t="s">
        <v>664</v>
      </c>
      <c r="C3298" t="str" cm="1">
        <f t="array" ref="C3298">CleanText(B3298)</f>
        <v>wow ts a perfect moviee   love it</v>
      </c>
      <c r="D3298">
        <v>0</v>
      </c>
      <c r="E3298">
        <v>0</v>
      </c>
      <c r="F3298" t="s">
        <v>10</v>
      </c>
      <c r="G3298" t="str" cm="1">
        <f t="array" ref="G3298">FindCountryName(F3298)</f>
        <v>None</v>
      </c>
      <c r="H3298" s="3">
        <v>45314.27375</v>
      </c>
      <c r="I3298" s="3">
        <v>45314.27375</v>
      </c>
      <c r="J3298" s="3">
        <v>43872.355092592596</v>
      </c>
      <c r="K3298" cm="1">
        <f t="array" ref="K3298">sentimentCalc(C3298)</f>
        <v>10</v>
      </c>
      <c r="L3298" t="str" cm="1">
        <f t="array" ref="L3298">sentimentCategory(K3298)</f>
        <v>Positive</v>
      </c>
    </row>
    <row r="3299" spans="1:12" x14ac:dyDescent="0.25">
      <c r="A3299" t="s">
        <v>158</v>
      </c>
      <c r="B3299" t="s">
        <v>1285</v>
      </c>
      <c r="C3299" t="str" cm="1">
        <f t="array" ref="C3299">CleanText(B3299)</f>
        <v>wow blade runner  is really weird</v>
      </c>
      <c r="D3299">
        <v>3</v>
      </c>
      <c r="E3299">
        <v>0</v>
      </c>
      <c r="F3299" t="s">
        <v>227</v>
      </c>
      <c r="G3299" t="str" cm="1">
        <f t="array" ref="G3299">FindCountryName(F3299)</f>
        <v>United States of America (the)</v>
      </c>
      <c r="H3299" s="3">
        <v>45257.681319444448</v>
      </c>
      <c r="I3299" s="3">
        <v>45257.681319444448</v>
      </c>
      <c r="J3299" s="3">
        <v>41638.986909722225</v>
      </c>
      <c r="K3299" cm="1">
        <f t="array" ref="K3299">sentimentCalc(C3299)</f>
        <v>2</v>
      </c>
      <c r="L3299" t="str" cm="1">
        <f t="array" ref="L3299">sentimentCategory(K3299)</f>
        <v>Positive</v>
      </c>
    </row>
    <row r="3300" spans="1:12" x14ac:dyDescent="0.25">
      <c r="A3300" t="s">
        <v>814</v>
      </c>
      <c r="B3300" t="s">
        <v>4063</v>
      </c>
      <c r="C3300" t="str" cm="1">
        <f t="array" ref="C3300">CleanText(B3300)</f>
        <v>wow i love how barbie got arrested for hitting a man that sexually assaulted her which legally would be called self defense but who cares its the best movie</v>
      </c>
      <c r="D3300">
        <v>0</v>
      </c>
      <c r="E3300">
        <v>3</v>
      </c>
      <c r="F3300" t="s">
        <v>10</v>
      </c>
      <c r="G3300" t="str" cm="1">
        <f t="array" ref="G3300">FindCountryName(F3300)</f>
        <v>None</v>
      </c>
      <c r="H3300" s="3">
        <v>45143.217499999999</v>
      </c>
      <c r="I3300" s="3">
        <v>45143.217499999999</v>
      </c>
      <c r="J3300" s="3">
        <v>44844.78261574074</v>
      </c>
      <c r="K3300" cm="1">
        <f t="array" ref="K3300">sentimentCalc(C3300)</f>
        <v>10</v>
      </c>
      <c r="L3300" t="str" cm="1">
        <f t="array" ref="L3300">sentimentCategory(K3300)</f>
        <v>Positive</v>
      </c>
    </row>
    <row r="3301" spans="1:12" x14ac:dyDescent="0.25">
      <c r="A3301" t="s">
        <v>843</v>
      </c>
      <c r="B3301" t="s">
        <v>2800</v>
      </c>
      <c r="C3301" t="str" cm="1">
        <f t="array" ref="C3301">CleanText(B3301)</f>
        <v>wow so pretty omg i cant wait to see it</v>
      </c>
      <c r="D3301">
        <v>0</v>
      </c>
      <c r="E3301">
        <v>0</v>
      </c>
      <c r="F3301" t="s">
        <v>10</v>
      </c>
      <c r="G3301" t="str" cm="1">
        <f t="array" ref="G3301">FindCountryName(F3301)</f>
        <v>None</v>
      </c>
      <c r="H3301" s="3">
        <v>45157.707453703704</v>
      </c>
      <c r="I3301" s="3">
        <v>45157.707453703704</v>
      </c>
      <c r="J3301" s="3">
        <v>44563.787256944444</v>
      </c>
      <c r="K3301" cm="1">
        <f t="array" ref="K3301">sentimentCalc(C3301)</f>
        <v>5</v>
      </c>
      <c r="L3301" t="str" cm="1">
        <f t="array" ref="L3301">sentimentCategory(K3301)</f>
        <v>Positive</v>
      </c>
    </row>
    <row r="3302" spans="1:12" x14ac:dyDescent="0.25">
      <c r="A3302" t="s">
        <v>32</v>
      </c>
      <c r="B3302" t="s">
        <v>2173</v>
      </c>
      <c r="C3302" t="str" cm="1">
        <f t="array" ref="C3302">CleanText(B3302)</f>
        <v>wow this new barbie movie trailer has me absolutely enchanted  the animation looks stunning and the storyline seems like such a fun adventure ive always been a huge fan of barbie and its fantastic to see her in a fresh exciting adventure that promises empowerment and friendship cant wait to watch this with my friends and relive some childhood nostalgia while creating new memories  barbiemagic childhoodmemories excitedalso kudos to the creative team behind this movie for the beautiful visuals and the positive messages it seems to convey its wonderful to see barbie as a role model promoting friendship kindness and the importance of believing in ourselves this movie seems like itll be a delightful and heartwarming experience for audiences of all ages im definitely looking forward to the release date and ill be counting down the days until i can dive into this magical barbie world once again who else is as excited as i am lets spread the barbie love and make this movie a mustwatch event  barbiemagic excitementoverload countingdownthedaysabsolutely its incredible how barbie continues to evolve and stay relevant while promoting positive values this trailer has left me with so many questions and a lot of excitement will there be any iconic barbie fashion moments in the movie and what kind of fantastic adventures are in store for her and her friends im so ready to find out lets also take a moment to appreciate the soundtrack in the trailerits giving off such a magical vibe  i have a feeling the music in the movie will be just as enchantinglastly a big shoutout to the voice actors and the entire production team for bringing this beloved character to life once again your hard work is truly appreciated and im sure its going to be a barbietastic success  barbiemagic excitementoverload barbieisbackwatching this barbie movie trailer is like taking a trip down memory lane filled with nostalgia and anticipation i remember playing with barbie dolls as a kid and now seeing her in this new adventure is heartwarming its fantastic how barbie continues to inspire generations with her positive messages about friendship and selfbelief im also curious about the new characters and the challenges theyll face together it looks like theres going to be a lot of laughter and heartwarming moments in this film plus that magical settingwow lets all unite as barbie fans and make this movie a hit cant wait to share this enchanting journey with friends and family when its finally released  barbiemagic nostalgiatrip familymovienightthankschatgpt</v>
      </c>
      <c r="D3302">
        <v>3</v>
      </c>
      <c r="E3302">
        <v>1</v>
      </c>
      <c r="F3302" t="s">
        <v>10</v>
      </c>
      <c r="G3302" t="str" cm="1">
        <f t="array" ref="G3302">FindCountryName(F3302)</f>
        <v>None</v>
      </c>
      <c r="H3302" s="3">
        <v>45177.120625000003</v>
      </c>
      <c r="I3302" s="3">
        <v>45177.120625000003</v>
      </c>
      <c r="J3302" s="3">
        <v>44485.202187499999</v>
      </c>
      <c r="K3302" cm="1">
        <f t="array" ref="K3302">sentimentCalc(C3302)</f>
        <v>97</v>
      </c>
      <c r="L3302" t="str" cm="1">
        <f t="array" ref="L3302">sentimentCategory(K3302)</f>
        <v>Positive</v>
      </c>
    </row>
    <row r="3303" spans="1:12" x14ac:dyDescent="0.25">
      <c r="A3303" t="s">
        <v>304</v>
      </c>
      <c r="B3303" t="s">
        <v>3997</v>
      </c>
      <c r="C3303" t="str" cm="1">
        <f t="array" ref="C3303">CleanText(B3303)</f>
        <v>wowawesomei wanna see this on a big screen thanks</v>
      </c>
      <c r="D3303">
        <v>1</v>
      </c>
      <c r="E3303">
        <v>0</v>
      </c>
      <c r="F3303" t="s">
        <v>10</v>
      </c>
      <c r="G3303" t="str" cm="1">
        <f t="array" ref="G3303">FindCountryName(F3303)</f>
        <v>None</v>
      </c>
      <c r="H3303" s="3">
        <v>45143.867060185185</v>
      </c>
      <c r="I3303" s="3">
        <v>45143.867060185185</v>
      </c>
      <c r="J3303" s="3">
        <v>42957.114374999997</v>
      </c>
      <c r="K3303" cm="1">
        <f t="array" ref="K3303">sentimentCalc(C3303)</f>
        <v>3</v>
      </c>
      <c r="L3303" t="str" cm="1">
        <f t="array" ref="L3303">sentimentCategory(K3303)</f>
        <v>Positive</v>
      </c>
    </row>
    <row r="3304" spans="1:12" x14ac:dyDescent="0.25">
      <c r="A3304" t="s">
        <v>555</v>
      </c>
      <c r="B3304" t="s">
        <v>4062</v>
      </c>
      <c r="C3304" t="str" cm="1">
        <f t="array" ref="C3304">CleanText(B3304)</f>
        <v>wow</v>
      </c>
      <c r="D3304">
        <v>0</v>
      </c>
      <c r="E3304">
        <v>0</v>
      </c>
      <c r="F3304" t="s">
        <v>10</v>
      </c>
      <c r="G3304" t="str" cm="1">
        <f t="array" ref="G3304">FindCountryName(F3304)</f>
        <v>None</v>
      </c>
      <c r="H3304" s="3">
        <v>45143.257025462961</v>
      </c>
      <c r="I3304" s="3">
        <v>45143.257025462961</v>
      </c>
      <c r="J3304" s="3">
        <v>44444.424768518518</v>
      </c>
      <c r="K3304" cm="1">
        <f t="array" ref="K3304">sentimentCalc(C3304)</f>
        <v>4</v>
      </c>
      <c r="L3304" t="str" cm="1">
        <f t="array" ref="L3304">sentimentCategory(K3304)</f>
        <v>Positive</v>
      </c>
    </row>
    <row r="3305" spans="1:12" x14ac:dyDescent="0.25">
      <c r="A3305" t="s">
        <v>2917</v>
      </c>
      <c r="B3305" t="s">
        <v>2918</v>
      </c>
      <c r="C3305" t="str" cm="1">
        <f t="array" ref="C3305">CleanText(B3305)</f>
        <v>wowsers</v>
      </c>
      <c r="D3305">
        <v>0</v>
      </c>
      <c r="E3305">
        <v>0</v>
      </c>
      <c r="F3305" t="s">
        <v>10</v>
      </c>
      <c r="G3305" t="str" cm="1">
        <f t="array" ref="G3305">FindCountryName(F3305)</f>
        <v>None</v>
      </c>
      <c r="H3305" s="3">
        <v>45155.944039351853</v>
      </c>
      <c r="I3305" s="3">
        <v>45155.944039351853</v>
      </c>
      <c r="J3305" s="3">
        <v>44890.644016203703</v>
      </c>
      <c r="K3305" cm="1">
        <f t="array" ref="K3305">sentimentCalc(C3305)</f>
        <v>0</v>
      </c>
      <c r="L3305" t="str" cm="1">
        <f t="array" ref="L3305">sentimentCategory(K3305)</f>
        <v>Neutral</v>
      </c>
    </row>
    <row r="3306" spans="1:12" x14ac:dyDescent="0.25">
      <c r="A3306" t="s">
        <v>135</v>
      </c>
      <c r="B3306" t="s">
        <v>167</v>
      </c>
      <c r="C3306" t="str" cm="1">
        <f t="array" ref="C3306">CleanText(B3306)</f>
        <v>wowww</v>
      </c>
      <c r="D3306">
        <v>0</v>
      </c>
      <c r="E3306">
        <v>0</v>
      </c>
      <c r="F3306" t="s">
        <v>10</v>
      </c>
      <c r="G3306" t="str" cm="1">
        <f t="array" ref="G3306">FindCountryName(F3306)</f>
        <v>None</v>
      </c>
      <c r="H3306" s="3">
        <v>45337.458668981482</v>
      </c>
      <c r="I3306" s="3">
        <v>45337.458668981482</v>
      </c>
      <c r="J3306" s="3">
        <v>42956.706400462965</v>
      </c>
      <c r="K3306" cm="1">
        <f t="array" ref="K3306">sentimentCalc(C3306)</f>
        <v>0</v>
      </c>
      <c r="L3306" t="str" cm="1">
        <f t="array" ref="L3306">sentimentCategory(K3306)</f>
        <v>Neutral</v>
      </c>
    </row>
    <row r="3307" spans="1:12" x14ac:dyDescent="0.25">
      <c r="A3307" t="s">
        <v>1433</v>
      </c>
      <c r="B3307" t="s">
        <v>1434</v>
      </c>
      <c r="C3307" t="str" cm="1">
        <f t="array" ref="C3307">CleanText(B3307)</f>
        <v>wowwwwwwwwwwwwww</v>
      </c>
      <c r="D3307">
        <v>0</v>
      </c>
      <c r="E3307">
        <v>0</v>
      </c>
      <c r="F3307" t="s">
        <v>227</v>
      </c>
      <c r="G3307" t="str" cm="1">
        <f t="array" ref="G3307">FindCountryName(F3307)</f>
        <v>United States of America (the)</v>
      </c>
      <c r="H3307" s="3">
        <v>45227.331412037034</v>
      </c>
      <c r="I3307" s="3">
        <v>45227.331412037034</v>
      </c>
      <c r="J3307" s="3">
        <v>44001.939525462964</v>
      </c>
      <c r="K3307" cm="1">
        <f t="array" ref="K3307">sentimentCalc(C3307)</f>
        <v>0</v>
      </c>
      <c r="L3307" t="str" cm="1">
        <f t="array" ref="L3307">sentimentCategory(K3307)</f>
        <v>Neutral</v>
      </c>
    </row>
    <row r="3308" spans="1:12" x14ac:dyDescent="0.25">
      <c r="A3308" t="s">
        <v>1592</v>
      </c>
      <c r="B3308" t="s">
        <v>4259</v>
      </c>
      <c r="C3308" t="str" cm="1">
        <f t="array" ref="C3308">CleanText(B3308)</f>
        <v>wspaniay film nie tylko dla fanw barbiepolecam</v>
      </c>
      <c r="D3308">
        <v>50</v>
      </c>
      <c r="E3308">
        <v>3</v>
      </c>
      <c r="F3308" t="s">
        <v>10</v>
      </c>
      <c r="G3308" t="str" cm="1">
        <f t="array" ref="G3308">FindCountryName(F3308)</f>
        <v>None</v>
      </c>
      <c r="H3308" s="3">
        <v>45141.424942129626</v>
      </c>
      <c r="I3308" s="3">
        <v>45141.424942129626</v>
      </c>
      <c r="J3308" s="3">
        <v>44559.435972222222</v>
      </c>
      <c r="K3308" cm="1">
        <f t="array" ref="K3308">sentimentCalc(C3308)</f>
        <v>0</v>
      </c>
      <c r="L3308" t="str" cm="1">
        <f t="array" ref="L3308">sentimentCategory(K3308)</f>
        <v>Neutral</v>
      </c>
    </row>
    <row r="3309" spans="1:12" x14ac:dyDescent="0.25">
      <c r="A3309" t="s">
        <v>1142</v>
      </c>
      <c r="B3309" t="s">
        <v>3517</v>
      </c>
      <c r="C3309" t="str" cm="1">
        <f t="array" ref="C3309">CleanText(B3309)</f>
        <v>wtf</v>
      </c>
      <c r="D3309">
        <v>1</v>
      </c>
      <c r="E3309">
        <v>0</v>
      </c>
      <c r="F3309" t="s">
        <v>10</v>
      </c>
      <c r="G3309" t="str" cm="1">
        <f t="array" ref="G3309">FindCountryName(F3309)</f>
        <v>None</v>
      </c>
      <c r="H3309" s="3">
        <v>45147.970648148148</v>
      </c>
      <c r="I3309" s="3">
        <v>45147.970648148148</v>
      </c>
      <c r="J3309" s="3">
        <v>44032.069444444445</v>
      </c>
      <c r="K3309" cm="1">
        <f t="array" ref="K3309">sentimentCalc(C3309)</f>
        <v>0</v>
      </c>
      <c r="L3309" t="str" cm="1">
        <f t="array" ref="L3309">sentimentCategory(K3309)</f>
        <v>Neutral</v>
      </c>
    </row>
    <row r="3310" spans="1:12" x14ac:dyDescent="0.25">
      <c r="A3310" t="s">
        <v>1384</v>
      </c>
      <c r="B3310" t="s">
        <v>3335</v>
      </c>
      <c r="C3310" t="str" cm="1">
        <f t="array" ref="C3310">CleanText(B3310)</f>
        <v>wtf did i just watch</v>
      </c>
      <c r="D3310">
        <v>2</v>
      </c>
      <c r="E3310">
        <v>0</v>
      </c>
      <c r="F3310" t="s">
        <v>10</v>
      </c>
      <c r="G3310" t="str" cm="1">
        <f t="array" ref="G3310">FindCountryName(F3310)</f>
        <v>None</v>
      </c>
      <c r="H3310" s="3">
        <v>45150.210625</v>
      </c>
      <c r="I3310" s="3">
        <v>45150.210625</v>
      </c>
      <c r="J3310" s="3">
        <v>41545.683032407411</v>
      </c>
      <c r="K3310" cm="1">
        <f t="array" ref="K3310">sentimentCalc(C3310)</f>
        <v>0</v>
      </c>
      <c r="L3310" t="str" cm="1">
        <f t="array" ref="L3310">sentimentCategory(K3310)</f>
        <v>Neutral</v>
      </c>
    </row>
    <row r="3311" spans="1:12" x14ac:dyDescent="0.25">
      <c r="A3311" t="s">
        <v>171</v>
      </c>
      <c r="B3311" t="s">
        <v>4320</v>
      </c>
      <c r="C3311" t="str" cm="1">
        <f t="array" ref="C3311">CleanText(B3311)</f>
        <v>wtf i just watch</v>
      </c>
      <c r="D3311">
        <v>0</v>
      </c>
      <c r="E3311">
        <v>0</v>
      </c>
      <c r="F3311" t="s">
        <v>10</v>
      </c>
      <c r="G3311" t="str" cm="1">
        <f t="array" ref="G3311">FindCountryName(F3311)</f>
        <v>None</v>
      </c>
      <c r="H3311" s="3">
        <v>45140.987523148149</v>
      </c>
      <c r="I3311" s="3">
        <v>45140.987523148149</v>
      </c>
      <c r="J3311" s="3">
        <v>45140.987500000003</v>
      </c>
      <c r="K3311" cm="1">
        <f t="array" ref="K3311">sentimentCalc(C3311)</f>
        <v>0</v>
      </c>
      <c r="L3311" t="str" cm="1">
        <f t="array" ref="L3311">sentimentCategory(K3311)</f>
        <v>Neutral</v>
      </c>
    </row>
    <row r="3312" spans="1:12" x14ac:dyDescent="0.25">
      <c r="A3312" t="s">
        <v>703</v>
      </c>
      <c r="B3312" t="s">
        <v>704</v>
      </c>
      <c r="C3312" t="str" cm="1">
        <f t="array" ref="C3312">CleanText(B3312)</f>
        <v>wtf is going on here</v>
      </c>
      <c r="D3312">
        <v>1</v>
      </c>
      <c r="E3312">
        <v>0</v>
      </c>
      <c r="F3312" t="s">
        <v>10</v>
      </c>
      <c r="G3312" t="str" cm="1">
        <f t="array" ref="G3312">FindCountryName(F3312)</f>
        <v>None</v>
      </c>
      <c r="H3312" s="3">
        <v>45312.721747685187</v>
      </c>
      <c r="I3312" s="3">
        <v>45312.721747685187</v>
      </c>
      <c r="J3312" s="3">
        <v>41288.802847222221</v>
      </c>
      <c r="K3312" cm="1">
        <f t="array" ref="K3312">sentimentCalc(C3312)</f>
        <v>0</v>
      </c>
      <c r="L3312" t="str" cm="1">
        <f t="array" ref="L3312">sentimentCategory(K3312)</f>
        <v>Neutral</v>
      </c>
    </row>
    <row r="3313" spans="1:12" x14ac:dyDescent="0.25">
      <c r="A3313" t="s">
        <v>571</v>
      </c>
      <c r="B3313" t="s">
        <v>3084</v>
      </c>
      <c r="C3313" t="str" cm="1">
        <f t="array" ref="C3313">CleanText(B3313)</f>
        <v>wtf is this</v>
      </c>
      <c r="D3313">
        <v>3</v>
      </c>
      <c r="E3313">
        <v>0</v>
      </c>
      <c r="F3313" t="s">
        <v>10</v>
      </c>
      <c r="G3313" t="str" cm="1">
        <f t="array" ref="G3313">FindCountryName(F3313)</f>
        <v>None</v>
      </c>
      <c r="H3313" s="3">
        <v>45153.6249537037</v>
      </c>
      <c r="I3313" s="3">
        <v>45153.6249537037</v>
      </c>
      <c r="J3313" s="3">
        <v>43967.790763888886</v>
      </c>
      <c r="K3313" cm="1">
        <f t="array" ref="K3313">sentimentCalc(C3313)</f>
        <v>0</v>
      </c>
      <c r="L3313" t="str" cm="1">
        <f t="array" ref="L3313">sentimentCategory(K3313)</f>
        <v>Neutral</v>
      </c>
    </row>
    <row r="3314" spans="1:12" x14ac:dyDescent="0.25">
      <c r="A3314" t="s">
        <v>235</v>
      </c>
      <c r="B3314" t="s">
        <v>3241</v>
      </c>
      <c r="C3314" t="str" cm="1">
        <f t="array" ref="C3314">CleanText(B3314)</f>
        <v>wtf is this shiat</v>
      </c>
      <c r="D3314">
        <v>3</v>
      </c>
      <c r="E3314">
        <v>0</v>
      </c>
      <c r="F3314" t="s">
        <v>10</v>
      </c>
      <c r="G3314" t="str" cm="1">
        <f t="array" ref="G3314">FindCountryName(F3314)</f>
        <v>None</v>
      </c>
      <c r="H3314" s="3">
        <v>45151.410046296296</v>
      </c>
      <c r="I3314" s="3">
        <v>45151.410046296296</v>
      </c>
      <c r="J3314" s="3">
        <v>44366.451168981483</v>
      </c>
      <c r="K3314" cm="1">
        <f t="array" ref="K3314">sentimentCalc(C3314)</f>
        <v>0</v>
      </c>
      <c r="L3314" t="str" cm="1">
        <f t="array" ref="L3314">sentimentCategory(K3314)</f>
        <v>Neutral</v>
      </c>
    </row>
    <row r="3315" spans="1:12" x14ac:dyDescent="0.25">
      <c r="A3315" t="s">
        <v>514</v>
      </c>
      <c r="B3315" t="s">
        <v>4164</v>
      </c>
      <c r="C3315" t="str" cm="1">
        <f t="array" ref="C3315">CleanText(B3315)</f>
        <v>wtf when my heart cringes and my world cringes i feel cringy i feel cringy i dont play cringe dont you know abt me i could cringe i could cringe i could cringe cringe real hard like how cringe</v>
      </c>
      <c r="D3315">
        <v>0</v>
      </c>
      <c r="E3315">
        <v>0</v>
      </c>
      <c r="F3315" t="s">
        <v>10</v>
      </c>
      <c r="G3315" t="str" cm="1">
        <f t="array" ref="G3315">FindCountryName(F3315)</f>
        <v>None</v>
      </c>
      <c r="H3315" s="3">
        <v>45142.402106481481</v>
      </c>
      <c r="I3315" s="3">
        <v>45142.402106481481</v>
      </c>
      <c r="J3315" s="3">
        <v>44178.32508101852</v>
      </c>
      <c r="K3315" cm="1">
        <f t="array" ref="K3315">sentimentCalc(C3315)</f>
        <v>1</v>
      </c>
      <c r="L3315" t="str" cm="1">
        <f t="array" ref="L3315">sentimentCategory(K3315)</f>
        <v>Positive</v>
      </c>
    </row>
    <row r="3316" spans="1:12" x14ac:dyDescent="0.25">
      <c r="A3316" t="s">
        <v>324</v>
      </c>
      <c r="B3316" t="s">
        <v>3091</v>
      </c>
      <c r="C3316" t="str" cm="1">
        <f t="array" ref="C3316">CleanText(B3316)</f>
        <v>wtr  wheres the romance lol definitely missing that in this movie</v>
      </c>
      <c r="D3316">
        <v>0</v>
      </c>
      <c r="E3316">
        <v>9</v>
      </c>
      <c r="F3316" t="s">
        <v>10</v>
      </c>
      <c r="G3316" t="str" cm="1">
        <f t="array" ref="G3316">FindCountryName(F3316)</f>
        <v>None</v>
      </c>
      <c r="H3316" s="3">
        <v>45153.568518518521</v>
      </c>
      <c r="I3316" s="3">
        <v>45153.568518518521</v>
      </c>
      <c r="J3316" s="3">
        <v>43222.96770833333</v>
      </c>
      <c r="K3316" cm="1">
        <f t="array" ref="K3316">sentimentCalc(C3316)</f>
        <v>0</v>
      </c>
      <c r="L3316" t="str" cm="1">
        <f t="array" ref="L3316">sentimentCategory(K3316)</f>
        <v>Neutral</v>
      </c>
    </row>
    <row r="3317" spans="1:12" x14ac:dyDescent="0.25">
      <c r="A3317" t="s">
        <v>20</v>
      </c>
      <c r="B3317" t="s">
        <v>2586</v>
      </c>
      <c r="C3317" t="str" cm="1">
        <f t="array" ref="C3317">CleanText(B3317)</f>
        <v>xddd</v>
      </c>
      <c r="D3317">
        <v>0</v>
      </c>
      <c r="E3317">
        <v>0</v>
      </c>
      <c r="F3317" t="s">
        <v>10</v>
      </c>
      <c r="G3317" t="str" cm="1">
        <f t="array" ref="G3317">FindCountryName(F3317)</f>
        <v>None</v>
      </c>
      <c r="H3317" s="3">
        <v>45162.645868055559</v>
      </c>
      <c r="I3317" s="3">
        <v>45162.645856481482</v>
      </c>
      <c r="J3317" s="3">
        <v>43092.38962962963</v>
      </c>
      <c r="K3317" cm="1">
        <f t="array" ref="K3317">sentimentCalc(C3317)</f>
        <v>0</v>
      </c>
      <c r="L3317" t="str" cm="1">
        <f t="array" ref="L3317">sentimentCategory(K3317)</f>
        <v>Neutral</v>
      </c>
    </row>
    <row r="3318" spans="1:12" x14ac:dyDescent="0.25">
      <c r="A3318" t="s">
        <v>1771</v>
      </c>
      <c r="B3318" t="s">
        <v>3889</v>
      </c>
      <c r="C3318" t="str" cm="1">
        <f t="array" ref="C3318">CleanText(B3318)</f>
        <v>xegzuktsr</v>
      </c>
      <c r="D3318">
        <v>0</v>
      </c>
      <c r="E3318">
        <v>0</v>
      </c>
      <c r="F3318" t="s">
        <v>10</v>
      </c>
      <c r="G3318" t="str" cm="1">
        <f t="array" ref="G3318">FindCountryName(F3318)</f>
        <v>None</v>
      </c>
      <c r="H3318" s="3">
        <v>45144.697812500002</v>
      </c>
      <c r="I3318" s="3">
        <v>45144.697812500002</v>
      </c>
      <c r="J3318" s="3">
        <v>45144.697604166664</v>
      </c>
      <c r="K3318" cm="1">
        <f t="array" ref="K3318">sentimentCalc(C3318)</f>
        <v>0</v>
      </c>
      <c r="L3318" t="str" cm="1">
        <f t="array" ref="L3318">sentimentCategory(K3318)</f>
        <v>Neutral</v>
      </c>
    </row>
    <row r="3319" spans="1:12" x14ac:dyDescent="0.25">
      <c r="A3319" t="s">
        <v>2099</v>
      </c>
      <c r="B3319" t="s">
        <v>2436</v>
      </c>
      <c r="C3319" t="str" cm="1">
        <f t="array" ref="C3319">CleanText(B3319)</f>
        <v>xkfkfie dor direktorat reo orang roma rkeodidrurkfyfjyf</v>
      </c>
      <c r="D3319">
        <v>0</v>
      </c>
      <c r="E3319">
        <v>1</v>
      </c>
      <c r="F3319" t="s">
        <v>10</v>
      </c>
      <c r="G3319" t="str" cm="1">
        <f t="array" ref="G3319">FindCountryName(F3319)</f>
        <v>None</v>
      </c>
      <c r="H3319" s="3">
        <v>45167.273935185185</v>
      </c>
      <c r="I3319" s="3">
        <v>45167.273923611108</v>
      </c>
      <c r="J3319" s="3">
        <v>45118.035150462965</v>
      </c>
      <c r="K3319" cm="1">
        <f t="array" ref="K3319">sentimentCalc(C3319)</f>
        <v>0</v>
      </c>
      <c r="L3319" t="str" cm="1">
        <f t="array" ref="L3319">sentimentCategory(K3319)</f>
        <v>Neutral</v>
      </c>
    </row>
    <row r="3320" spans="1:12" x14ac:dyDescent="0.25">
      <c r="A3320" t="s">
        <v>1129</v>
      </c>
      <c r="B3320" t="s">
        <v>1621</v>
      </c>
      <c r="C3320" t="str" cm="1">
        <f t="array" ref="C3320">CleanText(B3320)</f>
        <v>xuina</v>
      </c>
      <c r="D3320">
        <v>0</v>
      </c>
      <c r="E3320">
        <v>0</v>
      </c>
      <c r="F3320" t="s">
        <v>10</v>
      </c>
      <c r="G3320" t="str" cm="1">
        <f t="array" ref="G3320">FindCountryName(F3320)</f>
        <v>None</v>
      </c>
      <c r="H3320" s="3">
        <v>45207.638541666667</v>
      </c>
      <c r="I3320" s="3">
        <v>45207.638541666667</v>
      </c>
      <c r="J3320" s="3">
        <v>45030.416643518518</v>
      </c>
      <c r="K3320" cm="1">
        <f t="array" ref="K3320">sentimentCalc(C3320)</f>
        <v>0</v>
      </c>
      <c r="L3320" t="str" cm="1">
        <f t="array" ref="L3320">sentimentCategory(K3320)</f>
        <v>Neutral</v>
      </c>
    </row>
    <row r="3321" spans="1:12" x14ac:dyDescent="0.25">
      <c r="A3321" t="s">
        <v>1394</v>
      </c>
      <c r="B3321" t="s">
        <v>1620</v>
      </c>
      <c r="C3321" t="str" cm="1">
        <f t="array" ref="C3321">CleanText(B3321)</f>
        <v>y</v>
      </c>
      <c r="D3321">
        <v>0</v>
      </c>
      <c r="E3321">
        <v>0</v>
      </c>
      <c r="F3321" t="s">
        <v>10</v>
      </c>
      <c r="G3321" t="str" cm="1">
        <f t="array" ref="G3321">FindCountryName(F3321)</f>
        <v>None</v>
      </c>
      <c r="H3321" s="3">
        <v>45208.124409722222</v>
      </c>
      <c r="I3321" s="3">
        <v>45208.124409722222</v>
      </c>
      <c r="J3321" s="3">
        <v>40791.911608796298</v>
      </c>
      <c r="K3321" cm="1">
        <f t="array" ref="K3321">sentimentCalc(C3321)</f>
        <v>0</v>
      </c>
      <c r="L3321" t="str" cm="1">
        <f t="array" ref="L3321">sentimentCategory(K3321)</f>
        <v>Neutral</v>
      </c>
    </row>
    <row r="3322" spans="1:12" x14ac:dyDescent="0.25">
      <c r="A3322" t="s">
        <v>995</v>
      </c>
      <c r="B3322" t="s">
        <v>996</v>
      </c>
      <c r="C3322" t="str" cm="1">
        <f t="array" ref="C3322">CleanText(B3322)</f>
        <v>yllarca hep oyuncak halini bilirdik byle film versiyonu farkl olmu</v>
      </c>
      <c r="D3322">
        <v>0</v>
      </c>
      <c r="E3322">
        <v>0</v>
      </c>
      <c r="F3322" t="s">
        <v>10</v>
      </c>
      <c r="G3322" t="str" cm="1">
        <f t="array" ref="G3322">FindCountryName(F3322)</f>
        <v>None</v>
      </c>
      <c r="H3322" s="3">
        <v>45299.252766203703</v>
      </c>
      <c r="I3322" s="3">
        <v>45299.252766203703</v>
      </c>
      <c r="J3322" s="3">
        <v>41901.357303240744</v>
      </c>
      <c r="K3322" cm="1">
        <f t="array" ref="K3322">sentimentCalc(C3322)</f>
        <v>0</v>
      </c>
      <c r="L3322" t="str" cm="1">
        <f t="array" ref="L3322">sentimentCategory(K3322)</f>
        <v>Neutral</v>
      </c>
    </row>
    <row r="3323" spans="1:12" x14ac:dyDescent="0.25">
      <c r="A3323" t="s">
        <v>451</v>
      </c>
      <c r="B3323" t="s">
        <v>452</v>
      </c>
      <c r="C3323" t="str" cm="1">
        <f t="array" ref="C3323">CleanText(B3323)</f>
        <v>yaaa ok keyifli ve elenceli</v>
      </c>
      <c r="D3323">
        <v>0</v>
      </c>
      <c r="E3323">
        <v>0</v>
      </c>
      <c r="F3323" t="s">
        <v>10</v>
      </c>
      <c r="G3323" t="str" cm="1">
        <f t="array" ref="G3323">FindCountryName(F3323)</f>
        <v>None</v>
      </c>
      <c r="H3323" s="3">
        <v>45322.271284722221</v>
      </c>
      <c r="I3323" s="3">
        <v>45322.271284722221</v>
      </c>
      <c r="J3323" s="3">
        <v>45322.255914351852</v>
      </c>
      <c r="K3323" cm="1">
        <f t="array" ref="K3323">sentimentCalc(C3323)</f>
        <v>0</v>
      </c>
      <c r="L3323" t="str" cm="1">
        <f t="array" ref="L3323">sentimentCategory(K3323)</f>
        <v>Neutral</v>
      </c>
    </row>
    <row r="3324" spans="1:12" x14ac:dyDescent="0.25">
      <c r="A3324" t="s">
        <v>137</v>
      </c>
      <c r="B3324" t="s">
        <v>734</v>
      </c>
      <c r="C3324" t="str" cm="1">
        <f t="array" ref="C3324">CleanText(B3324)</f>
        <v>yabanc dil eitimi iin ok gzel</v>
      </c>
      <c r="D3324">
        <v>0</v>
      </c>
      <c r="E3324">
        <v>0</v>
      </c>
      <c r="F3324" t="s">
        <v>10</v>
      </c>
      <c r="G3324" t="str" cm="1">
        <f t="array" ref="G3324">FindCountryName(F3324)</f>
        <v>None</v>
      </c>
      <c r="H3324" s="3">
        <v>45310.259409722225</v>
      </c>
      <c r="I3324" s="3">
        <v>45310.259409722225</v>
      </c>
      <c r="J3324" s="3">
        <v>40817.504178240742</v>
      </c>
      <c r="K3324" cm="1">
        <f t="array" ref="K3324">sentimentCalc(C3324)</f>
        <v>0</v>
      </c>
      <c r="L3324" t="str" cm="1">
        <f t="array" ref="L3324">sentimentCategory(K3324)</f>
        <v>Neutral</v>
      </c>
    </row>
    <row r="3325" spans="1:12" x14ac:dyDescent="0.25">
      <c r="A3325" t="s">
        <v>275</v>
      </c>
      <c r="B3325" t="s">
        <v>4442</v>
      </c>
      <c r="C3325" t="str" cm="1">
        <f t="array" ref="C3325">CleanText(B3325)</f>
        <v>yall didnt have to gag me the way yall did reading me like for you page on tik tok the movie moved me</v>
      </c>
      <c r="D3325">
        <v>0</v>
      </c>
      <c r="E3325">
        <v>0</v>
      </c>
      <c r="F3325" t="s">
        <v>10</v>
      </c>
      <c r="G3325" t="str" cm="1">
        <f t="array" ref="G3325">FindCountryName(F3325)</f>
        <v>None</v>
      </c>
      <c r="H3325" s="3">
        <v>45140.242268518516</v>
      </c>
      <c r="I3325" s="3">
        <v>45140.242268518516</v>
      </c>
      <c r="J3325" s="3">
        <v>44096.672118055554</v>
      </c>
      <c r="K3325" cm="1">
        <f t="array" ref="K3325">sentimentCalc(C3325)</f>
        <v>0</v>
      </c>
      <c r="L3325" t="str" cm="1">
        <f t="array" ref="L3325">sentimentCategory(K3325)</f>
        <v>Neutral</v>
      </c>
    </row>
    <row r="3326" spans="1:12" x14ac:dyDescent="0.25">
      <c r="A3326" t="s">
        <v>1025</v>
      </c>
      <c r="B3326" t="s">
        <v>1026</v>
      </c>
      <c r="C3326" t="str" cm="1">
        <f t="array" ref="C3326">CleanText(B3326)</f>
        <v>yaplm en iyi sanat eserleri arasnda</v>
      </c>
      <c r="D3326">
        <v>0</v>
      </c>
      <c r="E3326">
        <v>0</v>
      </c>
      <c r="F3326" t="s">
        <v>139</v>
      </c>
      <c r="G3326" t="str" cm="1">
        <f t="array" ref="G3326">FindCountryName(F3326)</f>
        <v>Turkey</v>
      </c>
      <c r="H3326" s="3">
        <v>45299.250532407408</v>
      </c>
      <c r="I3326" s="3">
        <v>45299.250532407408</v>
      </c>
      <c r="J3326" s="3">
        <v>43306.358090277776</v>
      </c>
      <c r="K3326" cm="1">
        <f t="array" ref="K3326">sentimentCalc(C3326)</f>
        <v>0</v>
      </c>
      <c r="L3326" t="str" cm="1">
        <f t="array" ref="L3326">sentimentCategory(K3326)</f>
        <v>Neutral</v>
      </c>
    </row>
    <row r="3327" spans="1:12" x14ac:dyDescent="0.25">
      <c r="A3327" t="s">
        <v>423</v>
      </c>
      <c r="B3327" t="s">
        <v>424</v>
      </c>
      <c r="C3327" t="str" cm="1">
        <f t="array" ref="C3327">CleanText(B3327)</f>
        <v>yapmc kadrosuyla yine mkmemmel bir i kartlm</v>
      </c>
      <c r="D3327">
        <v>0</v>
      </c>
      <c r="E3327">
        <v>0</v>
      </c>
      <c r="F3327" t="s">
        <v>10</v>
      </c>
      <c r="G3327" t="str" cm="1">
        <f t="array" ref="G3327">FindCountryName(F3327)</f>
        <v>None</v>
      </c>
      <c r="H3327" s="3">
        <v>45322.271898148145</v>
      </c>
      <c r="I3327" s="3">
        <v>45322.271898148145</v>
      </c>
      <c r="J3327" s="3">
        <v>44129.692430555559</v>
      </c>
      <c r="K3327" cm="1">
        <f t="array" ref="K3327">sentimentCalc(C3327)</f>
        <v>0</v>
      </c>
      <c r="L3327" t="str" cm="1">
        <f t="array" ref="L3327">sentimentCategory(K3327)</f>
        <v>Neutral</v>
      </c>
    </row>
    <row r="3328" spans="1:12" x14ac:dyDescent="0.25">
      <c r="A3328" t="s">
        <v>277</v>
      </c>
      <c r="B3328" t="s">
        <v>2584</v>
      </c>
      <c r="C3328" t="str" cm="1">
        <f t="array" ref="C3328">CleanText(B3328)</f>
        <v>yarrak gb film aq oppenheimer daha iyi</v>
      </c>
      <c r="D3328">
        <v>0</v>
      </c>
      <c r="E3328">
        <v>0</v>
      </c>
      <c r="F3328" t="s">
        <v>10</v>
      </c>
      <c r="G3328" t="str" cm="1">
        <f t="array" ref="G3328">FindCountryName(F3328)</f>
        <v>None</v>
      </c>
      <c r="H3328" s="3">
        <v>45162.684872685182</v>
      </c>
      <c r="I3328" s="3">
        <v>45162.684872685182</v>
      </c>
      <c r="J3328" s="3">
        <v>44280.340486111112</v>
      </c>
      <c r="K3328" cm="1">
        <f t="array" ref="K3328">sentimentCalc(C3328)</f>
        <v>0</v>
      </c>
      <c r="L3328" t="str" cm="1">
        <f t="array" ref="L3328">sentimentCategory(K3328)</f>
        <v>Neutral</v>
      </c>
    </row>
    <row r="3329" spans="1:12" x14ac:dyDescent="0.25">
      <c r="A3329" t="s">
        <v>137</v>
      </c>
      <c r="B3329" t="s">
        <v>2167</v>
      </c>
      <c r="C3329" t="str" cm="1">
        <f t="array" ref="C3329">CleanText(B3329)</f>
        <v>yay im love barbie movie is sooo good</v>
      </c>
      <c r="D3329">
        <v>0</v>
      </c>
      <c r="E3329">
        <v>0</v>
      </c>
      <c r="F3329" t="s">
        <v>10</v>
      </c>
      <c r="G3329" t="str" cm="1">
        <f t="array" ref="G3329">FindCountryName(F3329)</f>
        <v>None</v>
      </c>
      <c r="H3329" s="3">
        <v>45177.442152777781</v>
      </c>
      <c r="I3329" s="3">
        <v>45177.442141203705</v>
      </c>
      <c r="J3329" s="3">
        <v>43593.503125000003</v>
      </c>
      <c r="K3329" cm="1">
        <f t="array" ref="K3329">sentimentCalc(C3329)</f>
        <v>6</v>
      </c>
      <c r="L3329" t="str" cm="1">
        <f t="array" ref="L3329">sentimentCategory(K3329)</f>
        <v>Positive</v>
      </c>
    </row>
    <row r="3330" spans="1:12" x14ac:dyDescent="0.25">
      <c r="A3330" t="s">
        <v>3422</v>
      </c>
      <c r="B3330" t="s">
        <v>3423</v>
      </c>
      <c r="C3330" t="str" cm="1">
        <f t="array" ref="C3330">CleanText(B3330)</f>
        <v>yay millions of people flock to watch a series of adverts for crappy products masquerading as feminism capitalism says f climate change</v>
      </c>
      <c r="D3330">
        <v>2</v>
      </c>
      <c r="E3330">
        <v>0</v>
      </c>
      <c r="F3330" t="s">
        <v>10</v>
      </c>
      <c r="G3330" t="str" cm="1">
        <f t="array" ref="G3330">FindCountryName(F3330)</f>
        <v>None</v>
      </c>
      <c r="H3330" s="3">
        <v>45149.110925925925</v>
      </c>
      <c r="I3330" s="3">
        <v>45149.110925925925</v>
      </c>
      <c r="J3330" s="3">
        <v>45063.093877314815</v>
      </c>
      <c r="K3330" cm="1">
        <f t="array" ref="K3330">sentimentCalc(C3330)</f>
        <v>0</v>
      </c>
      <c r="L3330" t="str" cm="1">
        <f t="array" ref="L3330">sentimentCategory(K3330)</f>
        <v>Neutral</v>
      </c>
    </row>
    <row r="3331" spans="1:12" x14ac:dyDescent="0.25">
      <c r="A3331" t="s">
        <v>2212</v>
      </c>
      <c r="B3331" t="s">
        <v>2263</v>
      </c>
      <c r="C3331" t="str" cm="1">
        <f t="array" ref="C3331">CleanText(B3331)</f>
        <v>yay barbie  the ultimate bimbo movie all in fuzzy pink why thats the girly colour you just gotta love it hey show off your bodies little girls barbies slender curvaceous lines of eye candy are just what you need to make it in this big bad world  if you cant look like that youll feel bad about yourself so go all out for it warner bros incorporated jumped onto the woke bandwagon and is making  millions of yucky ploppy fatty profit tissue from countless unsuspecting little girls pocket money oh wow way to go</v>
      </c>
      <c r="D3331">
        <v>1</v>
      </c>
      <c r="E3331">
        <v>2</v>
      </c>
      <c r="F3331" t="s">
        <v>10</v>
      </c>
      <c r="G3331" t="str" cm="1">
        <f t="array" ref="G3331">FindCountryName(F3331)</f>
        <v>None</v>
      </c>
      <c r="H3331" s="3">
        <v>45173.556828703702</v>
      </c>
      <c r="I3331" s="3">
        <v>45173.556828703702</v>
      </c>
      <c r="J3331" s="3">
        <v>40205.803159722222</v>
      </c>
      <c r="K3331" cm="1">
        <f t="array" ref="K3331">sentimentCalc(C3331)</f>
        <v>2</v>
      </c>
      <c r="L3331" t="str" cm="1">
        <f t="array" ref="L3331">sentimentCategory(K3331)</f>
        <v>Positive</v>
      </c>
    </row>
    <row r="3332" spans="1:12" x14ac:dyDescent="0.25">
      <c r="A3332" t="s">
        <v>2275</v>
      </c>
      <c r="B3332" t="s">
        <v>2964</v>
      </c>
      <c r="C3332" t="str" cm="1">
        <f t="array" ref="C3332">CleanText(B3332)</f>
        <v>yeah i dont like barbie and it was so good</v>
      </c>
      <c r="D3332">
        <v>0</v>
      </c>
      <c r="E3332">
        <v>0</v>
      </c>
      <c r="F3332" t="s">
        <v>10</v>
      </c>
      <c r="G3332" t="str" cm="1">
        <f t="array" ref="G3332">FindCountryName(F3332)</f>
        <v>None</v>
      </c>
      <c r="H3332" s="3">
        <v>45155.39880787037</v>
      </c>
      <c r="I3332" s="3">
        <v>45155.39880787037</v>
      </c>
      <c r="J3332" s="3">
        <v>45107.799375000002</v>
      </c>
      <c r="K3332" cm="1">
        <f t="array" ref="K3332">sentimentCalc(C3332)</f>
        <v>6</v>
      </c>
      <c r="L3332" t="str" cm="1">
        <f t="array" ref="L3332">sentimentCategory(K3332)</f>
        <v>Positive</v>
      </c>
    </row>
    <row r="3333" spans="1:12" x14ac:dyDescent="0.25">
      <c r="A3333" t="s">
        <v>457</v>
      </c>
      <c r="B3333" t="s">
        <v>2320</v>
      </c>
      <c r="C3333" t="str" cm="1">
        <f t="array" ref="C3333">CleanText(B3333)</f>
        <v>yeah i hate barbie</v>
      </c>
      <c r="D3333">
        <v>0</v>
      </c>
      <c r="E3333">
        <v>0</v>
      </c>
      <c r="F3333" t="s">
        <v>10</v>
      </c>
      <c r="G3333" t="str" cm="1">
        <f t="array" ref="G3333">FindCountryName(F3333)</f>
        <v>None</v>
      </c>
      <c r="H3333" s="3">
        <v>45171.96675925926</v>
      </c>
      <c r="I3333" s="3">
        <v>45171.966747685183</v>
      </c>
      <c r="J3333" s="3">
        <v>40846.397835648146</v>
      </c>
      <c r="K3333" cm="1">
        <f t="array" ref="K3333">sentimentCalc(C3333)</f>
        <v>-2</v>
      </c>
      <c r="L3333" t="str" cm="1">
        <f t="array" ref="L3333">sentimentCategory(K3333)</f>
        <v>Negative</v>
      </c>
    </row>
    <row r="3334" spans="1:12" x14ac:dyDescent="0.25">
      <c r="A3334" t="s">
        <v>25</v>
      </c>
      <c r="B3334" t="s">
        <v>3381</v>
      </c>
      <c r="C3334" t="str" cm="1">
        <f t="array" ref="C3334">CleanText(B3334)</f>
        <v>yeah nice another movie full of misandry women good men bad yeah yeah</v>
      </c>
      <c r="D3334">
        <v>4</v>
      </c>
      <c r="E3334">
        <v>1</v>
      </c>
      <c r="F3334" t="s">
        <v>10</v>
      </c>
      <c r="G3334" t="str" cm="1">
        <f t="array" ref="G3334">FindCountryName(F3334)</f>
        <v>None</v>
      </c>
      <c r="H3334" s="3">
        <v>45149.418749999997</v>
      </c>
      <c r="I3334" s="3">
        <v>45149.418749999997</v>
      </c>
      <c r="J3334" s="3">
        <v>42378.748576388891</v>
      </c>
      <c r="K3334" cm="1">
        <f t="array" ref="K3334">sentimentCalc(C3334)</f>
        <v>6</v>
      </c>
      <c r="L3334" t="str" cm="1">
        <f t="array" ref="L3334">sentimentCategory(K3334)</f>
        <v>Positive</v>
      </c>
    </row>
    <row r="3335" spans="1:12" x14ac:dyDescent="0.25">
      <c r="A3335" t="s">
        <v>427</v>
      </c>
      <c r="B3335" t="s">
        <v>3227</v>
      </c>
      <c r="C3335" t="str" cm="1">
        <f t="array" ref="C3335">CleanText(B3335)</f>
        <v>yeah barbie is literally the worst movie ever</v>
      </c>
      <c r="D3335">
        <v>6</v>
      </c>
      <c r="E3335">
        <v>0</v>
      </c>
      <c r="F3335" t="s">
        <v>10</v>
      </c>
      <c r="G3335" t="str" cm="1">
        <f t="array" ref="G3335">FindCountryName(F3335)</f>
        <v>None</v>
      </c>
      <c r="H3335" s="3">
        <v>45151.533622685187</v>
      </c>
      <c r="I3335" s="3">
        <v>45151.533622685187</v>
      </c>
      <c r="J3335" s="3">
        <v>44454.673726851855</v>
      </c>
      <c r="K3335" cm="1">
        <f t="array" ref="K3335">sentimentCalc(C3335)</f>
        <v>-2</v>
      </c>
      <c r="L3335" t="str" cm="1">
        <f t="array" ref="L3335">sentimentCategory(K3335)</f>
        <v>Negative</v>
      </c>
    </row>
    <row r="3336" spans="1:12" x14ac:dyDescent="0.25">
      <c r="A3336" t="s">
        <v>1008</v>
      </c>
      <c r="B3336" t="s">
        <v>4041</v>
      </c>
      <c r="C3336" t="str" cm="1">
        <f t="array" ref="C3336">CleanText(B3336)</f>
        <v>yeap not gonna watch it</v>
      </c>
      <c r="D3336">
        <v>1</v>
      </c>
      <c r="E3336">
        <v>3</v>
      </c>
      <c r="F3336" t="s">
        <v>10</v>
      </c>
      <c r="G3336" t="str" cm="1">
        <f t="array" ref="G3336">FindCountryName(F3336)</f>
        <v>None</v>
      </c>
      <c r="H3336" s="3">
        <v>45143.449907407405</v>
      </c>
      <c r="I3336" s="3">
        <v>45143.449907407405</v>
      </c>
      <c r="J3336" s="3">
        <v>44356.449166666665</v>
      </c>
      <c r="K3336" cm="1">
        <f t="array" ref="K3336">sentimentCalc(C3336)</f>
        <v>0</v>
      </c>
      <c r="L3336" t="str" cm="1">
        <f t="array" ref="L3336">sentimentCategory(K3336)</f>
        <v>Neutral</v>
      </c>
    </row>
    <row r="3337" spans="1:12" x14ac:dyDescent="0.25">
      <c r="A3337" t="s">
        <v>135</v>
      </c>
      <c r="B3337" t="s">
        <v>274</v>
      </c>
      <c r="C3337" t="str" cm="1">
        <f t="array" ref="C3337">CleanText(B3337)</f>
        <v>yeeeeeeesssssss omg barbieeeee perfectttt show</v>
      </c>
      <c r="D3337">
        <v>1</v>
      </c>
      <c r="E3337">
        <v>0</v>
      </c>
      <c r="F3337" t="s">
        <v>10</v>
      </c>
      <c r="G3337" t="str" cm="1">
        <f t="array" ref="G3337">FindCountryName(F3337)</f>
        <v>None</v>
      </c>
      <c r="H3337" s="3">
        <v>45322.572604166664</v>
      </c>
      <c r="I3337" s="3">
        <v>45322.572604166664</v>
      </c>
      <c r="J3337" s="3">
        <v>41343.677581018521</v>
      </c>
      <c r="K3337" cm="1">
        <f t="array" ref="K3337">sentimentCalc(C3337)</f>
        <v>0</v>
      </c>
      <c r="L3337" t="str" cm="1">
        <f t="array" ref="L3337">sentimentCategory(K3337)</f>
        <v>Neutral</v>
      </c>
    </row>
    <row r="3338" spans="1:12" x14ac:dyDescent="0.25">
      <c r="A3338" t="s">
        <v>629</v>
      </c>
      <c r="B3338" t="s">
        <v>2170</v>
      </c>
      <c r="C3338" t="str" cm="1">
        <f t="array" ref="C3338">CleanText(B3338)</f>
        <v>yeh toh tatti hain</v>
      </c>
      <c r="D3338">
        <v>0</v>
      </c>
      <c r="E3338">
        <v>0</v>
      </c>
      <c r="F3338" t="s">
        <v>10</v>
      </c>
      <c r="G3338" t="str" cm="1">
        <f t="array" ref="G3338">FindCountryName(F3338)</f>
        <v>None</v>
      </c>
      <c r="H3338" s="3">
        <v>45177.291134259256</v>
      </c>
      <c r="I3338" s="3">
        <v>45177.291134259256</v>
      </c>
      <c r="J3338" s="3">
        <v>44922.260428240741</v>
      </c>
      <c r="K3338" cm="1">
        <f t="array" ref="K3338">sentimentCalc(C3338)</f>
        <v>0</v>
      </c>
      <c r="L3338" t="str" cm="1">
        <f t="array" ref="L3338">sentimentCategory(K3338)</f>
        <v>Neutral</v>
      </c>
    </row>
    <row r="3339" spans="1:12" x14ac:dyDescent="0.25">
      <c r="A3339" t="s">
        <v>629</v>
      </c>
      <c r="B3339" t="s">
        <v>3177</v>
      </c>
      <c r="C3339" t="str" cm="1">
        <f t="array" ref="C3339">CleanText(B3339)</f>
        <v>yep ryan gosling at</v>
      </c>
      <c r="D3339">
        <v>2</v>
      </c>
      <c r="E3339">
        <v>1</v>
      </c>
      <c r="F3339" t="s">
        <v>10</v>
      </c>
      <c r="G3339" t="str" cm="1">
        <f t="array" ref="G3339">FindCountryName(F3339)</f>
        <v>None</v>
      </c>
      <c r="H3339" s="3">
        <v>45152.370578703703</v>
      </c>
      <c r="I3339" s="3">
        <v>45152.370578703703</v>
      </c>
      <c r="J3339" s="3">
        <v>43675.178206018521</v>
      </c>
      <c r="K3339" cm="1">
        <f t="array" ref="K3339">sentimentCalc(C3339)</f>
        <v>0</v>
      </c>
      <c r="L3339" t="str" cm="1">
        <f t="array" ref="L3339">sentimentCategory(K3339)</f>
        <v>Neutral</v>
      </c>
    </row>
    <row r="3340" spans="1:12" x14ac:dyDescent="0.25">
      <c r="A3340" t="s">
        <v>1456</v>
      </c>
      <c r="B3340" t="s">
        <v>1471</v>
      </c>
      <c r="C3340" t="str" cm="1">
        <f t="array" ref="C3340">CleanText(B3340)</f>
        <v>yes</v>
      </c>
      <c r="D3340">
        <v>0</v>
      </c>
      <c r="E3340">
        <v>0</v>
      </c>
      <c r="F3340" t="s">
        <v>10</v>
      </c>
      <c r="G3340" t="str" cm="1">
        <f t="array" ref="G3340">FindCountryName(F3340)</f>
        <v>None</v>
      </c>
      <c r="H3340" s="3">
        <v>45225.836759259262</v>
      </c>
      <c r="I3340" s="3">
        <v>45225.836759259262</v>
      </c>
      <c r="J3340" s="3">
        <v>43334.513437499998</v>
      </c>
      <c r="K3340" cm="1">
        <f t="array" ref="K3340">sentimentCalc(C3340)</f>
        <v>1</v>
      </c>
      <c r="L3340" t="str" cm="1">
        <f t="array" ref="L3340">sentimentCategory(K3340)</f>
        <v>Positive</v>
      </c>
    </row>
    <row r="3341" spans="1:12" x14ac:dyDescent="0.25">
      <c r="A3341" t="s">
        <v>122</v>
      </c>
      <c r="B3341" t="s">
        <v>813</v>
      </c>
      <c r="C3341" t="str" cm="1">
        <f t="array" ref="C3341">CleanText(B3341)</f>
        <v>yes i love all warner brothers pictures of series harry potter newt scamnder willy wonka ryan gosling they are my favorite people on the earth of my world</v>
      </c>
      <c r="D3341">
        <v>1</v>
      </c>
      <c r="E3341">
        <v>0</v>
      </c>
      <c r="F3341" t="s">
        <v>10</v>
      </c>
      <c r="G3341" t="str" cm="1">
        <f t="array" ref="G3341">FindCountryName(F3341)</f>
        <v>None</v>
      </c>
      <c r="H3341" s="3">
        <v>45306.100057870368</v>
      </c>
      <c r="I3341" s="3">
        <v>45306.100057870368</v>
      </c>
      <c r="J3341" s="3">
        <v>44649.869513888887</v>
      </c>
      <c r="K3341" cm="1">
        <f t="array" ref="K3341">sentimentCalc(C3341)</f>
        <v>6</v>
      </c>
      <c r="L3341" t="str" cm="1">
        <f t="array" ref="L3341">sentimentCategory(K3341)</f>
        <v>Positive</v>
      </c>
    </row>
    <row r="3342" spans="1:12" x14ac:dyDescent="0.25">
      <c r="A3342" t="s">
        <v>2097</v>
      </c>
      <c r="B3342" t="s">
        <v>2098</v>
      </c>
      <c r="C3342" t="str" cm="1">
        <f t="array" ref="C3342">CleanText(B3342)</f>
        <v>yes so cool the movie inspired me to go unbox barbies ive had for over forty years  check it out on my channel</v>
      </c>
      <c r="D3342">
        <v>0</v>
      </c>
      <c r="E3342">
        <v>2</v>
      </c>
      <c r="F3342" t="s">
        <v>227</v>
      </c>
      <c r="G3342" t="str" cm="1">
        <f t="array" ref="G3342">FindCountryName(F3342)</f>
        <v>United States of America (the)</v>
      </c>
      <c r="H3342" s="3">
        <v>45180.944328703707</v>
      </c>
      <c r="I3342" s="3">
        <v>45180.94431712963</v>
      </c>
      <c r="J3342" s="3">
        <v>45139.823634259257</v>
      </c>
      <c r="K3342" cm="1">
        <f t="array" ref="K3342">sentimentCalc(C3342)</f>
        <v>4</v>
      </c>
      <c r="L3342" t="str" cm="1">
        <f t="array" ref="L3342">sentimentCategory(K3342)</f>
        <v>Positive</v>
      </c>
    </row>
    <row r="3343" spans="1:12" x14ac:dyDescent="0.25">
      <c r="A3343" t="s">
        <v>1397</v>
      </c>
      <c r="B3343" t="s">
        <v>3043</v>
      </c>
      <c r="C3343" t="str" cm="1">
        <f t="array" ref="C3343">CleanText(B3343)</f>
        <v>yessssss i loved this movie it was so much fun margot robbie was fantastic as barbie and ryan gosling was perfect as kenthe kenergy was real</v>
      </c>
      <c r="D3343">
        <v>3</v>
      </c>
      <c r="E3343">
        <v>5</v>
      </c>
      <c r="F3343" t="s">
        <v>10</v>
      </c>
      <c r="G3343" t="str" cm="1">
        <f t="array" ref="G3343">FindCountryName(F3343)</f>
        <v>None</v>
      </c>
      <c r="H3343" s="3">
        <v>45154.147094907406</v>
      </c>
      <c r="I3343" s="3">
        <v>45154.147326388891</v>
      </c>
      <c r="J3343" s="3">
        <v>39109.143541666665</v>
      </c>
      <c r="K3343" cm="1">
        <f t="array" ref="K3343">sentimentCalc(C3343)</f>
        <v>14</v>
      </c>
      <c r="L3343" t="str" cm="1">
        <f t="array" ref="L3343">sentimentCategory(K3343)</f>
        <v>Positive</v>
      </c>
    </row>
    <row r="3344" spans="1:12" x14ac:dyDescent="0.25">
      <c r="A3344" t="s">
        <v>555</v>
      </c>
      <c r="B3344" t="s">
        <v>2821</v>
      </c>
      <c r="C3344" t="str" cm="1">
        <f t="array" ref="C3344">CleanText(B3344)</f>
        <v>yhv</v>
      </c>
      <c r="D3344">
        <v>0</v>
      </c>
      <c r="E3344">
        <v>0</v>
      </c>
      <c r="F3344" t="s">
        <v>10</v>
      </c>
      <c r="G3344" t="str" cm="1">
        <f t="array" ref="G3344">FindCountryName(F3344)</f>
        <v>None</v>
      </c>
      <c r="H3344" s="3">
        <v>45157.339918981481</v>
      </c>
      <c r="I3344" s="3">
        <v>45157.339918981481</v>
      </c>
      <c r="J3344" s="3">
        <v>44025.594895833332</v>
      </c>
      <c r="K3344" cm="1">
        <f t="array" ref="K3344">sentimentCalc(C3344)</f>
        <v>0</v>
      </c>
      <c r="L3344" t="str" cm="1">
        <f t="array" ref="L3344">sentimentCategory(K3344)</f>
        <v>Neutral</v>
      </c>
    </row>
    <row r="3345" spans="1:12" x14ac:dyDescent="0.25">
      <c r="A3345" t="s">
        <v>3474</v>
      </c>
      <c r="B3345" t="s">
        <v>3475</v>
      </c>
      <c r="C3345" t="str" cm="1">
        <f t="array" ref="C3345">CleanText(B3345)</f>
        <v>yo barbie says undress me anywhere in that song yo u want a lawsuit</v>
      </c>
      <c r="D3345">
        <v>0</v>
      </c>
      <c r="E3345">
        <v>0</v>
      </c>
      <c r="F3345" t="s">
        <v>10</v>
      </c>
      <c r="G3345" t="str" cm="1">
        <f t="array" ref="G3345">FindCountryName(F3345)</f>
        <v>None</v>
      </c>
      <c r="H3345" s="3">
        <v>45148.525740740741</v>
      </c>
      <c r="I3345" s="3">
        <v>45148.525740740741</v>
      </c>
      <c r="J3345" s="3">
        <v>44784.900648148148</v>
      </c>
      <c r="K3345" cm="1">
        <f t="array" ref="K3345">sentimentCalc(C3345)</f>
        <v>-1</v>
      </c>
      <c r="L3345" t="str" cm="1">
        <f t="array" ref="L3345">sentimentCategory(K3345)</f>
        <v>Negative</v>
      </c>
    </row>
    <row r="3346" spans="1:12" x14ac:dyDescent="0.25">
      <c r="A3346" t="s">
        <v>178</v>
      </c>
      <c r="B3346" t="s">
        <v>3781</v>
      </c>
      <c r="C3346" t="str" cm="1">
        <f t="array" ref="C3346">CleanText(B3346)</f>
        <v>yo chat is this real</v>
      </c>
      <c r="D3346">
        <v>1</v>
      </c>
      <c r="E3346">
        <v>0</v>
      </c>
      <c r="F3346" t="s">
        <v>10</v>
      </c>
      <c r="G3346" t="str" cm="1">
        <f t="array" ref="G3346">FindCountryName(F3346)</f>
        <v>None</v>
      </c>
      <c r="H3346" s="3">
        <v>45145.553344907406</v>
      </c>
      <c r="I3346" s="3">
        <v>45145.553344907406</v>
      </c>
      <c r="J3346" s="3">
        <v>42075.301064814812</v>
      </c>
      <c r="K3346" cm="1">
        <f t="array" ref="K3346">sentimentCalc(C3346)</f>
        <v>0</v>
      </c>
      <c r="L3346" t="str" cm="1">
        <f t="array" ref="L3346">sentimentCategory(K3346)</f>
        <v>Neutral</v>
      </c>
    </row>
    <row r="3347" spans="1:12" x14ac:dyDescent="0.25">
      <c r="A3347" t="s">
        <v>4393</v>
      </c>
      <c r="B3347" t="s">
        <v>4394</v>
      </c>
      <c r="C3347" t="str" cm="1">
        <f t="array" ref="C3347">CleanText(B3347)</f>
        <v>yo the trailer looks cool especially my girl harley quinn in it</v>
      </c>
      <c r="D3347">
        <v>1</v>
      </c>
      <c r="E3347">
        <v>2</v>
      </c>
      <c r="F3347" t="s">
        <v>10</v>
      </c>
      <c r="G3347" t="str" cm="1">
        <f t="array" ref="G3347">FindCountryName(F3347)</f>
        <v>None</v>
      </c>
      <c r="H3347" s="3">
        <v>45140.484050925923</v>
      </c>
      <c r="I3347" s="3">
        <v>45140.484050925923</v>
      </c>
      <c r="J3347" s="3">
        <v>44571.773425925923</v>
      </c>
      <c r="K3347" cm="1">
        <f t="array" ref="K3347">sentimentCalc(C3347)</f>
        <v>1</v>
      </c>
      <c r="L3347" t="str" cm="1">
        <f t="array" ref="L3347">sentimentCategory(K3347)</f>
        <v>Positive</v>
      </c>
    </row>
    <row r="3348" spans="1:12" x14ac:dyDescent="0.25">
      <c r="A3348" t="s">
        <v>105</v>
      </c>
      <c r="B3348" t="s">
        <v>1458</v>
      </c>
      <c r="C3348" t="str" cm="1">
        <f t="array" ref="C3348">CleanText(B3348)</f>
        <v>yo when ken just shows off hes huge smile for jail</v>
      </c>
      <c r="D3348">
        <v>0</v>
      </c>
      <c r="E3348">
        <v>0</v>
      </c>
      <c r="F3348" t="s">
        <v>10</v>
      </c>
      <c r="G3348" t="str" cm="1">
        <f t="array" ref="G3348">FindCountryName(F3348)</f>
        <v>None</v>
      </c>
      <c r="H3348" s="3">
        <v>45226.449340277781</v>
      </c>
      <c r="I3348" s="3">
        <v>45226.449340277781</v>
      </c>
      <c r="J3348" s="3">
        <v>45123.015138888892</v>
      </c>
      <c r="K3348" cm="1">
        <f t="array" ref="K3348">sentimentCalc(C3348)</f>
        <v>3</v>
      </c>
      <c r="L3348" t="str" cm="1">
        <f t="array" ref="L3348">sentimentCategory(K3348)</f>
        <v>Positive</v>
      </c>
    </row>
    <row r="3349" spans="1:12" x14ac:dyDescent="0.25">
      <c r="A3349" t="s">
        <v>2200</v>
      </c>
      <c r="B3349" t="s">
        <v>2201</v>
      </c>
      <c r="C3349" t="str" cm="1">
        <f t="array" ref="C3349">CleanText(B3349)</f>
        <v>you</v>
      </c>
      <c r="D3349">
        <v>0</v>
      </c>
      <c r="E3349">
        <v>0</v>
      </c>
      <c r="F3349" t="s">
        <v>10</v>
      </c>
      <c r="G3349" t="str" cm="1">
        <f t="array" ref="G3349">FindCountryName(F3349)</f>
        <v>None</v>
      </c>
      <c r="H3349" s="3">
        <v>45175.984155092592</v>
      </c>
      <c r="I3349" s="3">
        <v>45175.984155092592</v>
      </c>
      <c r="J3349" s="3">
        <v>45047.425312500003</v>
      </c>
      <c r="K3349" cm="1">
        <f t="array" ref="K3349">sentimentCalc(C3349)</f>
        <v>0</v>
      </c>
      <c r="L3349" t="str" cm="1">
        <f t="array" ref="L3349">sentimentCategory(K3349)</f>
        <v>Neutral</v>
      </c>
    </row>
    <row r="3350" spans="1:12" x14ac:dyDescent="0.25">
      <c r="A3350" t="s">
        <v>2219</v>
      </c>
      <c r="B3350" t="s">
        <v>2802</v>
      </c>
      <c r="C3350" t="str" cm="1">
        <f t="array" ref="C3350">CleanText(B3350)</f>
        <v>you can choose the easy way or the hard way the choice is yours</v>
      </c>
      <c r="D3350">
        <v>0</v>
      </c>
      <c r="E3350">
        <v>0</v>
      </c>
      <c r="F3350" t="s">
        <v>10</v>
      </c>
      <c r="G3350" t="str" cm="1">
        <f t="array" ref="G3350">FindCountryName(F3350)</f>
        <v>None</v>
      </c>
      <c r="H3350" s="3">
        <v>45157.704548611109</v>
      </c>
      <c r="I3350" s="3">
        <v>45157.704548611109</v>
      </c>
      <c r="J3350" s="3">
        <v>43785.672303240739</v>
      </c>
      <c r="K3350" cm="1">
        <f t="array" ref="K3350">sentimentCalc(C3350)</f>
        <v>0</v>
      </c>
      <c r="L3350" t="str" cm="1">
        <f t="array" ref="L3350">sentimentCategory(K3350)</f>
        <v>Neutral</v>
      </c>
    </row>
    <row r="3351" spans="1:12" x14ac:dyDescent="0.25">
      <c r="A3351" t="s">
        <v>228</v>
      </c>
      <c r="B3351" t="s">
        <v>4262</v>
      </c>
      <c r="C3351" t="str" cm="1">
        <f t="array" ref="C3351">CleanText(B3351)</f>
        <v>you can see through that you dont care about other peoples pain even though you are sensitive to your own pain its a flimsy movie</v>
      </c>
      <c r="D3351">
        <v>1</v>
      </c>
      <c r="E3351">
        <v>0</v>
      </c>
      <c r="F3351" t="s">
        <v>10</v>
      </c>
      <c r="G3351" t="str" cm="1">
        <f t="array" ref="G3351">FindCountryName(F3351)</f>
        <v>None</v>
      </c>
      <c r="H3351" s="3">
        <v>45141.404629629629</v>
      </c>
      <c r="I3351" s="3">
        <v>45141.404629629629</v>
      </c>
      <c r="J3351" s="3">
        <v>42142.461458333331</v>
      </c>
      <c r="K3351" cm="1">
        <f t="array" ref="K3351">sentimentCalc(C3351)</f>
        <v>-2</v>
      </c>
      <c r="L3351" t="str" cm="1">
        <f t="array" ref="L3351">sentimentCategory(K3351)</f>
        <v>Negative</v>
      </c>
    </row>
    <row r="3352" spans="1:12" x14ac:dyDescent="0.25">
      <c r="A3352" t="s">
        <v>814</v>
      </c>
      <c r="B3352" t="s">
        <v>815</v>
      </c>
      <c r="C3352" t="str" cm="1">
        <f t="array" ref="C3352">CleanText(B3352)</f>
        <v>you forgot this real barbie market and consumption are of toddler  years below but the plot scene is for those from  strange</v>
      </c>
      <c r="D3352">
        <v>0</v>
      </c>
      <c r="E3352">
        <v>1</v>
      </c>
      <c r="F3352" t="s">
        <v>10</v>
      </c>
      <c r="G3352" t="str" cm="1">
        <f t="array" ref="G3352">FindCountryName(F3352)</f>
        <v>None</v>
      </c>
      <c r="H3352" s="3">
        <v>45305.857152777775</v>
      </c>
      <c r="I3352" s="3">
        <v>45305.857152777775</v>
      </c>
      <c r="J3352" s="3">
        <v>45288.222858796296</v>
      </c>
      <c r="K3352" cm="1">
        <f t="array" ref="K3352">sentimentCalc(C3352)</f>
        <v>-1</v>
      </c>
      <c r="L3352" t="str" cm="1">
        <f t="array" ref="L3352">sentimentCategory(K3352)</f>
        <v>Negative</v>
      </c>
    </row>
    <row r="3353" spans="1:12" x14ac:dyDescent="0.25">
      <c r="A3353" t="s">
        <v>1659</v>
      </c>
      <c r="B3353" t="s">
        <v>3344</v>
      </c>
      <c r="C3353" t="str" cm="1">
        <f t="array" ref="C3353">CleanText(B3353)</f>
        <v>you guys are all literal npcs bro this movie was trash</v>
      </c>
      <c r="D3353">
        <v>4</v>
      </c>
      <c r="E3353">
        <v>4</v>
      </c>
      <c r="F3353" t="s">
        <v>10</v>
      </c>
      <c r="G3353" t="str" cm="1">
        <f t="array" ref="G3353">FindCountryName(F3353)</f>
        <v>None</v>
      </c>
      <c r="H3353" s="3">
        <v>45149.92664351852</v>
      </c>
      <c r="I3353" s="3">
        <v>45149.92664351852</v>
      </c>
      <c r="J3353" s="3">
        <v>42084.740856481483</v>
      </c>
      <c r="K3353" cm="1">
        <f t="array" ref="K3353">sentimentCalc(C3353)</f>
        <v>0</v>
      </c>
      <c r="L3353" t="str" cm="1">
        <f t="array" ref="L3353">sentimentCategory(K3353)</f>
        <v>Neutral</v>
      </c>
    </row>
    <row r="3354" spans="1:12" x14ac:dyDescent="0.25">
      <c r="A3354" t="s">
        <v>215</v>
      </c>
      <c r="B3354" t="s">
        <v>3392</v>
      </c>
      <c r="C3354" t="str" cm="1">
        <f t="array" ref="C3354">CleanText(B3354)</f>
        <v>you guys are thinking about dyingmy fav part</v>
      </c>
      <c r="D3354">
        <v>0</v>
      </c>
      <c r="E3354">
        <v>0</v>
      </c>
      <c r="F3354" t="s">
        <v>10</v>
      </c>
      <c r="G3354" t="str" cm="1">
        <f t="array" ref="G3354">FindCountryName(F3354)</f>
        <v>None</v>
      </c>
      <c r="H3354" s="3">
        <v>45149.336655092593</v>
      </c>
      <c r="I3354" s="3">
        <v>45149.336655092593</v>
      </c>
      <c r="J3354" s="3">
        <v>40992.858576388891</v>
      </c>
      <c r="K3354" cm="1">
        <f t="array" ref="K3354">sentimentCalc(C3354)</f>
        <v>0</v>
      </c>
      <c r="L3354" t="str" cm="1">
        <f t="array" ref="L3354">sentimentCategory(K3354)</f>
        <v>Neutral</v>
      </c>
    </row>
    <row r="3355" spans="1:12" x14ac:dyDescent="0.25">
      <c r="A3355" t="s">
        <v>817</v>
      </c>
      <c r="B3355" t="s">
        <v>2749</v>
      </c>
      <c r="C3355" t="str" cm="1">
        <f t="array" ref="C3355">CleanText(B3355)</f>
        <v>you have to be a genius to name an emotionalspiritual movie with a commercial name just for the people to come i never expected that the whole movie is just a metaphor for life itself in the beginning looks like yea a topical american movie but in the end all pieces come together and the big moment comes and it really makes all your emotions swim inside you and then the reaction it was in the end a real explosion of emotions</v>
      </c>
      <c r="D3355">
        <v>31</v>
      </c>
      <c r="E3355">
        <v>2</v>
      </c>
      <c r="F3355" t="s">
        <v>10</v>
      </c>
      <c r="G3355" t="str" cm="1">
        <f t="array" ref="G3355">FindCountryName(F3355)</f>
        <v>None</v>
      </c>
      <c r="H3355" s="3">
        <v>45158.657604166663</v>
      </c>
      <c r="I3355" s="3">
        <v>45158.657604166663</v>
      </c>
      <c r="J3355" s="3">
        <v>42845.288958333331</v>
      </c>
      <c r="K3355" cm="1">
        <f t="array" ref="K3355">sentimentCalc(C3355)</f>
        <v>3</v>
      </c>
      <c r="L3355" t="str" cm="1">
        <f t="array" ref="L3355">sentimentCategory(K3355)</f>
        <v>Positive</v>
      </c>
    </row>
    <row r="3356" spans="1:12" x14ac:dyDescent="0.25">
      <c r="A3356" t="s">
        <v>2454</v>
      </c>
      <c r="B3356" t="s">
        <v>3538</v>
      </c>
      <c r="C3356" t="str" cm="1">
        <f t="array" ref="C3356">CleanText(B3356)</f>
        <v>you have to give it to the marketing team they hid the wokism pretty well marketing budget was bigger than movie budget and it was better than the movie itself lolpatriarchy wins at the end for this movie because barbie went back to it real world and the cast director took a womans job and gave it to a man barbie doctor is played by a man identifying as a woman</v>
      </c>
      <c r="D3356">
        <v>0</v>
      </c>
      <c r="E3356">
        <v>0</v>
      </c>
      <c r="F3356" t="s">
        <v>10</v>
      </c>
      <c r="G3356" t="str" cm="1">
        <f t="array" ref="G3356">FindCountryName(F3356)</f>
        <v>None</v>
      </c>
      <c r="H3356" s="3">
        <v>45147.684965277775</v>
      </c>
      <c r="I3356" s="3">
        <v>45147.684965277775</v>
      </c>
      <c r="J3356" s="3">
        <v>41014.946747685186</v>
      </c>
      <c r="K3356" cm="1">
        <f t="array" ref="K3356">sentimentCalc(C3356)</f>
        <v>6</v>
      </c>
      <c r="L3356" t="str" cm="1">
        <f t="array" ref="L3356">sentimentCategory(K3356)</f>
        <v>Positive</v>
      </c>
    </row>
    <row r="3357" spans="1:12" x14ac:dyDescent="0.25">
      <c r="A3357" t="s">
        <v>92</v>
      </c>
      <c r="B3357" t="s">
        <v>4428</v>
      </c>
      <c r="C3357" t="str" cm="1">
        <f t="array" ref="C3357">CleanText(B3357)</f>
        <v>you know on one side we have oppenheimer a true masterpiece of a movie made for real giga chads and we also have this</v>
      </c>
      <c r="D3357">
        <v>2</v>
      </c>
      <c r="E3357">
        <v>2</v>
      </c>
      <c r="F3357" t="s">
        <v>10</v>
      </c>
      <c r="G3357" t="str" cm="1">
        <f t="array" ref="G3357">FindCountryName(F3357)</f>
        <v>None</v>
      </c>
      <c r="H3357" s="3">
        <v>45140.314421296294</v>
      </c>
      <c r="I3357" s="3">
        <v>45140.314421296294</v>
      </c>
      <c r="J3357" s="3">
        <v>44001.725949074076</v>
      </c>
      <c r="K3357" cm="1">
        <f t="array" ref="K3357">sentimentCalc(C3357)</f>
        <v>6</v>
      </c>
      <c r="L3357" t="str" cm="1">
        <f t="array" ref="L3357">sentimentCategory(K3357)</f>
        <v>Positive</v>
      </c>
    </row>
    <row r="3358" spans="1:12" x14ac:dyDescent="0.25">
      <c r="A3358" t="s">
        <v>1060</v>
      </c>
      <c r="B3358" t="s">
        <v>1061</v>
      </c>
      <c r="C3358" t="str" cm="1">
        <f t="array" ref="C3358">CleanText(B3358)</f>
        <v>you know what i love about this movie they kept barbie and ken white i am so tired of all these race swaps they kept to the original character it was so nice to see a movie that didnt pander to different races mind you i am a spanish woman and i love when stories are kept and characters are kept with their original forms also they had all types of races here</v>
      </c>
      <c r="D3358">
        <v>0</v>
      </c>
      <c r="E3358">
        <v>1</v>
      </c>
      <c r="F3358" t="s">
        <v>10</v>
      </c>
      <c r="G3358" t="str" cm="1">
        <f t="array" ref="G3358">FindCountryName(F3358)</f>
        <v>None</v>
      </c>
      <c r="H3358" s="3">
        <v>45296.338229166664</v>
      </c>
      <c r="I3358" s="3">
        <v>45296.338576388887</v>
      </c>
      <c r="J3358" s="3">
        <v>39216.564953703702</v>
      </c>
      <c r="K3358" cm="1">
        <f t="array" ref="K3358">sentimentCalc(C3358)</f>
        <v>7</v>
      </c>
      <c r="L3358" t="str" cm="1">
        <f t="array" ref="L3358">sentimentCategory(K3358)</f>
        <v>Positive</v>
      </c>
    </row>
    <row r="3359" spans="1:12" x14ac:dyDescent="0.25">
      <c r="A3359" t="s">
        <v>2105</v>
      </c>
      <c r="B3359" t="s">
        <v>3521</v>
      </c>
      <c r="C3359" t="str" cm="1">
        <f t="array" ref="C3359">CleanText(B3359)</f>
        <v>you know why barbie is never pregnant because ken comes in another box</v>
      </c>
      <c r="D3359">
        <v>0</v>
      </c>
      <c r="E3359">
        <v>0</v>
      </c>
      <c r="F3359" t="s">
        <v>10</v>
      </c>
      <c r="G3359" t="str" cm="1">
        <f t="array" ref="G3359">FindCountryName(F3359)</f>
        <v>None</v>
      </c>
      <c r="H3359" s="3">
        <v>45147.940208333333</v>
      </c>
      <c r="I3359" s="3">
        <v>45147.940208333333</v>
      </c>
      <c r="J3359" s="3">
        <v>39483.546585648146</v>
      </c>
      <c r="K3359" cm="1">
        <f t="array" ref="K3359">sentimentCalc(C3359)</f>
        <v>0</v>
      </c>
      <c r="L3359" t="str" cm="1">
        <f t="array" ref="L3359">sentimentCategory(K3359)</f>
        <v>Neutral</v>
      </c>
    </row>
    <row r="3360" spans="1:12" x14ac:dyDescent="0.25">
      <c r="A3360" t="s">
        <v>1114</v>
      </c>
      <c r="B3360" t="s">
        <v>1308</v>
      </c>
      <c r="C3360" t="str" cm="1">
        <f t="array" ref="C3360">CleanText(B3360)</f>
        <v>you need to pay me minium  bucks for watching this and lost an evening with friends dogs beer or a good book alone barbie ppffff even i was little girl i played to soccer boxing stunts with bikes and the barbie of my sis finished with shaved head and a green crest</v>
      </c>
      <c r="D3360">
        <v>4</v>
      </c>
      <c r="E3360">
        <v>6</v>
      </c>
      <c r="F3360" t="s">
        <v>10</v>
      </c>
      <c r="G3360" t="str" cm="1">
        <f t="array" ref="G3360">FindCountryName(F3360)</f>
        <v>None</v>
      </c>
      <c r="H3360" s="3">
        <v>45250.242638888885</v>
      </c>
      <c r="I3360" s="3">
        <v>45250.242638888885</v>
      </c>
      <c r="J3360" s="3">
        <v>41878.786053240743</v>
      </c>
      <c r="K3360" cm="1">
        <f t="array" ref="K3360">sentimentCalc(C3360)</f>
        <v>-3</v>
      </c>
      <c r="L3360" t="str" cm="1">
        <f t="array" ref="L3360">sentimentCategory(K3360)</f>
        <v>Negative</v>
      </c>
    </row>
    <row r="3361" spans="1:12" x14ac:dyDescent="0.25">
      <c r="A3361" t="s">
        <v>2403</v>
      </c>
      <c r="B3361" t="s">
        <v>2924</v>
      </c>
      <c r="C3361" t="str" cm="1">
        <f t="array" ref="C3361">CleanText(B3361)</f>
        <v>you ruined my childhood barbie should be played by a real woman i will never watch the movie what is wrong with the world we are lost hopefully we are still few sane people i am happy there are older movies as cartooon</v>
      </c>
      <c r="D3361">
        <v>0</v>
      </c>
      <c r="E3361">
        <v>2</v>
      </c>
      <c r="F3361" t="s">
        <v>10</v>
      </c>
      <c r="G3361" t="str" cm="1">
        <f t="array" ref="G3361">FindCountryName(F3361)</f>
        <v>None</v>
      </c>
      <c r="H3361" s="3">
        <v>45155.834699074076</v>
      </c>
      <c r="I3361" s="3">
        <v>45155.834699074076</v>
      </c>
      <c r="J3361" s="3">
        <v>40194.699930555558</v>
      </c>
      <c r="K3361" cm="1">
        <f t="array" ref="K3361">sentimentCalc(C3361)</f>
        <v>-2</v>
      </c>
      <c r="L3361" t="str" cm="1">
        <f t="array" ref="L3361">sentimentCategory(K3361)</f>
        <v>Negative</v>
      </c>
    </row>
    <row r="3362" spans="1:12" x14ac:dyDescent="0.25">
      <c r="A3362" t="s">
        <v>322</v>
      </c>
      <c r="B3362" t="s">
        <v>4334</v>
      </c>
      <c r="C3362" t="str" cm="1">
        <f t="array" ref="C3362">CleanText(B3362)</f>
        <v>youre kenough</v>
      </c>
      <c r="D3362">
        <v>0</v>
      </c>
      <c r="E3362">
        <v>0</v>
      </c>
      <c r="F3362" t="s">
        <v>10</v>
      </c>
      <c r="G3362" t="str" cm="1">
        <f t="array" ref="G3362">FindCountryName(F3362)</f>
        <v>None</v>
      </c>
      <c r="H3362" s="3">
        <v>45140.880300925928</v>
      </c>
      <c r="I3362" s="3">
        <v>45140.880300925928</v>
      </c>
      <c r="J3362" s="3">
        <v>43341.966423611113</v>
      </c>
      <c r="K3362" cm="1">
        <f t="array" ref="K3362">sentimentCalc(C3362)</f>
        <v>0</v>
      </c>
      <c r="L3362" t="str" cm="1">
        <f t="array" ref="L3362">sentimentCategory(K3362)</f>
        <v>Neutral</v>
      </c>
    </row>
    <row r="3363" spans="1:12" x14ac:dyDescent="0.25">
      <c r="A3363" t="s">
        <v>1905</v>
      </c>
      <c r="B3363" t="s">
        <v>4160</v>
      </c>
      <c r="C3363" t="str" cm="1">
        <f t="array" ref="C3363">CleanText(B3363)</f>
        <v>youve managed good to show a world from womens outlook point of viewrespect for this</v>
      </c>
      <c r="D3363">
        <v>0</v>
      </c>
      <c r="E3363">
        <v>1</v>
      </c>
      <c r="F3363" t="s">
        <v>10</v>
      </c>
      <c r="G3363" t="str" cm="1">
        <f t="array" ref="G3363">FindCountryName(F3363)</f>
        <v>None</v>
      </c>
      <c r="H3363" s="3">
        <v>45142.409004629626</v>
      </c>
      <c r="I3363" s="3">
        <v>45142.409004629626</v>
      </c>
      <c r="J3363" s="3">
        <v>45135.660671296297</v>
      </c>
      <c r="K3363" cm="1">
        <f t="array" ref="K3363">sentimentCalc(C3363)</f>
        <v>3</v>
      </c>
      <c r="L3363" t="str" cm="1">
        <f t="array" ref="L3363">sentimentCategory(K3363)</f>
        <v>Positive</v>
      </c>
    </row>
    <row r="3364" spans="1:12" x14ac:dyDescent="0.25">
      <c r="A3364" t="s">
        <v>322</v>
      </c>
      <c r="B3364" t="s">
        <v>2412</v>
      </c>
      <c r="C3364" t="str" cm="1">
        <f t="array" ref="C3364">CleanText(B3364)</f>
        <v>yup i did heed barbie</v>
      </c>
      <c r="D3364">
        <v>0</v>
      </c>
      <c r="E3364">
        <v>0</v>
      </c>
      <c r="F3364" t="s">
        <v>10</v>
      </c>
      <c r="G3364" t="str" cm="1">
        <f t="array" ref="G3364">FindCountryName(F3364)</f>
        <v>None</v>
      </c>
      <c r="H3364" s="3">
        <v>45168.363680555558</v>
      </c>
      <c r="I3364" s="3">
        <v>45168.363680555558</v>
      </c>
      <c r="J3364" s="3">
        <v>43777.991898148146</v>
      </c>
      <c r="K3364" cm="1">
        <f t="array" ref="K3364">sentimentCalc(C3364)</f>
        <v>0</v>
      </c>
      <c r="L3364" t="str" cm="1">
        <f t="array" ref="L3364">sentimentCategory(K3364)</f>
        <v>Neutral</v>
      </c>
    </row>
    <row r="3365" spans="1:12" x14ac:dyDescent="0.25">
      <c r="A3365" t="s">
        <v>184</v>
      </c>
      <c r="B3365" t="s">
        <v>1860</v>
      </c>
      <c r="C3365" t="str" cm="1">
        <f t="array" ref="C3365">CleanText(B3365)</f>
        <v>yvg fscgvk</v>
      </c>
      <c r="D3365">
        <v>0</v>
      </c>
      <c r="E3365">
        <v>0</v>
      </c>
      <c r="F3365" t="s">
        <v>10</v>
      </c>
      <c r="G3365" t="str" cm="1">
        <f t="array" ref="G3365">FindCountryName(F3365)</f>
        <v>None</v>
      </c>
      <c r="H3365" s="3">
        <v>45190.579293981478</v>
      </c>
      <c r="I3365" s="3">
        <v>45190.579293981478</v>
      </c>
      <c r="J3365" s="3">
        <v>45163.54241898148</v>
      </c>
      <c r="K3365" cm="1">
        <f t="array" ref="K3365">sentimentCalc(C3365)</f>
        <v>0</v>
      </c>
      <c r="L3365" t="str" cm="1">
        <f t="array" ref="L3365">sentimentCategory(K3365)</f>
        <v>Neutral</v>
      </c>
    </row>
    <row r="3366" spans="1:12" x14ac:dyDescent="0.25">
      <c r="A3366" t="s">
        <v>1384</v>
      </c>
      <c r="B3366" t="s">
        <v>2761</v>
      </c>
      <c r="C3366" t="str" cm="1">
        <f t="array" ref="C3366">CleanText(B3366)</f>
        <v>zbi siro twdo awlad lklab</v>
      </c>
      <c r="D3366">
        <v>0</v>
      </c>
      <c r="E3366">
        <v>0</v>
      </c>
      <c r="F3366" t="s">
        <v>10</v>
      </c>
      <c r="G3366" t="str" cm="1">
        <f t="array" ref="G3366">FindCountryName(F3366)</f>
        <v>None</v>
      </c>
      <c r="H3366" s="3">
        <v>45158.38689814815</v>
      </c>
      <c r="I3366" s="3">
        <v>45158.386886574073</v>
      </c>
      <c r="J3366" s="3">
        <v>44919.672164351854</v>
      </c>
      <c r="K3366" cm="1">
        <f t="array" ref="K3366">sentimentCalc(C3366)</f>
        <v>0</v>
      </c>
      <c r="L3366" t="str" cm="1">
        <f t="array" ref="L3366">sentimentCategory(K3366)</f>
        <v>Neutral</v>
      </c>
    </row>
    <row r="3367" spans="1:12" x14ac:dyDescent="0.25">
      <c r="A3367" t="s">
        <v>211</v>
      </c>
      <c r="B3367" t="s">
        <v>1365</v>
      </c>
      <c r="C3367" t="str" cm="1">
        <f t="array" ref="C3367">CleanText(B3367)</f>
        <v>ziurke</v>
      </c>
      <c r="D3367">
        <v>0</v>
      </c>
      <c r="E3367">
        <v>0</v>
      </c>
      <c r="F3367" t="s">
        <v>10</v>
      </c>
      <c r="G3367" t="str" cm="1">
        <f t="array" ref="G3367">FindCountryName(F3367)</f>
        <v>None</v>
      </c>
      <c r="H3367" s="3">
        <v>45239.112824074073</v>
      </c>
      <c r="I3367" s="3">
        <v>45239.112824074073</v>
      </c>
      <c r="J3367" s="3">
        <v>43268.48878472222</v>
      </c>
      <c r="K3367" cm="1">
        <f t="array" ref="K3367">sentimentCalc(C3367)</f>
        <v>0</v>
      </c>
      <c r="L3367" t="str" cm="1">
        <f t="array" ref="L3367">sentimentCategory(K3367)</f>
        <v>Neutral</v>
      </c>
    </row>
  </sheetData>
  <sortState xmlns:xlrd2="http://schemas.microsoft.com/office/spreadsheetml/2017/richdata2" ref="A2:J3501">
    <sortCondition ref="B1:B350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250"/>
  <sheetViews>
    <sheetView topLeftCell="A169" zoomScale="115" zoomScaleNormal="115" workbookViewId="0">
      <selection activeCell="A112" sqref="A112"/>
    </sheetView>
  </sheetViews>
  <sheetFormatPr defaultRowHeight="15" x14ac:dyDescent="0.25"/>
  <cols>
    <col min="1" max="1" width="53.5703125" bestFit="1" customWidth="1"/>
    <col min="2" max="2" width="13.140625" bestFit="1" customWidth="1"/>
    <col min="3" max="3" width="16.28515625" bestFit="1" customWidth="1"/>
  </cols>
  <sheetData>
    <row r="1" spans="1:3" x14ac:dyDescent="0.25">
      <c r="A1" s="2" t="s">
        <v>4481</v>
      </c>
      <c r="B1" s="2" t="s">
        <v>4482</v>
      </c>
      <c r="C1" s="1" t="s">
        <v>7339</v>
      </c>
    </row>
    <row r="2" spans="1:3" x14ac:dyDescent="0.25">
      <c r="A2" t="s">
        <v>4483</v>
      </c>
      <c r="B2" t="s">
        <v>4484</v>
      </c>
      <c r="C2">
        <f>COUNTIF(Data!G2:G3367, A2)</f>
        <v>0</v>
      </c>
    </row>
    <row r="3" spans="1:3" x14ac:dyDescent="0.25">
      <c r="A3" t="s">
        <v>4485</v>
      </c>
      <c r="B3" t="s">
        <v>4486</v>
      </c>
      <c r="C3">
        <f>COUNTIF(Data!G3:G3368, A3)</f>
        <v>0</v>
      </c>
    </row>
    <row r="4" spans="1:3" x14ac:dyDescent="0.25">
      <c r="A4" t="s">
        <v>4487</v>
      </c>
      <c r="B4" t="s">
        <v>3137</v>
      </c>
      <c r="C4">
        <f>COUNTIF(Data!G4:G3369, A4)</f>
        <v>1</v>
      </c>
    </row>
    <row r="5" spans="1:3" x14ac:dyDescent="0.25">
      <c r="A5" t="s">
        <v>4488</v>
      </c>
      <c r="B5" t="s">
        <v>4489</v>
      </c>
      <c r="C5">
        <f>COUNTIF(Data!G5:G3370, A5)</f>
        <v>0</v>
      </c>
    </row>
    <row r="6" spans="1:3" x14ac:dyDescent="0.25">
      <c r="A6" t="s">
        <v>4490</v>
      </c>
      <c r="B6" t="s">
        <v>4491</v>
      </c>
      <c r="C6">
        <f>COUNTIF(Data!G6:G3371, A6)</f>
        <v>0</v>
      </c>
    </row>
    <row r="7" spans="1:3" x14ac:dyDescent="0.25">
      <c r="A7" t="s">
        <v>4492</v>
      </c>
      <c r="B7" t="s">
        <v>4493</v>
      </c>
      <c r="C7">
        <f>COUNTIF(Data!G7:G3372, A7)</f>
        <v>0</v>
      </c>
    </row>
    <row r="8" spans="1:3" x14ac:dyDescent="0.25">
      <c r="A8" t="s">
        <v>4494</v>
      </c>
      <c r="B8" t="s">
        <v>4495</v>
      </c>
      <c r="C8">
        <f>COUNTIF(Data!G8:G3373, A8)</f>
        <v>0</v>
      </c>
    </row>
    <row r="9" spans="1:3" x14ac:dyDescent="0.25">
      <c r="A9" t="s">
        <v>4496</v>
      </c>
      <c r="B9" t="s">
        <v>4497</v>
      </c>
      <c r="C9">
        <f>COUNTIF(Data!G9:G3374, A9)</f>
        <v>0</v>
      </c>
    </row>
    <row r="10" spans="1:3" x14ac:dyDescent="0.25">
      <c r="A10" t="s">
        <v>4498</v>
      </c>
      <c r="B10" t="s">
        <v>4499</v>
      </c>
      <c r="C10">
        <f>COUNTIF(Data!G10:G3375, A10)</f>
        <v>0</v>
      </c>
    </row>
    <row r="11" spans="1:3" x14ac:dyDescent="0.25">
      <c r="A11" t="s">
        <v>4500</v>
      </c>
      <c r="B11" t="s">
        <v>2066</v>
      </c>
      <c r="C11">
        <f>COUNTIF(Data!G11:G3376, A11)</f>
        <v>2</v>
      </c>
    </row>
    <row r="12" spans="1:3" x14ac:dyDescent="0.25">
      <c r="A12" t="s">
        <v>4501</v>
      </c>
      <c r="B12" t="s">
        <v>4502</v>
      </c>
      <c r="C12">
        <f>COUNTIF(Data!G12:G3377, A12)</f>
        <v>0</v>
      </c>
    </row>
    <row r="13" spans="1:3" x14ac:dyDescent="0.25">
      <c r="A13" t="s">
        <v>4503</v>
      </c>
      <c r="B13" t="s">
        <v>4504</v>
      </c>
      <c r="C13">
        <f>COUNTIF(Data!G13:G3378, A13)</f>
        <v>0</v>
      </c>
    </row>
    <row r="14" spans="1:3" x14ac:dyDescent="0.25">
      <c r="A14" t="s">
        <v>4505</v>
      </c>
      <c r="B14" t="s">
        <v>845</v>
      </c>
      <c r="C14">
        <f>COUNTIF(Data!G14:G3379, A14)</f>
        <v>12</v>
      </c>
    </row>
    <row r="15" spans="1:3" x14ac:dyDescent="0.25">
      <c r="A15" t="s">
        <v>4506</v>
      </c>
      <c r="B15" t="s">
        <v>1585</v>
      </c>
      <c r="C15">
        <f>COUNTIF(Data!G15:G3380, A15)</f>
        <v>1</v>
      </c>
    </row>
    <row r="16" spans="1:3" x14ac:dyDescent="0.25">
      <c r="A16" t="s">
        <v>4507</v>
      </c>
      <c r="B16" t="s">
        <v>1611</v>
      </c>
      <c r="C16">
        <f>COUNTIF(Data!G16:G3381, A16)</f>
        <v>4</v>
      </c>
    </row>
    <row r="17" spans="1:3" x14ac:dyDescent="0.25">
      <c r="A17" t="s">
        <v>4508</v>
      </c>
      <c r="B17" t="s">
        <v>4509</v>
      </c>
      <c r="C17">
        <f>COUNTIF(Data!G17:G3382, A17)</f>
        <v>0</v>
      </c>
    </row>
    <row r="18" spans="1:3" x14ac:dyDescent="0.25">
      <c r="A18" t="s">
        <v>4510</v>
      </c>
      <c r="B18" t="s">
        <v>4511</v>
      </c>
      <c r="C18">
        <f>COUNTIF(Data!G18:G3383, A18)</f>
        <v>0</v>
      </c>
    </row>
    <row r="19" spans="1:3" x14ac:dyDescent="0.25">
      <c r="A19" t="s">
        <v>4512</v>
      </c>
      <c r="B19" t="s">
        <v>1104</v>
      </c>
      <c r="C19">
        <f>COUNTIF(Data!G19:G3384, A19)</f>
        <v>4</v>
      </c>
    </row>
    <row r="20" spans="1:3" x14ac:dyDescent="0.25">
      <c r="A20" t="s">
        <v>4513</v>
      </c>
      <c r="B20" t="s">
        <v>4514</v>
      </c>
      <c r="C20">
        <f>COUNTIF(Data!G20:G3385, A20)</f>
        <v>0</v>
      </c>
    </row>
    <row r="21" spans="1:3" x14ac:dyDescent="0.25">
      <c r="A21" t="s">
        <v>4515</v>
      </c>
      <c r="B21" t="s">
        <v>3623</v>
      </c>
      <c r="C21">
        <f>COUNTIF(Data!G21:G3386, A21)</f>
        <v>1</v>
      </c>
    </row>
    <row r="22" spans="1:3" x14ac:dyDescent="0.25">
      <c r="A22" t="s">
        <v>4516</v>
      </c>
      <c r="B22" t="s">
        <v>1373</v>
      </c>
      <c r="C22">
        <f>COUNTIF(Data!G22:G3387, A22)</f>
        <v>2</v>
      </c>
    </row>
    <row r="23" spans="1:3" x14ac:dyDescent="0.25">
      <c r="A23" t="s">
        <v>4517</v>
      </c>
      <c r="B23" t="s">
        <v>4518</v>
      </c>
      <c r="C23">
        <f>COUNTIF(Data!G23:G3388, A23)</f>
        <v>0</v>
      </c>
    </row>
    <row r="24" spans="1:3" x14ac:dyDescent="0.25">
      <c r="A24" t="s">
        <v>4519</v>
      </c>
      <c r="B24" t="s">
        <v>4520</v>
      </c>
      <c r="C24">
        <f>COUNTIF(Data!G24:G3389, A24)</f>
        <v>0</v>
      </c>
    </row>
    <row r="25" spans="1:3" x14ac:dyDescent="0.25">
      <c r="A25" t="s">
        <v>4521</v>
      </c>
      <c r="B25" t="s">
        <v>4522</v>
      </c>
      <c r="C25">
        <f>COUNTIF(Data!G25:G3390, A25)</f>
        <v>0</v>
      </c>
    </row>
    <row r="26" spans="1:3" x14ac:dyDescent="0.25">
      <c r="A26" t="s">
        <v>4523</v>
      </c>
      <c r="B26" t="s">
        <v>4524</v>
      </c>
      <c r="C26">
        <f>COUNTIF(Data!G26:G3391, A26)</f>
        <v>0</v>
      </c>
    </row>
    <row r="27" spans="1:3" x14ac:dyDescent="0.25">
      <c r="A27" t="s">
        <v>4525</v>
      </c>
      <c r="B27" t="s">
        <v>4526</v>
      </c>
      <c r="C27">
        <f>COUNTIF(Data!G27:G3392, A27)</f>
        <v>0</v>
      </c>
    </row>
    <row r="28" spans="1:3" x14ac:dyDescent="0.25">
      <c r="A28" t="s">
        <v>4527</v>
      </c>
      <c r="B28" t="s">
        <v>4528</v>
      </c>
      <c r="C28">
        <f>COUNTIF(Data!G28:G3393, A28)</f>
        <v>0</v>
      </c>
    </row>
    <row r="29" spans="1:3" x14ac:dyDescent="0.25">
      <c r="A29" t="s">
        <v>4529</v>
      </c>
      <c r="B29" t="s">
        <v>4282</v>
      </c>
      <c r="C29">
        <f>COUNTIF(Data!G29:G3394, A29)</f>
        <v>1</v>
      </c>
    </row>
    <row r="30" spans="1:3" x14ac:dyDescent="0.25">
      <c r="A30" t="s">
        <v>4530</v>
      </c>
      <c r="B30" t="s">
        <v>4531</v>
      </c>
      <c r="C30">
        <f>COUNTIF(Data!G30:G3395, A30)</f>
        <v>0</v>
      </c>
    </row>
    <row r="31" spans="1:3" x14ac:dyDescent="0.25">
      <c r="A31" t="s">
        <v>4532</v>
      </c>
      <c r="B31" t="s">
        <v>4533</v>
      </c>
      <c r="C31">
        <f>COUNTIF(Data!G31:G3396, A31)</f>
        <v>0</v>
      </c>
    </row>
    <row r="32" spans="1:3" x14ac:dyDescent="0.25">
      <c r="A32" t="s">
        <v>4534</v>
      </c>
      <c r="B32" t="s">
        <v>1350</v>
      </c>
      <c r="C32">
        <f>COUNTIF(Data!G32:G3397, A32)</f>
        <v>9</v>
      </c>
    </row>
    <row r="33" spans="1:3" x14ac:dyDescent="0.25">
      <c r="A33" t="s">
        <v>4535</v>
      </c>
      <c r="B33" t="s">
        <v>4536</v>
      </c>
      <c r="C33">
        <f>COUNTIF(Data!G33:G3398, A33)</f>
        <v>0</v>
      </c>
    </row>
    <row r="34" spans="1:3" x14ac:dyDescent="0.25">
      <c r="A34" t="s">
        <v>4537</v>
      </c>
      <c r="B34" t="s">
        <v>4538</v>
      </c>
      <c r="C34">
        <f>COUNTIF(Data!G34:G3399, A34)</f>
        <v>0</v>
      </c>
    </row>
    <row r="35" spans="1:3" x14ac:dyDescent="0.25">
      <c r="A35" t="s">
        <v>4539</v>
      </c>
      <c r="B35" t="s">
        <v>2013</v>
      </c>
      <c r="C35">
        <f>COUNTIF(Data!G35:G3400, A35)</f>
        <v>1</v>
      </c>
    </row>
    <row r="36" spans="1:3" x14ac:dyDescent="0.25">
      <c r="A36" t="s">
        <v>4540</v>
      </c>
      <c r="B36" t="s">
        <v>4541</v>
      </c>
      <c r="C36">
        <f>COUNTIF(Data!G36:G3401, A36)</f>
        <v>0</v>
      </c>
    </row>
    <row r="37" spans="1:3" x14ac:dyDescent="0.25">
      <c r="A37" t="s">
        <v>4542</v>
      </c>
      <c r="B37" t="s">
        <v>4543</v>
      </c>
      <c r="C37">
        <f>COUNTIF(Data!G37:G3402, A37)</f>
        <v>0</v>
      </c>
    </row>
    <row r="38" spans="1:3" x14ac:dyDescent="0.25">
      <c r="A38" t="s">
        <v>4544</v>
      </c>
      <c r="B38" t="s">
        <v>4545</v>
      </c>
      <c r="C38">
        <f>COUNTIF(Data!G38:G3403, A38)</f>
        <v>0</v>
      </c>
    </row>
    <row r="39" spans="1:3" x14ac:dyDescent="0.25">
      <c r="A39" t="s">
        <v>4546</v>
      </c>
      <c r="B39" t="s">
        <v>4547</v>
      </c>
      <c r="C39">
        <f>COUNTIF(Data!G39:G3404, A39)</f>
        <v>0</v>
      </c>
    </row>
    <row r="40" spans="1:3" x14ac:dyDescent="0.25">
      <c r="A40" t="s">
        <v>4548</v>
      </c>
      <c r="B40" t="s">
        <v>4549</v>
      </c>
      <c r="C40">
        <f>COUNTIF(Data!G40:G3405, A40)</f>
        <v>0</v>
      </c>
    </row>
    <row r="41" spans="1:3" x14ac:dyDescent="0.25">
      <c r="A41" t="s">
        <v>4550</v>
      </c>
      <c r="B41" t="s">
        <v>628</v>
      </c>
      <c r="C41">
        <f>COUNTIF(Data!G41:G3406, A41)</f>
        <v>6</v>
      </c>
    </row>
    <row r="42" spans="1:3" x14ac:dyDescent="0.25">
      <c r="A42" t="s">
        <v>4551</v>
      </c>
      <c r="B42" t="s">
        <v>4552</v>
      </c>
      <c r="C42">
        <f>COUNTIF(Data!G42:G3407, A42)</f>
        <v>0</v>
      </c>
    </row>
    <row r="43" spans="1:3" x14ac:dyDescent="0.25">
      <c r="A43" t="s">
        <v>4553</v>
      </c>
      <c r="B43" t="s">
        <v>4554</v>
      </c>
      <c r="C43">
        <f>COUNTIF(Data!G43:G3408, A43)</f>
        <v>0</v>
      </c>
    </row>
    <row r="44" spans="1:3" x14ac:dyDescent="0.25">
      <c r="A44" t="s">
        <v>4555</v>
      </c>
      <c r="B44" t="s">
        <v>4556</v>
      </c>
      <c r="C44">
        <f>COUNTIF(Data!G44:G3409, A44)</f>
        <v>0</v>
      </c>
    </row>
    <row r="45" spans="1:3" x14ac:dyDescent="0.25">
      <c r="A45" t="s">
        <v>4557</v>
      </c>
      <c r="B45" t="s">
        <v>4558</v>
      </c>
      <c r="C45">
        <f>COUNTIF(Data!G45:G3410, A45)</f>
        <v>0</v>
      </c>
    </row>
    <row r="46" spans="1:3" x14ac:dyDescent="0.25">
      <c r="A46" t="s">
        <v>4559</v>
      </c>
      <c r="B46" t="s">
        <v>4560</v>
      </c>
      <c r="C46">
        <f>COUNTIF(Data!G46:G3411, A46)</f>
        <v>0</v>
      </c>
    </row>
    <row r="47" spans="1:3" x14ac:dyDescent="0.25">
      <c r="A47" t="s">
        <v>4561</v>
      </c>
      <c r="B47" t="s">
        <v>4562</v>
      </c>
      <c r="C47">
        <f>COUNTIF(Data!G47:G3412, A47)</f>
        <v>0</v>
      </c>
    </row>
    <row r="48" spans="1:3" x14ac:dyDescent="0.25">
      <c r="A48" t="s">
        <v>4563</v>
      </c>
      <c r="B48" t="s">
        <v>4564</v>
      </c>
      <c r="C48">
        <f>COUNTIF(Data!G48:G3413, A48)</f>
        <v>0</v>
      </c>
    </row>
    <row r="49" spans="1:3" x14ac:dyDescent="0.25">
      <c r="A49" t="s">
        <v>4565</v>
      </c>
      <c r="B49" t="s">
        <v>4566</v>
      </c>
      <c r="C49">
        <f>COUNTIF(Data!G49:G3414, A49)</f>
        <v>0</v>
      </c>
    </row>
    <row r="50" spans="1:3" x14ac:dyDescent="0.25">
      <c r="A50" t="s">
        <v>4567</v>
      </c>
      <c r="B50" t="s">
        <v>4568</v>
      </c>
      <c r="C50">
        <f>COUNTIF(Data!G50:G3415, A50)</f>
        <v>0</v>
      </c>
    </row>
    <row r="51" spans="1:3" x14ac:dyDescent="0.25">
      <c r="A51" t="s">
        <v>4569</v>
      </c>
      <c r="B51" t="s">
        <v>4570</v>
      </c>
      <c r="C51">
        <f>COUNTIF(Data!G51:G3416, A51)</f>
        <v>0</v>
      </c>
    </row>
    <row r="52" spans="1:3" x14ac:dyDescent="0.25">
      <c r="A52" t="s">
        <v>4571</v>
      </c>
      <c r="B52" t="s">
        <v>4572</v>
      </c>
      <c r="C52">
        <f>COUNTIF(Data!G52:G3417, A52)</f>
        <v>0</v>
      </c>
    </row>
    <row r="53" spans="1:3" x14ac:dyDescent="0.25">
      <c r="A53" t="s">
        <v>4573</v>
      </c>
      <c r="B53" t="s">
        <v>4574</v>
      </c>
      <c r="C53">
        <f>COUNTIF(Data!G53:G3418, A53)</f>
        <v>0</v>
      </c>
    </row>
    <row r="54" spans="1:3" x14ac:dyDescent="0.25">
      <c r="A54" t="s">
        <v>4575</v>
      </c>
      <c r="B54" t="s">
        <v>4576</v>
      </c>
      <c r="C54">
        <f>COUNTIF(Data!G54:G3419, A54)</f>
        <v>0</v>
      </c>
    </row>
    <row r="55" spans="1:3" x14ac:dyDescent="0.25">
      <c r="A55" t="s">
        <v>4577</v>
      </c>
      <c r="B55" t="s">
        <v>3305</v>
      </c>
      <c r="C55">
        <f>COUNTIF(Data!G55:G3420, A55)</f>
        <v>2</v>
      </c>
    </row>
    <row r="56" spans="1:3" x14ac:dyDescent="0.25">
      <c r="A56" t="s">
        <v>4578</v>
      </c>
      <c r="B56" t="s">
        <v>4579</v>
      </c>
      <c r="C56">
        <f>COUNTIF(Data!G56:G3421, A56)</f>
        <v>0</v>
      </c>
    </row>
    <row r="57" spans="1:3" x14ac:dyDescent="0.25">
      <c r="A57" t="s">
        <v>4580</v>
      </c>
      <c r="B57" t="s">
        <v>4581</v>
      </c>
      <c r="C57">
        <f>COUNTIF(Data!G57:G3422, A57)</f>
        <v>0</v>
      </c>
    </row>
    <row r="58" spans="1:3" x14ac:dyDescent="0.25">
      <c r="A58" t="s">
        <v>4582</v>
      </c>
      <c r="B58" t="s">
        <v>4583</v>
      </c>
      <c r="C58">
        <f>COUNTIF(Data!G58:G3423, A58)</f>
        <v>0</v>
      </c>
    </row>
    <row r="59" spans="1:3" x14ac:dyDescent="0.25">
      <c r="A59" t="s">
        <v>4584</v>
      </c>
      <c r="B59" t="s">
        <v>4585</v>
      </c>
      <c r="C59">
        <f>COUNTIF(Data!G59:G3424, A59)</f>
        <v>0</v>
      </c>
    </row>
    <row r="60" spans="1:3" x14ac:dyDescent="0.25">
      <c r="A60" t="s">
        <v>4586</v>
      </c>
      <c r="B60" t="s">
        <v>4587</v>
      </c>
      <c r="C60">
        <f>COUNTIF(Data!G60:G3425, A60)</f>
        <v>0</v>
      </c>
    </row>
    <row r="61" spans="1:3" x14ac:dyDescent="0.25">
      <c r="A61" t="s">
        <v>4588</v>
      </c>
      <c r="B61" t="s">
        <v>4589</v>
      </c>
      <c r="C61">
        <f>COUNTIF(Data!G61:G3426, A61)</f>
        <v>0</v>
      </c>
    </row>
    <row r="62" spans="1:3" x14ac:dyDescent="0.25">
      <c r="A62" t="s">
        <v>4590</v>
      </c>
      <c r="B62" t="s">
        <v>4591</v>
      </c>
      <c r="C62">
        <f>COUNTIF(Data!G62:G3427, A62)</f>
        <v>0</v>
      </c>
    </row>
    <row r="63" spans="1:3" x14ac:dyDescent="0.25">
      <c r="A63" t="s">
        <v>4592</v>
      </c>
      <c r="B63" t="s">
        <v>4593</v>
      </c>
      <c r="C63">
        <f>COUNTIF(Data!G63:G3428, A63)</f>
        <v>0</v>
      </c>
    </row>
    <row r="64" spans="1:3" x14ac:dyDescent="0.25">
      <c r="A64" t="s">
        <v>4594</v>
      </c>
      <c r="B64" t="s">
        <v>4595</v>
      </c>
      <c r="C64">
        <f>COUNTIF(Data!G64:G3429, A64)</f>
        <v>0</v>
      </c>
    </row>
    <row r="65" spans="1:3" x14ac:dyDescent="0.25">
      <c r="A65" t="s">
        <v>4596</v>
      </c>
      <c r="B65" t="s">
        <v>4597</v>
      </c>
      <c r="C65">
        <f>COUNTIF(Data!G65:G3430, A65)</f>
        <v>0</v>
      </c>
    </row>
    <row r="66" spans="1:3" x14ac:dyDescent="0.25">
      <c r="A66" t="s">
        <v>4598</v>
      </c>
      <c r="B66" t="s">
        <v>2398</v>
      </c>
      <c r="C66">
        <f>COUNTIF(Data!G66:G3431, A66)</f>
        <v>3</v>
      </c>
    </row>
    <row r="67" spans="1:3" x14ac:dyDescent="0.25">
      <c r="A67" t="s">
        <v>4599</v>
      </c>
      <c r="B67" t="s">
        <v>4600</v>
      </c>
      <c r="C67">
        <f>COUNTIF(Data!G67:G3432, A67)</f>
        <v>0</v>
      </c>
    </row>
    <row r="68" spans="1:3" x14ac:dyDescent="0.25">
      <c r="A68" t="s">
        <v>4601</v>
      </c>
      <c r="B68" t="s">
        <v>4602</v>
      </c>
      <c r="C68">
        <f>COUNTIF(Data!G68:G3433, A68)</f>
        <v>0</v>
      </c>
    </row>
    <row r="69" spans="1:3" x14ac:dyDescent="0.25">
      <c r="A69" t="s">
        <v>4603</v>
      </c>
      <c r="B69" t="s">
        <v>4604</v>
      </c>
      <c r="C69">
        <f>COUNTIF(Data!G69:G3434, A69)</f>
        <v>0</v>
      </c>
    </row>
    <row r="70" spans="1:3" x14ac:dyDescent="0.25">
      <c r="A70" t="s">
        <v>4605</v>
      </c>
      <c r="B70" t="s">
        <v>4606</v>
      </c>
      <c r="C70">
        <f>COUNTIF(Data!G70:G3435, A70)</f>
        <v>0</v>
      </c>
    </row>
    <row r="71" spans="1:3" x14ac:dyDescent="0.25">
      <c r="A71" t="s">
        <v>4607</v>
      </c>
      <c r="B71" t="s">
        <v>4608</v>
      </c>
      <c r="C71">
        <f>COUNTIF(Data!G71:G3436, A71)</f>
        <v>0</v>
      </c>
    </row>
    <row r="72" spans="1:3" x14ac:dyDescent="0.25">
      <c r="A72" t="s">
        <v>4609</v>
      </c>
      <c r="B72" t="s">
        <v>4610</v>
      </c>
      <c r="C72">
        <f>COUNTIF(Data!G72:G3437, A72)</f>
        <v>0</v>
      </c>
    </row>
    <row r="73" spans="1:3" x14ac:dyDescent="0.25">
      <c r="A73" t="s">
        <v>4611</v>
      </c>
      <c r="B73" t="s">
        <v>4612</v>
      </c>
      <c r="C73">
        <f>COUNTIF(Data!G73:G3438, A73)</f>
        <v>0</v>
      </c>
    </row>
    <row r="74" spans="1:3" x14ac:dyDescent="0.25">
      <c r="A74" t="s">
        <v>4613</v>
      </c>
      <c r="B74" t="s">
        <v>4614</v>
      </c>
      <c r="C74">
        <f>COUNTIF(Data!G74:G3439, A74)</f>
        <v>0</v>
      </c>
    </row>
    <row r="75" spans="1:3" x14ac:dyDescent="0.25">
      <c r="A75" t="s">
        <v>4615</v>
      </c>
      <c r="B75" t="s">
        <v>4616</v>
      </c>
      <c r="C75">
        <f>COUNTIF(Data!G75:G3440, A75)</f>
        <v>0</v>
      </c>
    </row>
    <row r="76" spans="1:3" x14ac:dyDescent="0.25">
      <c r="A76" t="s">
        <v>4617</v>
      </c>
      <c r="B76" t="s">
        <v>4618</v>
      </c>
      <c r="C76">
        <f>COUNTIF(Data!G76:G3441, A76)</f>
        <v>0</v>
      </c>
    </row>
    <row r="77" spans="1:3" x14ac:dyDescent="0.25">
      <c r="A77" t="s">
        <v>4619</v>
      </c>
      <c r="B77" t="s">
        <v>147</v>
      </c>
      <c r="C77">
        <f>COUNTIF(Data!G77:G3442, A77)</f>
        <v>8</v>
      </c>
    </row>
    <row r="78" spans="1:3" x14ac:dyDescent="0.25">
      <c r="A78" t="s">
        <v>4620</v>
      </c>
      <c r="B78" t="s">
        <v>4621</v>
      </c>
      <c r="C78">
        <f>COUNTIF(Data!G78:G3443, A78)</f>
        <v>0</v>
      </c>
    </row>
    <row r="79" spans="1:3" x14ac:dyDescent="0.25">
      <c r="A79" t="s">
        <v>4622</v>
      </c>
      <c r="B79" t="s">
        <v>4623</v>
      </c>
      <c r="C79">
        <f>COUNTIF(Data!G79:G3444, A79)</f>
        <v>0</v>
      </c>
    </row>
    <row r="80" spans="1:3" x14ac:dyDescent="0.25">
      <c r="A80" t="s">
        <v>4624</v>
      </c>
      <c r="B80" t="s">
        <v>4625</v>
      </c>
      <c r="C80">
        <f>COUNTIF(Data!G80:G3445, A80)</f>
        <v>0</v>
      </c>
    </row>
    <row r="81" spans="1:3" x14ac:dyDescent="0.25">
      <c r="A81" t="s">
        <v>4626</v>
      </c>
      <c r="B81" t="s">
        <v>4627</v>
      </c>
      <c r="C81">
        <f>COUNTIF(Data!G81:G3446, A81)</f>
        <v>0</v>
      </c>
    </row>
    <row r="82" spans="1:3" x14ac:dyDescent="0.25">
      <c r="A82" t="s">
        <v>4628</v>
      </c>
      <c r="B82" t="s">
        <v>4629</v>
      </c>
      <c r="C82">
        <f>COUNTIF(Data!G82:G3447, A82)</f>
        <v>0</v>
      </c>
    </row>
    <row r="83" spans="1:3" x14ac:dyDescent="0.25">
      <c r="A83" t="s">
        <v>4630</v>
      </c>
      <c r="B83" t="s">
        <v>3470</v>
      </c>
      <c r="C83">
        <f>COUNTIF(Data!G83:G3448, A83)</f>
        <v>1</v>
      </c>
    </row>
    <row r="84" spans="1:3" x14ac:dyDescent="0.25">
      <c r="A84" t="s">
        <v>4631</v>
      </c>
      <c r="B84" t="s">
        <v>1050</v>
      </c>
      <c r="C84">
        <f>COUNTIF(Data!G84:G3449, A84)</f>
        <v>11</v>
      </c>
    </row>
    <row r="85" spans="1:3" x14ac:dyDescent="0.25">
      <c r="A85" t="s">
        <v>4632</v>
      </c>
      <c r="B85" t="s">
        <v>4633</v>
      </c>
      <c r="C85">
        <f>COUNTIF(Data!G85:G3450, A85)</f>
        <v>0</v>
      </c>
    </row>
    <row r="86" spans="1:3" x14ac:dyDescent="0.25">
      <c r="A86" t="s">
        <v>4634</v>
      </c>
      <c r="B86" t="s">
        <v>4635</v>
      </c>
      <c r="C86">
        <f>COUNTIF(Data!G86:G3451, A86)</f>
        <v>0</v>
      </c>
    </row>
    <row r="87" spans="1:3" x14ac:dyDescent="0.25">
      <c r="A87" t="s">
        <v>4636</v>
      </c>
      <c r="B87" t="s">
        <v>4176</v>
      </c>
      <c r="C87">
        <f>COUNTIF(Data!G87:G3452, A87)</f>
        <v>1</v>
      </c>
    </row>
    <row r="88" spans="1:3" x14ac:dyDescent="0.25">
      <c r="A88" t="s">
        <v>4637</v>
      </c>
      <c r="B88" t="s">
        <v>4638</v>
      </c>
      <c r="C88">
        <f>COUNTIF(Data!G88:G3453, A88)</f>
        <v>0</v>
      </c>
    </row>
    <row r="89" spans="1:3" x14ac:dyDescent="0.25">
      <c r="A89" t="s">
        <v>4639</v>
      </c>
      <c r="B89" t="s">
        <v>4640</v>
      </c>
      <c r="C89">
        <f>COUNTIF(Data!G89:G3454, A89)</f>
        <v>0</v>
      </c>
    </row>
    <row r="90" spans="1:3" x14ac:dyDescent="0.25">
      <c r="A90" t="s">
        <v>4641</v>
      </c>
      <c r="B90" t="s">
        <v>4642</v>
      </c>
      <c r="C90">
        <f>COUNTIF(Data!G90:G3455, A90)</f>
        <v>0</v>
      </c>
    </row>
    <row r="91" spans="1:3" x14ac:dyDescent="0.25">
      <c r="A91" t="s">
        <v>4643</v>
      </c>
      <c r="B91" t="s">
        <v>4644</v>
      </c>
      <c r="C91">
        <f>COUNTIF(Data!G91:G3456, A91)</f>
        <v>0</v>
      </c>
    </row>
    <row r="92" spans="1:3" x14ac:dyDescent="0.25">
      <c r="A92" t="s">
        <v>4645</v>
      </c>
      <c r="B92" t="s">
        <v>4646</v>
      </c>
      <c r="C92">
        <f>COUNTIF(Data!G92:G3457, A92)</f>
        <v>0</v>
      </c>
    </row>
    <row r="93" spans="1:3" x14ac:dyDescent="0.25">
      <c r="A93" t="s">
        <v>4647</v>
      </c>
      <c r="B93" t="s">
        <v>4648</v>
      </c>
      <c r="C93">
        <f>COUNTIF(Data!G93:G3458, A93)</f>
        <v>0</v>
      </c>
    </row>
    <row r="94" spans="1:3" x14ac:dyDescent="0.25">
      <c r="A94" t="s">
        <v>4649</v>
      </c>
      <c r="B94" t="s">
        <v>4650</v>
      </c>
      <c r="C94">
        <f>COUNTIF(Data!G94:G3459, A94)</f>
        <v>0</v>
      </c>
    </row>
    <row r="95" spans="1:3" x14ac:dyDescent="0.25">
      <c r="A95" t="s">
        <v>4651</v>
      </c>
      <c r="B95" t="s">
        <v>4652</v>
      </c>
      <c r="C95">
        <f>COUNTIF(Data!G95:G3460, A95)</f>
        <v>0</v>
      </c>
    </row>
    <row r="96" spans="1:3" x14ac:dyDescent="0.25">
      <c r="A96" t="s">
        <v>4653</v>
      </c>
      <c r="B96" t="s">
        <v>4654</v>
      </c>
      <c r="C96">
        <f>COUNTIF(Data!G96:G3461, A96)</f>
        <v>0</v>
      </c>
    </row>
    <row r="97" spans="1:3" x14ac:dyDescent="0.25">
      <c r="A97" t="s">
        <v>4655</v>
      </c>
      <c r="B97" t="s">
        <v>4656</v>
      </c>
      <c r="C97">
        <f>COUNTIF(Data!G97:G3462, A97)</f>
        <v>0</v>
      </c>
    </row>
    <row r="98" spans="1:3" x14ac:dyDescent="0.25">
      <c r="A98" t="s">
        <v>4657</v>
      </c>
      <c r="B98" t="s">
        <v>4658</v>
      </c>
      <c r="C98">
        <f>COUNTIF(Data!G98:G3463, A98)</f>
        <v>0</v>
      </c>
    </row>
    <row r="99" spans="1:3" x14ac:dyDescent="0.25">
      <c r="A99" t="s">
        <v>4659</v>
      </c>
      <c r="B99" t="s">
        <v>4660</v>
      </c>
      <c r="C99">
        <f>COUNTIF(Data!G99:G3464, A99)</f>
        <v>0</v>
      </c>
    </row>
    <row r="100" spans="1:3" x14ac:dyDescent="0.25">
      <c r="A100" t="s">
        <v>4661</v>
      </c>
      <c r="B100" t="s">
        <v>4662</v>
      </c>
      <c r="C100">
        <f>COUNTIF(Data!G100:G3465, A100)</f>
        <v>0</v>
      </c>
    </row>
    <row r="101" spans="1:3" x14ac:dyDescent="0.25">
      <c r="A101" t="s">
        <v>4663</v>
      </c>
      <c r="B101" t="s">
        <v>4664</v>
      </c>
      <c r="C101">
        <f>COUNTIF(Data!G101:G3466, A101)</f>
        <v>0</v>
      </c>
    </row>
    <row r="102" spans="1:3" x14ac:dyDescent="0.25">
      <c r="A102" t="s">
        <v>4665</v>
      </c>
      <c r="B102" t="s">
        <v>2502</v>
      </c>
      <c r="C102">
        <f>COUNTIF(Data!G102:G3467, A102)</f>
        <v>1</v>
      </c>
    </row>
    <row r="103" spans="1:3" x14ac:dyDescent="0.25">
      <c r="A103" t="s">
        <v>4666</v>
      </c>
      <c r="B103" t="s">
        <v>4667</v>
      </c>
      <c r="C103">
        <f>COUNTIF(Data!G103:G3468, A103)</f>
        <v>0</v>
      </c>
    </row>
    <row r="104" spans="1:3" x14ac:dyDescent="0.25">
      <c r="A104" t="s">
        <v>4668</v>
      </c>
      <c r="B104" t="s">
        <v>1073</v>
      </c>
      <c r="C104">
        <f>COUNTIF(Data!G104:G3469, A104)</f>
        <v>22</v>
      </c>
    </row>
    <row r="105" spans="1:3" x14ac:dyDescent="0.25">
      <c r="A105" t="s">
        <v>4669</v>
      </c>
      <c r="B105" t="s">
        <v>65</v>
      </c>
      <c r="C105">
        <f>COUNTIF(Data!G105:G3470, A105)</f>
        <v>2</v>
      </c>
    </row>
    <row r="106" spans="1:3" x14ac:dyDescent="0.25">
      <c r="A106" t="s">
        <v>4670</v>
      </c>
      <c r="B106" t="s">
        <v>4671</v>
      </c>
      <c r="C106">
        <f>COUNTIF(Data!G106:G3471, A106)</f>
        <v>0</v>
      </c>
    </row>
    <row r="107" spans="1:3" x14ac:dyDescent="0.25">
      <c r="A107" t="s">
        <v>4672</v>
      </c>
      <c r="B107" t="s">
        <v>2312</v>
      </c>
      <c r="C107">
        <f>COUNTIF(Data!G107:G3472, A107)</f>
        <v>1</v>
      </c>
    </row>
    <row r="108" spans="1:3" x14ac:dyDescent="0.25">
      <c r="A108" t="s">
        <v>4673</v>
      </c>
      <c r="B108" t="s">
        <v>1234</v>
      </c>
      <c r="C108">
        <f>COUNTIF(Data!G108:G3473, A108)</f>
        <v>0</v>
      </c>
    </row>
    <row r="109" spans="1:3" x14ac:dyDescent="0.25">
      <c r="A109" t="s">
        <v>4674</v>
      </c>
      <c r="B109" t="s">
        <v>4675</v>
      </c>
      <c r="C109">
        <f>COUNTIF(Data!G109:G3474, A109)</f>
        <v>0</v>
      </c>
    </row>
    <row r="110" spans="1:3" x14ac:dyDescent="0.25">
      <c r="A110" t="s">
        <v>4676</v>
      </c>
      <c r="B110" t="s">
        <v>4677</v>
      </c>
      <c r="C110">
        <f>COUNTIF(Data!G110:G3475, A110)</f>
        <v>0</v>
      </c>
    </row>
    <row r="111" spans="1:3" x14ac:dyDescent="0.25">
      <c r="A111" t="s">
        <v>4678</v>
      </c>
      <c r="B111" t="s">
        <v>272</v>
      </c>
      <c r="C111">
        <f>COUNTIF(Data!G111:G3476, A111)</f>
        <v>3</v>
      </c>
    </row>
    <row r="112" spans="1:3" x14ac:dyDescent="0.25">
      <c r="A112" t="s">
        <v>4679</v>
      </c>
      <c r="B112" t="s">
        <v>1187</v>
      </c>
      <c r="C112">
        <f>COUNTIF(Data!G112:G3477, A112)</f>
        <v>4</v>
      </c>
    </row>
    <row r="113" spans="1:3" x14ac:dyDescent="0.25">
      <c r="A113" t="s">
        <v>4680</v>
      </c>
      <c r="B113" t="s">
        <v>2894</v>
      </c>
      <c r="C113">
        <f>COUNTIF(Data!G113:G3478, A113)</f>
        <v>4</v>
      </c>
    </row>
    <row r="114" spans="1:3" x14ac:dyDescent="0.25">
      <c r="A114" t="s">
        <v>4681</v>
      </c>
      <c r="B114" t="s">
        <v>4682</v>
      </c>
      <c r="C114">
        <f>COUNTIF(Data!G114:G3479, A114)</f>
        <v>0</v>
      </c>
    </row>
    <row r="115" spans="1:3" x14ac:dyDescent="0.25">
      <c r="A115" t="s">
        <v>4683</v>
      </c>
      <c r="B115" t="s">
        <v>3611</v>
      </c>
      <c r="C115">
        <f>COUNTIF(Data!G115:G3480, A115)</f>
        <v>3</v>
      </c>
    </row>
    <row r="116" spans="1:3" x14ac:dyDescent="0.25">
      <c r="A116" t="s">
        <v>4684</v>
      </c>
      <c r="B116" t="s">
        <v>4685</v>
      </c>
      <c r="C116">
        <f>COUNTIF(Data!G116:G3481, A116)</f>
        <v>0</v>
      </c>
    </row>
    <row r="117" spans="1:3" x14ac:dyDescent="0.25">
      <c r="A117" t="s">
        <v>4686</v>
      </c>
      <c r="B117" t="s">
        <v>2273</v>
      </c>
      <c r="C117">
        <f>COUNTIF(Data!G117:G3482, A117)</f>
        <v>1</v>
      </c>
    </row>
    <row r="118" spans="1:3" x14ac:dyDescent="0.25">
      <c r="A118" t="s">
        <v>4687</v>
      </c>
      <c r="B118" t="s">
        <v>4688</v>
      </c>
      <c r="C118">
        <f>COUNTIF(Data!G118:G3483, A118)</f>
        <v>0</v>
      </c>
    </row>
    <row r="119" spans="1:3" x14ac:dyDescent="0.25">
      <c r="A119" t="s">
        <v>4689</v>
      </c>
      <c r="B119" t="s">
        <v>4690</v>
      </c>
      <c r="C119">
        <f>COUNTIF(Data!G119:G3484, A119)</f>
        <v>0</v>
      </c>
    </row>
    <row r="120" spans="1:3" x14ac:dyDescent="0.25">
      <c r="A120" t="s">
        <v>4691</v>
      </c>
      <c r="B120" t="s">
        <v>4423</v>
      </c>
      <c r="C120">
        <f>COUNTIF(Data!G120:G3485, A120)</f>
        <v>0</v>
      </c>
    </row>
    <row r="121" spans="1:3" x14ac:dyDescent="0.25">
      <c r="A121" t="s">
        <v>4692</v>
      </c>
      <c r="B121" t="s">
        <v>4693</v>
      </c>
      <c r="C121">
        <f>COUNTIF(Data!G121:G3486, A121)</f>
        <v>0</v>
      </c>
    </row>
    <row r="122" spans="1:3" x14ac:dyDescent="0.25">
      <c r="A122" t="s">
        <v>4694</v>
      </c>
      <c r="B122" t="s">
        <v>4695</v>
      </c>
      <c r="C122">
        <f>COUNTIF(Data!G122:G3487, A122)</f>
        <v>0</v>
      </c>
    </row>
    <row r="123" spans="1:3" x14ac:dyDescent="0.25">
      <c r="A123" t="s">
        <v>4696</v>
      </c>
      <c r="B123" t="s">
        <v>4697</v>
      </c>
      <c r="C123">
        <f>COUNTIF(Data!G123:G3488, A123)</f>
        <v>0</v>
      </c>
    </row>
    <row r="124" spans="1:3" x14ac:dyDescent="0.25">
      <c r="A124" t="s">
        <v>4698</v>
      </c>
      <c r="B124" t="s">
        <v>4699</v>
      </c>
      <c r="C124">
        <f>COUNTIF(Data!G124:G3489, A124)</f>
        <v>0</v>
      </c>
    </row>
    <row r="125" spans="1:3" x14ac:dyDescent="0.25">
      <c r="A125" t="s">
        <v>4700</v>
      </c>
      <c r="B125" t="s">
        <v>4701</v>
      </c>
      <c r="C125">
        <f>COUNTIF(Data!G125:G3490, A125)</f>
        <v>0</v>
      </c>
    </row>
    <row r="126" spans="1:3" x14ac:dyDescent="0.25">
      <c r="A126" t="s">
        <v>4702</v>
      </c>
      <c r="B126" t="s">
        <v>4703</v>
      </c>
      <c r="C126">
        <f>COUNTIF(Data!G126:G3491, A126)</f>
        <v>0</v>
      </c>
    </row>
    <row r="127" spans="1:3" x14ac:dyDescent="0.25">
      <c r="A127" t="s">
        <v>4704</v>
      </c>
      <c r="B127" t="s">
        <v>19</v>
      </c>
      <c r="C127">
        <f>COUNTIF(Data!G127:G3492, A127)</f>
        <v>1</v>
      </c>
    </row>
    <row r="128" spans="1:3" x14ac:dyDescent="0.25">
      <c r="A128" t="s">
        <v>4705</v>
      </c>
      <c r="B128" t="s">
        <v>4706</v>
      </c>
      <c r="C128">
        <f>COUNTIF(Data!G128:G3493, A128)</f>
        <v>0</v>
      </c>
    </row>
    <row r="129" spans="1:3" x14ac:dyDescent="0.25">
      <c r="A129" t="s">
        <v>4707</v>
      </c>
      <c r="B129" t="s">
        <v>4708</v>
      </c>
      <c r="C129">
        <f>COUNTIF(Data!G129:G3494, A129)</f>
        <v>0</v>
      </c>
    </row>
    <row r="130" spans="1:3" x14ac:dyDescent="0.25">
      <c r="A130" t="s">
        <v>4709</v>
      </c>
      <c r="B130" t="s">
        <v>4710</v>
      </c>
      <c r="C130">
        <f>COUNTIF(Data!G130:G3495, A130)</f>
        <v>0</v>
      </c>
    </row>
    <row r="131" spans="1:3" x14ac:dyDescent="0.25">
      <c r="A131" t="s">
        <v>4711</v>
      </c>
      <c r="B131" t="s">
        <v>4712</v>
      </c>
      <c r="C131">
        <f>COUNTIF(Data!G131:G3496, A131)</f>
        <v>0</v>
      </c>
    </row>
    <row r="132" spans="1:3" x14ac:dyDescent="0.25">
      <c r="A132" t="s">
        <v>4713</v>
      </c>
      <c r="B132" t="s">
        <v>4714</v>
      </c>
      <c r="C132">
        <f>COUNTIF(Data!G132:G3497, A132)</f>
        <v>0</v>
      </c>
    </row>
    <row r="133" spans="1:3" x14ac:dyDescent="0.25">
      <c r="A133" t="s">
        <v>4715</v>
      </c>
      <c r="B133" t="s">
        <v>4716</v>
      </c>
      <c r="C133">
        <f>COUNTIF(Data!G133:G3498, A133)</f>
        <v>0</v>
      </c>
    </row>
    <row r="134" spans="1:3" x14ac:dyDescent="0.25">
      <c r="A134" t="s">
        <v>4717</v>
      </c>
      <c r="B134" t="s">
        <v>4718</v>
      </c>
      <c r="C134">
        <f>COUNTIF(Data!G134:G3499, A134)</f>
        <v>0</v>
      </c>
    </row>
    <row r="135" spans="1:3" x14ac:dyDescent="0.25">
      <c r="A135" t="s">
        <v>4719</v>
      </c>
      <c r="B135" t="s">
        <v>2878</v>
      </c>
      <c r="C135">
        <f>COUNTIF(Data!G135:G3500, A135)</f>
        <v>2</v>
      </c>
    </row>
    <row r="136" spans="1:3" x14ac:dyDescent="0.25">
      <c r="A136" t="s">
        <v>4720</v>
      </c>
      <c r="B136" t="s">
        <v>4721</v>
      </c>
      <c r="C136">
        <f>COUNTIF(Data!G136:G3501, A136)</f>
        <v>0</v>
      </c>
    </row>
    <row r="137" spans="1:3" x14ac:dyDescent="0.25">
      <c r="A137" t="s">
        <v>4722</v>
      </c>
      <c r="B137" t="s">
        <v>4723</v>
      </c>
      <c r="C137">
        <f>COUNTIF(Data!G137:G3502, A137)</f>
        <v>0</v>
      </c>
    </row>
    <row r="138" spans="1:3" x14ac:dyDescent="0.25">
      <c r="A138" t="s">
        <v>4724</v>
      </c>
      <c r="B138" t="s">
        <v>4725</v>
      </c>
      <c r="C138">
        <f>COUNTIF(Data!G138:G3503, A138)</f>
        <v>0</v>
      </c>
    </row>
    <row r="139" spans="1:3" x14ac:dyDescent="0.25">
      <c r="A139" t="s">
        <v>4726</v>
      </c>
      <c r="B139" t="s">
        <v>4727</v>
      </c>
      <c r="C139">
        <f>COUNTIF(Data!G139:G3504, A139)</f>
        <v>0</v>
      </c>
    </row>
    <row r="140" spans="1:3" x14ac:dyDescent="0.25">
      <c r="A140" t="s">
        <v>4728</v>
      </c>
      <c r="B140" t="s">
        <v>4729</v>
      </c>
      <c r="C140">
        <f>COUNTIF(Data!G140:G3505, A140)</f>
        <v>0</v>
      </c>
    </row>
    <row r="141" spans="1:3" x14ac:dyDescent="0.25">
      <c r="A141" t="s">
        <v>4730</v>
      </c>
      <c r="B141" t="s">
        <v>4731</v>
      </c>
      <c r="C141">
        <f>COUNTIF(Data!G141:G3506, A141)</f>
        <v>0</v>
      </c>
    </row>
    <row r="142" spans="1:3" x14ac:dyDescent="0.25">
      <c r="A142" t="s">
        <v>4732</v>
      </c>
      <c r="B142" t="s">
        <v>4733</v>
      </c>
      <c r="C142">
        <f>COUNTIF(Data!G142:G3507, A142)</f>
        <v>0</v>
      </c>
    </row>
    <row r="143" spans="1:3" x14ac:dyDescent="0.25">
      <c r="A143" t="s">
        <v>4734</v>
      </c>
      <c r="B143" t="s">
        <v>4735</v>
      </c>
      <c r="C143">
        <f>COUNTIF(Data!G143:G3508, A143)</f>
        <v>0</v>
      </c>
    </row>
    <row r="144" spans="1:3" x14ac:dyDescent="0.25">
      <c r="A144" t="s">
        <v>4736</v>
      </c>
      <c r="B144" t="s">
        <v>4737</v>
      </c>
      <c r="C144">
        <f>COUNTIF(Data!G144:G3509, A144)</f>
        <v>0</v>
      </c>
    </row>
    <row r="145" spans="1:3" x14ac:dyDescent="0.25">
      <c r="A145" t="s">
        <v>4738</v>
      </c>
      <c r="B145" t="s">
        <v>4739</v>
      </c>
      <c r="C145">
        <f>COUNTIF(Data!G145:G3510, A145)</f>
        <v>0</v>
      </c>
    </row>
    <row r="146" spans="1:3" x14ac:dyDescent="0.25">
      <c r="A146" t="s">
        <v>4740</v>
      </c>
      <c r="B146" t="s">
        <v>4741</v>
      </c>
      <c r="C146">
        <f>COUNTIF(Data!G146:G3511, A146)</f>
        <v>0</v>
      </c>
    </row>
    <row r="147" spans="1:3" x14ac:dyDescent="0.25">
      <c r="A147" t="s">
        <v>4742</v>
      </c>
      <c r="B147" t="s">
        <v>4743</v>
      </c>
      <c r="C147">
        <f>COUNTIF(Data!G147:G3512, A147)</f>
        <v>0</v>
      </c>
    </row>
    <row r="148" spans="1:3" x14ac:dyDescent="0.25">
      <c r="A148" t="s">
        <v>4744</v>
      </c>
      <c r="B148" t="s">
        <v>4745</v>
      </c>
      <c r="C148">
        <f>COUNTIF(Data!G148:G3513, A148)</f>
        <v>0</v>
      </c>
    </row>
    <row r="149" spans="1:3" x14ac:dyDescent="0.25">
      <c r="A149" t="s">
        <v>4746</v>
      </c>
      <c r="B149" t="s">
        <v>4747</v>
      </c>
      <c r="C149">
        <f>COUNTIF(Data!G149:G3514, A149)</f>
        <v>0</v>
      </c>
    </row>
    <row r="150" spans="1:3" x14ac:dyDescent="0.25">
      <c r="A150" t="s">
        <v>4748</v>
      </c>
      <c r="B150" t="s">
        <v>4749</v>
      </c>
      <c r="C150">
        <f>COUNTIF(Data!G150:G3515, A150)</f>
        <v>0</v>
      </c>
    </row>
    <row r="151" spans="1:3" x14ac:dyDescent="0.25">
      <c r="A151" t="s">
        <v>4750</v>
      </c>
      <c r="B151" t="s">
        <v>3106</v>
      </c>
      <c r="C151">
        <f>COUNTIF(Data!G151:G3516, A151)</f>
        <v>1</v>
      </c>
    </row>
    <row r="152" spans="1:3" x14ac:dyDescent="0.25">
      <c r="A152" t="s">
        <v>4751</v>
      </c>
      <c r="B152" t="s">
        <v>4752</v>
      </c>
      <c r="C152">
        <f>COUNTIF(Data!G152:G3517, A152)</f>
        <v>0</v>
      </c>
    </row>
    <row r="153" spans="1:3" x14ac:dyDescent="0.25">
      <c r="A153" t="s">
        <v>4753</v>
      </c>
      <c r="B153" t="s">
        <v>4754</v>
      </c>
      <c r="C153">
        <f>COUNTIF(Data!G153:G3518, A153)</f>
        <v>0</v>
      </c>
    </row>
    <row r="154" spans="1:3" x14ac:dyDescent="0.25">
      <c r="A154" t="s">
        <v>4755</v>
      </c>
      <c r="B154" t="s">
        <v>3284</v>
      </c>
      <c r="C154">
        <f>COUNTIF(Data!G154:G3519, A154)</f>
        <v>1</v>
      </c>
    </row>
    <row r="155" spans="1:3" x14ac:dyDescent="0.25">
      <c r="A155" t="s">
        <v>4756</v>
      </c>
      <c r="B155" t="s">
        <v>4757</v>
      </c>
      <c r="C155">
        <f>COUNTIF(Data!G155:G3520, A155)</f>
        <v>0</v>
      </c>
    </row>
    <row r="156" spans="1:3" x14ac:dyDescent="0.25">
      <c r="A156" t="s">
        <v>4758</v>
      </c>
      <c r="B156" t="s">
        <v>1520</v>
      </c>
      <c r="C156">
        <f>COUNTIF(Data!G156:G3521, A156)</f>
        <v>2</v>
      </c>
    </row>
    <row r="157" spans="1:3" x14ac:dyDescent="0.25">
      <c r="A157" t="s">
        <v>4759</v>
      </c>
      <c r="B157" t="s">
        <v>1133</v>
      </c>
      <c r="C157">
        <f>COUNTIF(Data!G157:G3522, A157)</f>
        <v>3</v>
      </c>
    </row>
    <row r="158" spans="1:3" x14ac:dyDescent="0.25">
      <c r="A158" t="s">
        <v>4760</v>
      </c>
      <c r="B158" t="s">
        <v>4761</v>
      </c>
      <c r="C158">
        <f>COUNTIF(Data!G158:G3523, A158)</f>
        <v>0</v>
      </c>
    </row>
    <row r="159" spans="1:3" x14ac:dyDescent="0.25">
      <c r="A159" t="s">
        <v>4762</v>
      </c>
      <c r="B159" t="s">
        <v>1698</v>
      </c>
      <c r="C159">
        <f>COUNTIF(Data!G159:G3524, A159)</f>
        <v>2</v>
      </c>
    </row>
    <row r="160" spans="1:3" x14ac:dyDescent="0.25">
      <c r="A160" t="s">
        <v>4763</v>
      </c>
      <c r="B160" t="s">
        <v>4764</v>
      </c>
      <c r="C160">
        <f>COUNTIF(Data!G160:G3525, A160)</f>
        <v>0</v>
      </c>
    </row>
    <row r="161" spans="1:3" x14ac:dyDescent="0.25">
      <c r="A161" t="s">
        <v>4765</v>
      </c>
      <c r="B161" t="s">
        <v>4766</v>
      </c>
      <c r="C161">
        <f>COUNTIF(Data!G161:G3526, A161)</f>
        <v>0</v>
      </c>
    </row>
    <row r="162" spans="1:3" x14ac:dyDescent="0.25">
      <c r="A162" t="s">
        <v>4767</v>
      </c>
      <c r="B162" t="s">
        <v>3271</v>
      </c>
      <c r="C162">
        <f>COUNTIF(Data!G162:G3527, A162)</f>
        <v>1</v>
      </c>
    </row>
    <row r="163" spans="1:3" x14ac:dyDescent="0.25">
      <c r="A163" t="s">
        <v>4768</v>
      </c>
      <c r="B163" t="s">
        <v>4769</v>
      </c>
      <c r="C163">
        <f>COUNTIF(Data!G163:G3528, A163)</f>
        <v>0</v>
      </c>
    </row>
    <row r="164" spans="1:3" x14ac:dyDescent="0.25">
      <c r="A164" t="s">
        <v>4770</v>
      </c>
      <c r="B164" t="s">
        <v>4771</v>
      </c>
      <c r="C164">
        <f>COUNTIF(Data!G164:G3529, A164)</f>
        <v>0</v>
      </c>
    </row>
    <row r="165" spans="1:3" x14ac:dyDescent="0.25">
      <c r="A165" t="s">
        <v>4772</v>
      </c>
      <c r="B165" t="s">
        <v>4773</v>
      </c>
      <c r="C165">
        <f>COUNTIF(Data!G165:G3530, A165)</f>
        <v>0</v>
      </c>
    </row>
    <row r="166" spans="1:3" x14ac:dyDescent="0.25">
      <c r="A166" t="s">
        <v>4774</v>
      </c>
      <c r="B166" t="s">
        <v>3008</v>
      </c>
      <c r="C166">
        <f>COUNTIF(Data!G166:G3531, A166)</f>
        <v>1</v>
      </c>
    </row>
    <row r="167" spans="1:3" x14ac:dyDescent="0.25">
      <c r="A167" t="s">
        <v>4775</v>
      </c>
      <c r="B167" t="s">
        <v>4776</v>
      </c>
      <c r="C167">
        <f>COUNTIF(Data!G167:G3532, A167)</f>
        <v>0</v>
      </c>
    </row>
    <row r="168" spans="1:3" x14ac:dyDescent="0.25">
      <c r="A168" t="s">
        <v>4777</v>
      </c>
      <c r="B168" t="s">
        <v>1942</v>
      </c>
      <c r="C168">
        <f>COUNTIF(Data!G168:G3533, A168)</f>
        <v>4</v>
      </c>
    </row>
    <row r="169" spans="1:3" x14ac:dyDescent="0.25">
      <c r="A169" t="s">
        <v>4778</v>
      </c>
      <c r="B169" t="s">
        <v>4779</v>
      </c>
      <c r="C169">
        <f>COUNTIF(Data!G169:G3534, A169)</f>
        <v>0</v>
      </c>
    </row>
    <row r="170" spans="1:3" x14ac:dyDescent="0.25">
      <c r="A170" t="s">
        <v>4780</v>
      </c>
      <c r="B170" t="s">
        <v>4457</v>
      </c>
      <c r="C170">
        <f>COUNTIF(Data!G170:G3535, A170)</f>
        <v>1</v>
      </c>
    </row>
    <row r="171" spans="1:3" x14ac:dyDescent="0.25">
      <c r="A171" t="s">
        <v>4781</v>
      </c>
      <c r="B171" t="s">
        <v>4782</v>
      </c>
      <c r="C171">
        <f>COUNTIF(Data!G171:G3536, A171)</f>
        <v>0</v>
      </c>
    </row>
    <row r="172" spans="1:3" x14ac:dyDescent="0.25">
      <c r="A172" t="s">
        <v>4783</v>
      </c>
      <c r="B172" t="s">
        <v>4784</v>
      </c>
      <c r="C172">
        <f>COUNTIF(Data!G172:G3537, A172)</f>
        <v>0</v>
      </c>
    </row>
    <row r="173" spans="1:3" x14ac:dyDescent="0.25">
      <c r="A173" t="s">
        <v>4785</v>
      </c>
      <c r="B173" t="s">
        <v>4786</v>
      </c>
      <c r="C173">
        <f>COUNTIF(Data!G173:G3538, A173)</f>
        <v>0</v>
      </c>
    </row>
    <row r="174" spans="1:3" x14ac:dyDescent="0.25">
      <c r="A174" t="s">
        <v>4787</v>
      </c>
      <c r="B174" t="s">
        <v>4788</v>
      </c>
      <c r="C174">
        <f>COUNTIF(Data!G174:G3539, A174)</f>
        <v>0</v>
      </c>
    </row>
    <row r="175" spans="1:3" x14ac:dyDescent="0.25">
      <c r="A175" t="s">
        <v>4789</v>
      </c>
      <c r="B175" t="s">
        <v>2257</v>
      </c>
      <c r="C175">
        <f>COUNTIF(Data!G175:G3540, A175)</f>
        <v>4</v>
      </c>
    </row>
    <row r="176" spans="1:3" x14ac:dyDescent="0.25">
      <c r="A176" t="s">
        <v>4790</v>
      </c>
      <c r="B176" t="s">
        <v>4791</v>
      </c>
      <c r="C176">
        <f>COUNTIF(Data!G176:G3541, A176)</f>
        <v>0</v>
      </c>
    </row>
    <row r="177" spans="1:3" x14ac:dyDescent="0.25">
      <c r="A177" t="s">
        <v>4792</v>
      </c>
      <c r="B177" t="s">
        <v>4793</v>
      </c>
      <c r="C177">
        <f>COUNTIF(Data!G177:G3542, A177)</f>
        <v>0</v>
      </c>
    </row>
    <row r="178" spans="1:3" x14ac:dyDescent="0.25">
      <c r="A178" t="s">
        <v>4794</v>
      </c>
      <c r="B178" t="s">
        <v>2000</v>
      </c>
      <c r="C178">
        <f>COUNTIF(Data!G178:G3543, A178)</f>
        <v>1</v>
      </c>
    </row>
    <row r="179" spans="1:3" x14ac:dyDescent="0.25">
      <c r="A179" t="s">
        <v>4795</v>
      </c>
      <c r="B179" t="s">
        <v>4796</v>
      </c>
      <c r="C179">
        <f>COUNTIF(Data!G179:G3544, A179)</f>
        <v>0</v>
      </c>
    </row>
    <row r="180" spans="1:3" x14ac:dyDescent="0.25">
      <c r="A180" t="s">
        <v>4797</v>
      </c>
      <c r="B180" t="s">
        <v>4798</v>
      </c>
      <c r="C180">
        <f>COUNTIF(Data!G180:G3545, A180)</f>
        <v>0</v>
      </c>
    </row>
    <row r="181" spans="1:3" x14ac:dyDescent="0.25">
      <c r="A181" t="s">
        <v>4799</v>
      </c>
      <c r="B181" t="s">
        <v>4800</v>
      </c>
      <c r="C181">
        <f>COUNTIF(Data!G181:G3546, A181)</f>
        <v>0</v>
      </c>
    </row>
    <row r="182" spans="1:3" x14ac:dyDescent="0.25">
      <c r="A182" t="s">
        <v>4801</v>
      </c>
      <c r="B182" t="s">
        <v>3198</v>
      </c>
      <c r="C182">
        <f>COUNTIF(Data!G182:G3547, A182)</f>
        <v>1</v>
      </c>
    </row>
    <row r="183" spans="1:3" x14ac:dyDescent="0.25">
      <c r="A183" t="s">
        <v>4802</v>
      </c>
      <c r="B183" t="s">
        <v>1274</v>
      </c>
      <c r="C183">
        <f>COUNTIF(Data!G183:G3548, A183)</f>
        <v>5</v>
      </c>
    </row>
    <row r="184" spans="1:3" x14ac:dyDescent="0.25">
      <c r="A184" t="s">
        <v>4803</v>
      </c>
      <c r="B184" t="s">
        <v>4804</v>
      </c>
      <c r="C184">
        <f>COUNTIF(Data!G184:G3549, A184)</f>
        <v>0</v>
      </c>
    </row>
    <row r="185" spans="1:3" x14ac:dyDescent="0.25">
      <c r="A185" t="s">
        <v>4805</v>
      </c>
      <c r="B185" t="s">
        <v>4806</v>
      </c>
      <c r="C185">
        <f>COUNTIF(Data!G185:G3550, A185)</f>
        <v>0</v>
      </c>
    </row>
    <row r="186" spans="1:3" x14ac:dyDescent="0.25">
      <c r="A186" t="s">
        <v>4807</v>
      </c>
      <c r="B186" t="s">
        <v>4808</v>
      </c>
      <c r="C186">
        <f>COUNTIF(Data!G186:G3551, A186)</f>
        <v>0</v>
      </c>
    </row>
    <row r="187" spans="1:3" x14ac:dyDescent="0.25">
      <c r="A187" t="s">
        <v>4809</v>
      </c>
      <c r="B187" t="s">
        <v>4411</v>
      </c>
      <c r="C187">
        <f>COUNTIF(Data!G187:G3552, A187)</f>
        <v>1</v>
      </c>
    </row>
    <row r="188" spans="1:3" x14ac:dyDescent="0.25">
      <c r="A188" t="s">
        <v>4810</v>
      </c>
      <c r="B188" t="s">
        <v>4811</v>
      </c>
      <c r="C188">
        <f>COUNTIF(Data!G188:G3553, A188)</f>
        <v>0</v>
      </c>
    </row>
    <row r="189" spans="1:3" x14ac:dyDescent="0.25">
      <c r="A189" t="s">
        <v>4812</v>
      </c>
      <c r="B189" t="s">
        <v>4813</v>
      </c>
      <c r="C189">
        <f>COUNTIF(Data!G189:G3554, A189)</f>
        <v>0</v>
      </c>
    </row>
    <row r="190" spans="1:3" x14ac:dyDescent="0.25">
      <c r="A190" t="s">
        <v>4814</v>
      </c>
      <c r="B190" t="s">
        <v>4815</v>
      </c>
      <c r="C190">
        <f>COUNTIF(Data!G190:G3555, A190)</f>
        <v>0</v>
      </c>
    </row>
    <row r="191" spans="1:3" x14ac:dyDescent="0.25">
      <c r="A191" t="s">
        <v>4816</v>
      </c>
      <c r="B191" t="s">
        <v>4817</v>
      </c>
      <c r="C191">
        <f>COUNTIF(Data!G191:G3556, A191)</f>
        <v>0</v>
      </c>
    </row>
    <row r="192" spans="1:3" x14ac:dyDescent="0.25">
      <c r="A192" t="s">
        <v>4818</v>
      </c>
      <c r="B192" t="s">
        <v>4819</v>
      </c>
      <c r="C192">
        <f>COUNTIF(Data!G192:G3557, A192)</f>
        <v>0</v>
      </c>
    </row>
    <row r="193" spans="1:3" x14ac:dyDescent="0.25">
      <c r="A193" t="s">
        <v>4820</v>
      </c>
      <c r="B193" t="s">
        <v>4821</v>
      </c>
      <c r="C193">
        <f>COUNTIF(Data!G193:G3558, A193)</f>
        <v>0</v>
      </c>
    </row>
    <row r="194" spans="1:3" x14ac:dyDescent="0.25">
      <c r="A194" t="s">
        <v>4822</v>
      </c>
      <c r="B194" t="s">
        <v>4823</v>
      </c>
      <c r="C194">
        <f>COUNTIF(Data!G194:G3559, A194)</f>
        <v>0</v>
      </c>
    </row>
    <row r="195" spans="1:3" x14ac:dyDescent="0.25">
      <c r="A195" t="s">
        <v>4824</v>
      </c>
      <c r="B195" t="s">
        <v>4825</v>
      </c>
      <c r="C195">
        <f>COUNTIF(Data!G195:G3560, A195)</f>
        <v>0</v>
      </c>
    </row>
    <row r="196" spans="1:3" x14ac:dyDescent="0.25">
      <c r="A196" t="s">
        <v>4826</v>
      </c>
      <c r="B196" t="s">
        <v>3211</v>
      </c>
      <c r="C196">
        <f>COUNTIF(Data!G196:G3561, A196)</f>
        <v>3</v>
      </c>
    </row>
    <row r="197" spans="1:3" x14ac:dyDescent="0.25">
      <c r="A197" t="s">
        <v>4827</v>
      </c>
      <c r="B197" t="s">
        <v>4828</v>
      </c>
      <c r="C197">
        <f>COUNTIF(Data!G197:G3562, A197)</f>
        <v>0</v>
      </c>
    </row>
    <row r="198" spans="1:3" x14ac:dyDescent="0.25">
      <c r="A198" t="s">
        <v>4829</v>
      </c>
      <c r="B198" t="s">
        <v>1183</v>
      </c>
      <c r="C198">
        <f>COUNTIF(Data!G198:G3563, A198)</f>
        <v>1</v>
      </c>
    </row>
    <row r="199" spans="1:3" x14ac:dyDescent="0.25">
      <c r="A199" t="s">
        <v>4830</v>
      </c>
      <c r="B199" t="s">
        <v>4831</v>
      </c>
      <c r="C199">
        <f>COUNTIF(Data!G199:G3564, A199)</f>
        <v>0</v>
      </c>
    </row>
    <row r="200" spans="1:3" x14ac:dyDescent="0.25">
      <c r="A200" t="s">
        <v>4832</v>
      </c>
      <c r="B200" t="s">
        <v>4833</v>
      </c>
      <c r="C200">
        <f>COUNTIF(Data!G200:G3565, A200)</f>
        <v>0</v>
      </c>
    </row>
    <row r="201" spans="1:3" x14ac:dyDescent="0.25">
      <c r="A201" t="s">
        <v>4834</v>
      </c>
      <c r="B201" t="s">
        <v>3083</v>
      </c>
      <c r="C201">
        <f>COUNTIF(Data!G201:G3566, A201)</f>
        <v>1</v>
      </c>
    </row>
    <row r="202" spans="1:3" x14ac:dyDescent="0.25">
      <c r="A202" t="s">
        <v>4835</v>
      </c>
      <c r="B202" t="s">
        <v>4836</v>
      </c>
      <c r="C202">
        <f>COUNTIF(Data!G202:G3567, A202)</f>
        <v>0</v>
      </c>
    </row>
    <row r="203" spans="1:3" x14ac:dyDescent="0.25">
      <c r="A203" t="s">
        <v>4837</v>
      </c>
      <c r="B203" t="s">
        <v>4838</v>
      </c>
      <c r="C203">
        <f>COUNTIF(Data!G203:G3568, A203)</f>
        <v>0</v>
      </c>
    </row>
    <row r="204" spans="1:3" x14ac:dyDescent="0.25">
      <c r="A204" t="s">
        <v>4839</v>
      </c>
      <c r="B204" t="s">
        <v>4840</v>
      </c>
      <c r="C204">
        <f>COUNTIF(Data!G204:G3569, A204)</f>
        <v>0</v>
      </c>
    </row>
    <row r="205" spans="1:3" x14ac:dyDescent="0.25">
      <c r="A205" t="s">
        <v>4841</v>
      </c>
      <c r="B205" t="s">
        <v>4842</v>
      </c>
      <c r="C205">
        <f>COUNTIF(Data!G205:G3570, A205)</f>
        <v>0</v>
      </c>
    </row>
    <row r="206" spans="1:3" x14ac:dyDescent="0.25">
      <c r="A206" t="s">
        <v>4843</v>
      </c>
      <c r="B206" t="s">
        <v>4844</v>
      </c>
      <c r="C206">
        <f>COUNTIF(Data!G206:G3571, A206)</f>
        <v>0</v>
      </c>
    </row>
    <row r="207" spans="1:3" x14ac:dyDescent="0.25">
      <c r="A207" t="s">
        <v>4845</v>
      </c>
      <c r="B207" t="s">
        <v>4846</v>
      </c>
      <c r="C207">
        <f>COUNTIF(Data!G207:G3572, A207)</f>
        <v>0</v>
      </c>
    </row>
    <row r="208" spans="1:3" x14ac:dyDescent="0.25">
      <c r="A208" t="s">
        <v>4847</v>
      </c>
      <c r="B208" t="s">
        <v>4848</v>
      </c>
      <c r="C208">
        <f>COUNTIF(Data!G208:G3573, A208)</f>
        <v>0</v>
      </c>
    </row>
    <row r="209" spans="1:3" x14ac:dyDescent="0.25">
      <c r="A209" t="s">
        <v>4849</v>
      </c>
      <c r="B209" t="s">
        <v>4850</v>
      </c>
      <c r="C209">
        <f>COUNTIF(Data!G209:G3574, A209)</f>
        <v>0</v>
      </c>
    </row>
    <row r="210" spans="1:3" x14ac:dyDescent="0.25">
      <c r="A210" t="s">
        <v>4851</v>
      </c>
      <c r="B210" t="s">
        <v>2420</v>
      </c>
      <c r="C210">
        <f>COUNTIF(Data!G210:G3575, A210)</f>
        <v>1</v>
      </c>
    </row>
    <row r="211" spans="1:3" x14ac:dyDescent="0.25">
      <c r="A211" t="s">
        <v>4852</v>
      </c>
      <c r="B211" t="s">
        <v>4291</v>
      </c>
      <c r="C211">
        <f>COUNTIF(Data!G211:G3576, A211)</f>
        <v>1</v>
      </c>
    </row>
    <row r="212" spans="1:3" x14ac:dyDescent="0.25">
      <c r="A212" t="s">
        <v>4853</v>
      </c>
      <c r="B212" t="s">
        <v>4854</v>
      </c>
      <c r="C212">
        <f>COUNTIF(Data!G212:G3577, A212)</f>
        <v>0</v>
      </c>
    </row>
    <row r="213" spans="1:3" x14ac:dyDescent="0.25">
      <c r="A213" t="s">
        <v>4855</v>
      </c>
      <c r="B213" t="s">
        <v>4856</v>
      </c>
      <c r="C213">
        <f>COUNTIF(Data!G213:G3578, A213)</f>
        <v>0</v>
      </c>
    </row>
    <row r="214" spans="1:3" x14ac:dyDescent="0.25">
      <c r="A214" t="s">
        <v>4857</v>
      </c>
      <c r="B214" t="s">
        <v>4858</v>
      </c>
      <c r="C214">
        <f>COUNTIF(Data!G214:G3579, A214)</f>
        <v>0</v>
      </c>
    </row>
    <row r="215" spans="1:3" x14ac:dyDescent="0.25">
      <c r="A215" t="s">
        <v>4859</v>
      </c>
      <c r="B215" t="s">
        <v>497</v>
      </c>
      <c r="C215">
        <f>COUNTIF(Data!G215:G3580, A215)</f>
        <v>3</v>
      </c>
    </row>
    <row r="216" spans="1:3" x14ac:dyDescent="0.25">
      <c r="A216" t="s">
        <v>4860</v>
      </c>
      <c r="B216" t="s">
        <v>1068</v>
      </c>
      <c r="C216">
        <f>COUNTIF(Data!G216:G3581, A216)</f>
        <v>1</v>
      </c>
    </row>
    <row r="217" spans="1:3" x14ac:dyDescent="0.25">
      <c r="A217" t="s">
        <v>4861</v>
      </c>
      <c r="B217" t="s">
        <v>4862</v>
      </c>
      <c r="C217">
        <f>COUNTIF(Data!G217:G3582, A217)</f>
        <v>0</v>
      </c>
    </row>
    <row r="218" spans="1:3" x14ac:dyDescent="0.25">
      <c r="A218" t="s">
        <v>4863</v>
      </c>
      <c r="B218" t="s">
        <v>4864</v>
      </c>
      <c r="C218">
        <f>COUNTIF(Data!G218:G3583, A218)</f>
        <v>0</v>
      </c>
    </row>
    <row r="219" spans="1:3" x14ac:dyDescent="0.25">
      <c r="A219" t="s">
        <v>4865</v>
      </c>
      <c r="B219" t="s">
        <v>4866</v>
      </c>
      <c r="C219">
        <f>COUNTIF(Data!G219:G3584, A219)</f>
        <v>0</v>
      </c>
    </row>
    <row r="220" spans="1:3" x14ac:dyDescent="0.25">
      <c r="A220" t="s">
        <v>4867</v>
      </c>
      <c r="B220" t="s">
        <v>4868</v>
      </c>
      <c r="C220">
        <f>COUNTIF(Data!G220:G3585, A220)</f>
        <v>0</v>
      </c>
    </row>
    <row r="221" spans="1:3" x14ac:dyDescent="0.25">
      <c r="A221" t="s">
        <v>4869</v>
      </c>
      <c r="B221" t="s">
        <v>4870</v>
      </c>
      <c r="C221">
        <f>COUNTIF(Data!G221:G3586, A221)</f>
        <v>0</v>
      </c>
    </row>
    <row r="222" spans="1:3" x14ac:dyDescent="0.25">
      <c r="A222" t="s">
        <v>4871</v>
      </c>
      <c r="B222" t="s">
        <v>4872</v>
      </c>
      <c r="C222">
        <f>COUNTIF(Data!G222:G3587, A222)</f>
        <v>0</v>
      </c>
    </row>
    <row r="223" spans="1:3" x14ac:dyDescent="0.25">
      <c r="A223" t="s">
        <v>4873</v>
      </c>
      <c r="B223" t="s">
        <v>4874</v>
      </c>
      <c r="C223">
        <f>COUNTIF(Data!G223:G3588, A223)</f>
        <v>0</v>
      </c>
    </row>
    <row r="224" spans="1:3" x14ac:dyDescent="0.25">
      <c r="A224" t="s">
        <v>4875</v>
      </c>
      <c r="B224" t="s">
        <v>4876</v>
      </c>
      <c r="C224">
        <f>COUNTIF(Data!G224:G3589, A224)</f>
        <v>0</v>
      </c>
    </row>
    <row r="225" spans="1:3" x14ac:dyDescent="0.25">
      <c r="A225" t="s">
        <v>4877</v>
      </c>
      <c r="B225" t="s">
        <v>4878</v>
      </c>
      <c r="C225">
        <f>COUNTIF(Data!G225:G3590, A225)</f>
        <v>0</v>
      </c>
    </row>
    <row r="226" spans="1:3" x14ac:dyDescent="0.25">
      <c r="A226" t="s">
        <v>4879</v>
      </c>
      <c r="B226" t="s">
        <v>4880</v>
      </c>
      <c r="C226">
        <f>COUNTIF(Data!G226:G3591, A226)</f>
        <v>0</v>
      </c>
    </row>
    <row r="227" spans="1:3" x14ac:dyDescent="0.25">
      <c r="A227" t="s">
        <v>4881</v>
      </c>
      <c r="B227" t="s">
        <v>2940</v>
      </c>
      <c r="C227">
        <f>COUNTIF(Data!G227:G3592, A227)</f>
        <v>1</v>
      </c>
    </row>
    <row r="228" spans="1:3" x14ac:dyDescent="0.25">
      <c r="A228" t="s">
        <v>4882</v>
      </c>
      <c r="B228" t="s">
        <v>139</v>
      </c>
      <c r="C228">
        <f>COUNTIF(Data!G228:G3593, A228)</f>
        <v>31</v>
      </c>
    </row>
    <row r="229" spans="1:3" x14ac:dyDescent="0.25">
      <c r="A229" t="s">
        <v>4883</v>
      </c>
      <c r="B229" t="s">
        <v>4884</v>
      </c>
      <c r="C229">
        <f>COUNTIF(Data!G229:G3594, A229)</f>
        <v>0</v>
      </c>
    </row>
    <row r="230" spans="1:3" x14ac:dyDescent="0.25">
      <c r="A230" t="s">
        <v>4885</v>
      </c>
      <c r="B230" t="s">
        <v>4886</v>
      </c>
      <c r="C230">
        <f>COUNTIF(Data!G230:G3595, A230)</f>
        <v>0</v>
      </c>
    </row>
    <row r="231" spans="1:3" x14ac:dyDescent="0.25">
      <c r="A231" t="s">
        <v>4887</v>
      </c>
      <c r="B231" t="s">
        <v>4888</v>
      </c>
      <c r="C231">
        <f>COUNTIF(Data!G231:G3596, A231)</f>
        <v>0</v>
      </c>
    </row>
    <row r="232" spans="1:3" x14ac:dyDescent="0.25">
      <c r="A232" t="s">
        <v>4889</v>
      </c>
      <c r="B232" t="s">
        <v>4890</v>
      </c>
      <c r="C232">
        <f>COUNTIF(Data!G232:G3597, A232)</f>
        <v>0</v>
      </c>
    </row>
    <row r="233" spans="1:3" x14ac:dyDescent="0.25">
      <c r="A233" t="s">
        <v>4891</v>
      </c>
      <c r="B233" t="s">
        <v>4892</v>
      </c>
      <c r="C233">
        <f>COUNTIF(Data!G233:G3598, A233)</f>
        <v>0</v>
      </c>
    </row>
    <row r="234" spans="1:3" x14ac:dyDescent="0.25">
      <c r="A234" t="s">
        <v>4893</v>
      </c>
      <c r="B234" t="s">
        <v>3764</v>
      </c>
      <c r="C234">
        <f>COUNTIF(Data!G234:G3599, A234)</f>
        <v>0</v>
      </c>
    </row>
    <row r="235" spans="1:3" x14ac:dyDescent="0.25">
      <c r="A235" t="s">
        <v>4894</v>
      </c>
      <c r="B235" t="s">
        <v>1151</v>
      </c>
      <c r="C235">
        <f>COUNTIF(Data!G235:G3600, A235)</f>
        <v>17</v>
      </c>
    </row>
    <row r="236" spans="1:3" x14ac:dyDescent="0.25">
      <c r="A236" t="s">
        <v>4895</v>
      </c>
      <c r="B236" t="s">
        <v>4896</v>
      </c>
      <c r="C236">
        <f>COUNTIF(Data!G236:G3601, A236)</f>
        <v>0</v>
      </c>
    </row>
    <row r="237" spans="1:3" x14ac:dyDescent="0.25">
      <c r="A237" t="s">
        <v>4897</v>
      </c>
      <c r="B237" t="s">
        <v>227</v>
      </c>
      <c r="C237">
        <f>COUNTIF(Data!G237:G3602, A237)</f>
        <v>92</v>
      </c>
    </row>
    <row r="238" spans="1:3" x14ac:dyDescent="0.25">
      <c r="A238" t="s">
        <v>4898</v>
      </c>
      <c r="B238" t="s">
        <v>4899</v>
      </c>
      <c r="C238">
        <f>COUNTIF(Data!G238:G3603, A238)</f>
        <v>0</v>
      </c>
    </row>
    <row r="239" spans="1:3" x14ac:dyDescent="0.25">
      <c r="A239" t="s">
        <v>4900</v>
      </c>
      <c r="B239" t="s">
        <v>4901</v>
      </c>
      <c r="C239">
        <f>COUNTIF(Data!G239:G3604, A239)</f>
        <v>0</v>
      </c>
    </row>
    <row r="240" spans="1:3" x14ac:dyDescent="0.25">
      <c r="A240" t="s">
        <v>4902</v>
      </c>
      <c r="B240" t="s">
        <v>4903</v>
      </c>
      <c r="C240">
        <f>COUNTIF(Data!G240:G3605, A240)</f>
        <v>0</v>
      </c>
    </row>
    <row r="241" spans="1:3" x14ac:dyDescent="0.25">
      <c r="A241" t="s">
        <v>4904</v>
      </c>
      <c r="B241" t="s">
        <v>4905</v>
      </c>
      <c r="C241">
        <f>COUNTIF(Data!G241:G3606, A241)</f>
        <v>0</v>
      </c>
    </row>
    <row r="242" spans="1:3" x14ac:dyDescent="0.25">
      <c r="A242" t="s">
        <v>4906</v>
      </c>
      <c r="B242" t="s">
        <v>4907</v>
      </c>
      <c r="C242">
        <f>COUNTIF(Data!G242:G3607, A242)</f>
        <v>0</v>
      </c>
    </row>
    <row r="243" spans="1:3" x14ac:dyDescent="0.25">
      <c r="A243" t="s">
        <v>4908</v>
      </c>
      <c r="B243" t="s">
        <v>4909</v>
      </c>
      <c r="C243">
        <f>COUNTIF(Data!G243:G3608, A243)</f>
        <v>0</v>
      </c>
    </row>
    <row r="244" spans="1:3" x14ac:dyDescent="0.25">
      <c r="A244" t="s">
        <v>4910</v>
      </c>
      <c r="B244" t="s">
        <v>4911</v>
      </c>
      <c r="C244">
        <f>COUNTIF(Data!G244:G3609, A244)</f>
        <v>0</v>
      </c>
    </row>
    <row r="245" spans="1:3" x14ac:dyDescent="0.25">
      <c r="A245" t="s">
        <v>4912</v>
      </c>
      <c r="B245" t="s">
        <v>4913</v>
      </c>
      <c r="C245">
        <f>COUNTIF(Data!G245:G3610, A245)</f>
        <v>0</v>
      </c>
    </row>
    <row r="246" spans="1:3" x14ac:dyDescent="0.25">
      <c r="A246" t="s">
        <v>4914</v>
      </c>
      <c r="B246" t="s">
        <v>4915</v>
      </c>
      <c r="C246">
        <f>COUNTIF(Data!G246:G3611, A246)</f>
        <v>0</v>
      </c>
    </row>
    <row r="247" spans="1:3" x14ac:dyDescent="0.25">
      <c r="A247" t="s">
        <v>4916</v>
      </c>
      <c r="B247" t="s">
        <v>4917</v>
      </c>
      <c r="C247">
        <f>COUNTIF(Data!G247:G3612, A247)</f>
        <v>0</v>
      </c>
    </row>
    <row r="248" spans="1:3" x14ac:dyDescent="0.25">
      <c r="A248" t="s">
        <v>4918</v>
      </c>
      <c r="B248" t="s">
        <v>4919</v>
      </c>
      <c r="C248">
        <f>COUNTIF(Data!G248:G3613, A248)</f>
        <v>0</v>
      </c>
    </row>
    <row r="249" spans="1:3" x14ac:dyDescent="0.25">
      <c r="A249" t="s">
        <v>4920</v>
      </c>
      <c r="B249" t="s">
        <v>4921</v>
      </c>
      <c r="C249">
        <f>COUNTIF(Data!G249:G3614, A249)</f>
        <v>0</v>
      </c>
    </row>
    <row r="250" spans="1:3" x14ac:dyDescent="0.25">
      <c r="A250" t="s">
        <v>4922</v>
      </c>
      <c r="B250" t="s">
        <v>4923</v>
      </c>
      <c r="C250">
        <f>COUNTIF(Data!G250:G3615, A250)</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398"/>
  <sheetViews>
    <sheetView topLeftCell="A1938" workbookViewId="0">
      <selection activeCell="A1957" sqref="A1957"/>
    </sheetView>
  </sheetViews>
  <sheetFormatPr defaultRowHeight="15" x14ac:dyDescent="0.25"/>
  <cols>
    <col min="1" max="1" width="17.42578125" bestFit="1" customWidth="1"/>
    <col min="2" max="2" width="2.7109375" bestFit="1" customWidth="1"/>
  </cols>
  <sheetData>
    <row r="1" spans="1:2" x14ac:dyDescent="0.25">
      <c r="A1" t="s">
        <v>4925</v>
      </c>
      <c r="B1">
        <v>-2</v>
      </c>
    </row>
    <row r="2" spans="1:2" x14ac:dyDescent="0.25">
      <c r="A2" t="s">
        <v>4926</v>
      </c>
      <c r="B2">
        <v>-2</v>
      </c>
    </row>
    <row r="3" spans="1:2" x14ac:dyDescent="0.25">
      <c r="A3" t="s">
        <v>4927</v>
      </c>
      <c r="B3">
        <v>-2</v>
      </c>
    </row>
    <row r="4" spans="1:2" x14ac:dyDescent="0.25">
      <c r="A4" t="s">
        <v>4928</v>
      </c>
      <c r="B4">
        <v>-2</v>
      </c>
    </row>
    <row r="5" spans="1:2" x14ac:dyDescent="0.25">
      <c r="A5" t="s">
        <v>4929</v>
      </c>
      <c r="B5">
        <v>-2</v>
      </c>
    </row>
    <row r="6" spans="1:2" x14ac:dyDescent="0.25">
      <c r="A6" t="s">
        <v>4930</v>
      </c>
      <c r="B6">
        <v>-2</v>
      </c>
    </row>
    <row r="7" spans="1:2" x14ac:dyDescent="0.25">
      <c r="A7" t="s">
        <v>4931</v>
      </c>
      <c r="B7">
        <v>-3</v>
      </c>
    </row>
    <row r="8" spans="1:2" x14ac:dyDescent="0.25">
      <c r="A8" t="s">
        <v>4932</v>
      </c>
      <c r="B8">
        <v>-3</v>
      </c>
    </row>
    <row r="9" spans="1:2" x14ac:dyDescent="0.25">
      <c r="A9" t="s">
        <v>4933</v>
      </c>
      <c r="B9">
        <v>-3</v>
      </c>
    </row>
    <row r="10" spans="1:2" x14ac:dyDescent="0.25">
      <c r="A10" t="s">
        <v>4934</v>
      </c>
      <c r="B10">
        <v>-3</v>
      </c>
    </row>
    <row r="11" spans="1:2" x14ac:dyDescent="0.25">
      <c r="A11" t="s">
        <v>4935</v>
      </c>
      <c r="B11">
        <v>2</v>
      </c>
    </row>
    <row r="12" spans="1:2" x14ac:dyDescent="0.25">
      <c r="A12" t="s">
        <v>4936</v>
      </c>
      <c r="B12">
        <v>2</v>
      </c>
    </row>
    <row r="13" spans="1:2" x14ac:dyDescent="0.25">
      <c r="A13" t="s">
        <v>4937</v>
      </c>
      <c r="B13">
        <v>1</v>
      </c>
    </row>
    <row r="14" spans="1:2" x14ac:dyDescent="0.25">
      <c r="A14" t="s">
        <v>4938</v>
      </c>
      <c r="B14">
        <v>-1</v>
      </c>
    </row>
    <row r="15" spans="1:2" x14ac:dyDescent="0.25">
      <c r="A15" t="s">
        <v>4939</v>
      </c>
      <c r="B15">
        <v>-1</v>
      </c>
    </row>
    <row r="16" spans="1:2" x14ac:dyDescent="0.25">
      <c r="A16" t="s">
        <v>4940</v>
      </c>
      <c r="B16">
        <v>2</v>
      </c>
    </row>
    <row r="17" spans="1:2" x14ac:dyDescent="0.25">
      <c r="A17" t="s">
        <v>4941</v>
      </c>
      <c r="B17">
        <v>2</v>
      </c>
    </row>
    <row r="18" spans="1:2" x14ac:dyDescent="0.25">
      <c r="A18" t="s">
        <v>4942</v>
      </c>
      <c r="B18">
        <v>2</v>
      </c>
    </row>
    <row r="19" spans="1:2" x14ac:dyDescent="0.25">
      <c r="A19" t="s">
        <v>4943</v>
      </c>
      <c r="B19">
        <v>2</v>
      </c>
    </row>
    <row r="20" spans="1:2" x14ac:dyDescent="0.25">
      <c r="A20" t="s">
        <v>4944</v>
      </c>
      <c r="B20">
        <v>1</v>
      </c>
    </row>
    <row r="21" spans="1:2" x14ac:dyDescent="0.25">
      <c r="A21" t="s">
        <v>4945</v>
      </c>
      <c r="B21">
        <v>-3</v>
      </c>
    </row>
    <row r="22" spans="1:2" x14ac:dyDescent="0.25">
      <c r="A22" t="s">
        <v>4946</v>
      </c>
      <c r="B22">
        <v>-3</v>
      </c>
    </row>
    <row r="23" spans="1:2" x14ac:dyDescent="0.25">
      <c r="A23" t="s">
        <v>4947</v>
      </c>
      <c r="B23">
        <v>-3</v>
      </c>
    </row>
    <row r="24" spans="1:2" x14ac:dyDescent="0.25">
      <c r="A24" t="s">
        <v>4948</v>
      </c>
      <c r="B24">
        <v>-3</v>
      </c>
    </row>
    <row r="25" spans="1:2" x14ac:dyDescent="0.25">
      <c r="A25" t="s">
        <v>4949</v>
      </c>
      <c r="B25">
        <v>1</v>
      </c>
    </row>
    <row r="26" spans="1:2" x14ac:dyDescent="0.25">
      <c r="A26" t="s">
        <v>4950</v>
      </c>
      <c r="B26">
        <v>1</v>
      </c>
    </row>
    <row r="27" spans="1:2" x14ac:dyDescent="0.25">
      <c r="A27" t="s">
        <v>4951</v>
      </c>
      <c r="B27">
        <v>1</v>
      </c>
    </row>
    <row r="28" spans="1:2" x14ac:dyDescent="0.25">
      <c r="A28" t="s">
        <v>4952</v>
      </c>
      <c r="B28">
        <v>1</v>
      </c>
    </row>
    <row r="29" spans="1:2" x14ac:dyDescent="0.25">
      <c r="A29" t="s">
        <v>4953</v>
      </c>
      <c r="B29">
        <v>-2</v>
      </c>
    </row>
    <row r="30" spans="1:2" x14ac:dyDescent="0.25">
      <c r="A30" t="s">
        <v>4954</v>
      </c>
      <c r="B30">
        <v>-2</v>
      </c>
    </row>
    <row r="31" spans="1:2" x14ac:dyDescent="0.25">
      <c r="A31" t="s">
        <v>4955</v>
      </c>
      <c r="B31">
        <v>-2</v>
      </c>
    </row>
    <row r="32" spans="1:2" x14ac:dyDescent="0.25">
      <c r="A32" t="s">
        <v>4956</v>
      </c>
      <c r="B32">
        <v>-2</v>
      </c>
    </row>
    <row r="33" spans="1:2" x14ac:dyDescent="0.25">
      <c r="A33" t="s">
        <v>4957</v>
      </c>
      <c r="B33">
        <v>2</v>
      </c>
    </row>
    <row r="34" spans="1:2" x14ac:dyDescent="0.25">
      <c r="A34" t="s">
        <v>4958</v>
      </c>
      <c r="B34">
        <v>2</v>
      </c>
    </row>
    <row r="35" spans="1:2" x14ac:dyDescent="0.25">
      <c r="A35" t="s">
        <v>4959</v>
      </c>
      <c r="B35">
        <v>2</v>
      </c>
    </row>
    <row r="36" spans="1:2" x14ac:dyDescent="0.25">
      <c r="A36" t="s">
        <v>4960</v>
      </c>
      <c r="B36">
        <v>-2</v>
      </c>
    </row>
    <row r="37" spans="1:2" x14ac:dyDescent="0.25">
      <c r="A37" t="s">
        <v>4961</v>
      </c>
      <c r="B37">
        <v>-2</v>
      </c>
    </row>
    <row r="38" spans="1:2" x14ac:dyDescent="0.25">
      <c r="A38" t="s">
        <v>4962</v>
      </c>
      <c r="B38">
        <v>-2</v>
      </c>
    </row>
    <row r="39" spans="1:2" x14ac:dyDescent="0.25">
      <c r="A39" t="s">
        <v>4963</v>
      </c>
      <c r="B39">
        <v>-2</v>
      </c>
    </row>
    <row r="40" spans="1:2" x14ac:dyDescent="0.25">
      <c r="A40" t="s">
        <v>4964</v>
      </c>
      <c r="B40">
        <v>-2</v>
      </c>
    </row>
    <row r="41" spans="1:2" x14ac:dyDescent="0.25">
      <c r="A41" t="s">
        <v>4965</v>
      </c>
      <c r="B41">
        <v>-2</v>
      </c>
    </row>
    <row r="42" spans="1:2" x14ac:dyDescent="0.25">
      <c r="A42" t="s">
        <v>4966</v>
      </c>
      <c r="B42">
        <v>-2</v>
      </c>
    </row>
    <row r="43" spans="1:2" x14ac:dyDescent="0.25">
      <c r="A43" t="s">
        <v>4967</v>
      </c>
      <c r="B43">
        <v>1</v>
      </c>
    </row>
    <row r="44" spans="1:2" x14ac:dyDescent="0.25">
      <c r="A44" t="s">
        <v>4968</v>
      </c>
      <c r="B44">
        <v>-2</v>
      </c>
    </row>
    <row r="45" spans="1:2" x14ac:dyDescent="0.25">
      <c r="A45" t="s">
        <v>4969</v>
      </c>
      <c r="B45">
        <v>2</v>
      </c>
    </row>
    <row r="46" spans="1:2" x14ac:dyDescent="0.25">
      <c r="A46" t="s">
        <v>4970</v>
      </c>
      <c r="B46">
        <v>2</v>
      </c>
    </row>
    <row r="47" spans="1:2" x14ac:dyDescent="0.25">
      <c r="A47" t="s">
        <v>4971</v>
      </c>
      <c r="B47">
        <v>2</v>
      </c>
    </row>
    <row r="48" spans="1:2" x14ac:dyDescent="0.25">
      <c r="A48" t="s">
        <v>4972</v>
      </c>
      <c r="B48">
        <v>2</v>
      </c>
    </row>
    <row r="49" spans="1:2" x14ac:dyDescent="0.25">
      <c r="A49" t="s">
        <v>4973</v>
      </c>
      <c r="B49">
        <v>-3</v>
      </c>
    </row>
    <row r="50" spans="1:2" x14ac:dyDescent="0.25">
      <c r="A50" t="s">
        <v>4974</v>
      </c>
      <c r="B50">
        <v>1</v>
      </c>
    </row>
    <row r="51" spans="1:2" x14ac:dyDescent="0.25">
      <c r="A51" t="s">
        <v>4975</v>
      </c>
      <c r="B51">
        <v>1</v>
      </c>
    </row>
    <row r="52" spans="1:2" x14ac:dyDescent="0.25">
      <c r="A52" t="s">
        <v>4976</v>
      </c>
      <c r="B52">
        <v>3</v>
      </c>
    </row>
    <row r="53" spans="1:2" x14ac:dyDescent="0.25">
      <c r="A53" t="s">
        <v>4977</v>
      </c>
      <c r="B53">
        <v>3</v>
      </c>
    </row>
    <row r="54" spans="1:2" x14ac:dyDescent="0.25">
      <c r="A54" t="s">
        <v>4978</v>
      </c>
      <c r="B54">
        <v>3</v>
      </c>
    </row>
    <row r="55" spans="1:2" x14ac:dyDescent="0.25">
      <c r="A55" t="s">
        <v>4979</v>
      </c>
      <c r="B55">
        <v>3</v>
      </c>
    </row>
    <row r="56" spans="1:2" x14ac:dyDescent="0.25">
      <c r="A56" t="s">
        <v>4980</v>
      </c>
      <c r="B56">
        <v>-1</v>
      </c>
    </row>
    <row r="57" spans="1:2" x14ac:dyDescent="0.25">
      <c r="A57" t="s">
        <v>4981</v>
      </c>
      <c r="B57">
        <v>-1</v>
      </c>
    </row>
    <row r="58" spans="1:2" x14ac:dyDescent="0.25">
      <c r="A58" t="s">
        <v>4982</v>
      </c>
      <c r="B58">
        <v>-1</v>
      </c>
    </row>
    <row r="59" spans="1:2" x14ac:dyDescent="0.25">
      <c r="A59" t="s">
        <v>4983</v>
      </c>
      <c r="B59">
        <v>-2</v>
      </c>
    </row>
    <row r="60" spans="1:2" x14ac:dyDescent="0.25">
      <c r="A60" t="s">
        <v>4984</v>
      </c>
      <c r="B60">
        <v>-2</v>
      </c>
    </row>
    <row r="61" spans="1:2" x14ac:dyDescent="0.25">
      <c r="A61" t="s">
        <v>4985</v>
      </c>
      <c r="B61">
        <v>1</v>
      </c>
    </row>
    <row r="62" spans="1:2" x14ac:dyDescent="0.25">
      <c r="A62" t="s">
        <v>4986</v>
      </c>
      <c r="B62">
        <v>1</v>
      </c>
    </row>
    <row r="63" spans="1:2" x14ac:dyDescent="0.25">
      <c r="A63" t="s">
        <v>4987</v>
      </c>
      <c r="B63">
        <v>3</v>
      </c>
    </row>
    <row r="64" spans="1:2" x14ac:dyDescent="0.25">
      <c r="A64" t="s">
        <v>4988</v>
      </c>
      <c r="B64">
        <v>3</v>
      </c>
    </row>
    <row r="65" spans="1:2" x14ac:dyDescent="0.25">
      <c r="A65" t="s">
        <v>4989</v>
      </c>
      <c r="B65">
        <v>3</v>
      </c>
    </row>
    <row r="66" spans="1:2" x14ac:dyDescent="0.25">
      <c r="A66" t="s">
        <v>4990</v>
      </c>
      <c r="B66">
        <v>3</v>
      </c>
    </row>
    <row r="67" spans="1:2" x14ac:dyDescent="0.25">
      <c r="A67" t="s">
        <v>4991</v>
      </c>
      <c r="B67">
        <v>1</v>
      </c>
    </row>
    <row r="68" spans="1:2" x14ac:dyDescent="0.25">
      <c r="A68" t="s">
        <v>4992</v>
      </c>
      <c r="B68">
        <v>2</v>
      </c>
    </row>
    <row r="69" spans="1:2" x14ac:dyDescent="0.25">
      <c r="A69" t="s">
        <v>4993</v>
      </c>
      <c r="B69">
        <v>2</v>
      </c>
    </row>
    <row r="70" spans="1:2" x14ac:dyDescent="0.25">
      <c r="A70" t="s">
        <v>4994</v>
      </c>
      <c r="B70">
        <v>2</v>
      </c>
    </row>
    <row r="71" spans="1:2" x14ac:dyDescent="0.25">
      <c r="A71" t="s">
        <v>4995</v>
      </c>
      <c r="B71">
        <v>2</v>
      </c>
    </row>
    <row r="72" spans="1:2" x14ac:dyDescent="0.25">
      <c r="A72" t="s">
        <v>4996</v>
      </c>
      <c r="B72">
        <v>2</v>
      </c>
    </row>
    <row r="73" spans="1:2" x14ac:dyDescent="0.25">
      <c r="A73" t="s">
        <v>4997</v>
      </c>
      <c r="B73">
        <v>-1</v>
      </c>
    </row>
    <row r="74" spans="1:2" x14ac:dyDescent="0.25">
      <c r="A74" t="s">
        <v>4998</v>
      </c>
      <c r="B74">
        <v>3</v>
      </c>
    </row>
    <row r="75" spans="1:2" x14ac:dyDescent="0.25">
      <c r="A75" t="s">
        <v>4999</v>
      </c>
      <c r="B75">
        <v>3</v>
      </c>
    </row>
    <row r="76" spans="1:2" x14ac:dyDescent="0.25">
      <c r="A76" t="s">
        <v>5000</v>
      </c>
      <c r="B76">
        <v>-1</v>
      </c>
    </row>
    <row r="77" spans="1:2" x14ac:dyDescent="0.25">
      <c r="A77" t="s">
        <v>5001</v>
      </c>
      <c r="B77">
        <v>-1</v>
      </c>
    </row>
    <row r="78" spans="1:2" x14ac:dyDescent="0.25">
      <c r="A78" t="s">
        <v>5002</v>
      </c>
      <c r="B78">
        <v>-2</v>
      </c>
    </row>
    <row r="79" spans="1:2" x14ac:dyDescent="0.25">
      <c r="A79" t="s">
        <v>5003</v>
      </c>
      <c r="B79">
        <v>-2</v>
      </c>
    </row>
    <row r="80" spans="1:2" x14ac:dyDescent="0.25">
      <c r="A80" t="s">
        <v>5004</v>
      </c>
      <c r="B80">
        <v>-2</v>
      </c>
    </row>
    <row r="81" spans="1:2" x14ac:dyDescent="0.25">
      <c r="A81" t="s">
        <v>5005</v>
      </c>
      <c r="B81">
        <v>-2</v>
      </c>
    </row>
    <row r="82" spans="1:2" x14ac:dyDescent="0.25">
      <c r="A82" t="s">
        <v>5006</v>
      </c>
      <c r="B82">
        <v>-2</v>
      </c>
    </row>
    <row r="83" spans="1:2" x14ac:dyDescent="0.25">
      <c r="A83" t="s">
        <v>5007</v>
      </c>
      <c r="B83">
        <v>-2</v>
      </c>
    </row>
    <row r="84" spans="1:2" x14ac:dyDescent="0.25">
      <c r="A84" t="s">
        <v>5008</v>
      </c>
      <c r="B84">
        <v>-2</v>
      </c>
    </row>
    <row r="85" spans="1:2" x14ac:dyDescent="0.25">
      <c r="A85" t="s">
        <v>5009</v>
      </c>
      <c r="B85">
        <v>-2</v>
      </c>
    </row>
    <row r="86" spans="1:2" x14ac:dyDescent="0.25">
      <c r="A86" t="s">
        <v>5010</v>
      </c>
      <c r="B86">
        <v>-2</v>
      </c>
    </row>
    <row r="87" spans="1:2" x14ac:dyDescent="0.25">
      <c r="A87" t="s">
        <v>5011</v>
      </c>
      <c r="B87">
        <v>-3</v>
      </c>
    </row>
    <row r="88" spans="1:2" x14ac:dyDescent="0.25">
      <c r="A88" t="s">
        <v>5012</v>
      </c>
      <c r="B88">
        <v>-3</v>
      </c>
    </row>
    <row r="89" spans="1:2" x14ac:dyDescent="0.25">
      <c r="A89" t="s">
        <v>5013</v>
      </c>
      <c r="B89">
        <v>-3</v>
      </c>
    </row>
    <row r="90" spans="1:2" x14ac:dyDescent="0.25">
      <c r="A90" t="s">
        <v>5014</v>
      </c>
      <c r="B90">
        <v>-3</v>
      </c>
    </row>
    <row r="91" spans="1:2" x14ac:dyDescent="0.25">
      <c r="A91" t="s">
        <v>5015</v>
      </c>
      <c r="B91">
        <v>-3</v>
      </c>
    </row>
    <row r="92" spans="1:2" x14ac:dyDescent="0.25">
      <c r="A92" t="s">
        <v>5016</v>
      </c>
      <c r="B92">
        <v>-3</v>
      </c>
    </row>
    <row r="93" spans="1:2" x14ac:dyDescent="0.25">
      <c r="A93" t="s">
        <v>5017</v>
      </c>
      <c r="B93">
        <v>-3</v>
      </c>
    </row>
    <row r="94" spans="1:2" x14ac:dyDescent="0.25">
      <c r="A94" t="s">
        <v>5018</v>
      </c>
      <c r="B94">
        <v>-3</v>
      </c>
    </row>
    <row r="95" spans="1:2" x14ac:dyDescent="0.25">
      <c r="A95" t="s">
        <v>5019</v>
      </c>
      <c r="B95">
        <v>1</v>
      </c>
    </row>
    <row r="96" spans="1:2" x14ac:dyDescent="0.25">
      <c r="A96" t="s">
        <v>5020</v>
      </c>
      <c r="B96">
        <v>2</v>
      </c>
    </row>
    <row r="97" spans="1:2" x14ac:dyDescent="0.25">
      <c r="A97" t="s">
        <v>5021</v>
      </c>
      <c r="B97">
        <v>1</v>
      </c>
    </row>
    <row r="98" spans="1:2" x14ac:dyDescent="0.25">
      <c r="A98" t="s">
        <v>5022</v>
      </c>
      <c r="B98">
        <v>1</v>
      </c>
    </row>
    <row r="99" spans="1:2" x14ac:dyDescent="0.25">
      <c r="A99" t="s">
        <v>5023</v>
      </c>
      <c r="B99">
        <v>1</v>
      </c>
    </row>
    <row r="100" spans="1:2" x14ac:dyDescent="0.25">
      <c r="A100" t="s">
        <v>5024</v>
      </c>
      <c r="B100">
        <v>-2</v>
      </c>
    </row>
    <row r="101" spans="1:2" x14ac:dyDescent="0.25">
      <c r="A101" t="s">
        <v>5025</v>
      </c>
      <c r="B101">
        <v>-2</v>
      </c>
    </row>
    <row r="102" spans="1:2" x14ac:dyDescent="0.25">
      <c r="A102" t="s">
        <v>5026</v>
      </c>
      <c r="B102">
        <v>-2</v>
      </c>
    </row>
    <row r="103" spans="1:2" x14ac:dyDescent="0.25">
      <c r="A103" t="s">
        <v>5027</v>
      </c>
      <c r="B103">
        <v>-2</v>
      </c>
    </row>
    <row r="104" spans="1:2" x14ac:dyDescent="0.25">
      <c r="A104" t="s">
        <v>5028</v>
      </c>
      <c r="B104">
        <v>-1</v>
      </c>
    </row>
    <row r="105" spans="1:2" x14ac:dyDescent="0.25">
      <c r="A105" t="s">
        <v>5029</v>
      </c>
      <c r="B105">
        <v>-1</v>
      </c>
    </row>
    <row r="106" spans="1:2" x14ac:dyDescent="0.25">
      <c r="A106" t="s">
        <v>5030</v>
      </c>
      <c r="B106">
        <v>-2</v>
      </c>
    </row>
    <row r="107" spans="1:2" x14ac:dyDescent="0.25">
      <c r="A107" t="s">
        <v>5031</v>
      </c>
      <c r="B107">
        <v>1</v>
      </c>
    </row>
    <row r="108" spans="1:2" x14ac:dyDescent="0.25">
      <c r="A108" t="s">
        <v>5032</v>
      </c>
      <c r="B108">
        <v>-2</v>
      </c>
    </row>
    <row r="109" spans="1:2" x14ac:dyDescent="0.25">
      <c r="A109" t="s">
        <v>5033</v>
      </c>
      <c r="B109">
        <v>1</v>
      </c>
    </row>
    <row r="110" spans="1:2" x14ac:dyDescent="0.25">
      <c r="A110" t="s">
        <v>5034</v>
      </c>
      <c r="B110">
        <v>-2</v>
      </c>
    </row>
    <row r="111" spans="1:2" x14ac:dyDescent="0.25">
      <c r="A111" t="s">
        <v>5035</v>
      </c>
      <c r="B111">
        <v>2</v>
      </c>
    </row>
    <row r="112" spans="1:2" x14ac:dyDescent="0.25">
      <c r="A112" t="s">
        <v>5036</v>
      </c>
      <c r="B112">
        <v>2</v>
      </c>
    </row>
    <row r="113" spans="1:2" x14ac:dyDescent="0.25">
      <c r="A113" t="s">
        <v>5037</v>
      </c>
      <c r="B113">
        <v>2</v>
      </c>
    </row>
    <row r="114" spans="1:2" x14ac:dyDescent="0.25">
      <c r="A114" t="s">
        <v>310</v>
      </c>
      <c r="B114">
        <v>4</v>
      </c>
    </row>
    <row r="115" spans="1:2" x14ac:dyDescent="0.25">
      <c r="A115" t="s">
        <v>5038</v>
      </c>
      <c r="B115">
        <v>2</v>
      </c>
    </row>
    <row r="116" spans="1:2" x14ac:dyDescent="0.25">
      <c r="A116" t="s">
        <v>5039</v>
      </c>
      <c r="B116">
        <v>-1</v>
      </c>
    </row>
    <row r="117" spans="1:2" x14ac:dyDescent="0.25">
      <c r="A117" t="s">
        <v>5040</v>
      </c>
      <c r="B117">
        <v>3</v>
      </c>
    </row>
    <row r="118" spans="1:2" x14ac:dyDescent="0.25">
      <c r="A118" t="s">
        <v>5041</v>
      </c>
      <c r="B118">
        <v>3</v>
      </c>
    </row>
    <row r="119" spans="1:2" x14ac:dyDescent="0.25">
      <c r="A119" t="s">
        <v>5042</v>
      </c>
      <c r="B119">
        <v>3</v>
      </c>
    </row>
    <row r="120" spans="1:2" x14ac:dyDescent="0.25">
      <c r="A120" t="s">
        <v>5043</v>
      </c>
      <c r="B120">
        <v>3</v>
      </c>
    </row>
    <row r="121" spans="1:2" x14ac:dyDescent="0.25">
      <c r="A121" t="s">
        <v>5044</v>
      </c>
      <c r="B121">
        <v>-3</v>
      </c>
    </row>
    <row r="122" spans="1:2" x14ac:dyDescent="0.25">
      <c r="A122" t="s">
        <v>5045</v>
      </c>
      <c r="B122">
        <v>-3</v>
      </c>
    </row>
    <row r="123" spans="1:2" x14ac:dyDescent="0.25">
      <c r="A123" t="s">
        <v>5046</v>
      </c>
      <c r="B123">
        <v>-3</v>
      </c>
    </row>
    <row r="124" spans="1:2" x14ac:dyDescent="0.25">
      <c r="A124" t="s">
        <v>5047</v>
      </c>
      <c r="B124">
        <v>-3</v>
      </c>
    </row>
    <row r="125" spans="1:2" x14ac:dyDescent="0.25">
      <c r="A125" t="s">
        <v>5048</v>
      </c>
      <c r="B125">
        <v>-3</v>
      </c>
    </row>
    <row r="126" spans="1:2" x14ac:dyDescent="0.25">
      <c r="A126" t="s">
        <v>5049</v>
      </c>
      <c r="B126">
        <v>-2</v>
      </c>
    </row>
    <row r="127" spans="1:2" x14ac:dyDescent="0.25">
      <c r="A127" t="s">
        <v>5050</v>
      </c>
      <c r="B127">
        <v>-2</v>
      </c>
    </row>
    <row r="128" spans="1:2" x14ac:dyDescent="0.25">
      <c r="A128" t="s">
        <v>5051</v>
      </c>
      <c r="B128">
        <v>-2</v>
      </c>
    </row>
    <row r="129" spans="1:2" x14ac:dyDescent="0.25">
      <c r="A129" t="s">
        <v>5052</v>
      </c>
      <c r="B129">
        <v>-2</v>
      </c>
    </row>
    <row r="130" spans="1:2" x14ac:dyDescent="0.25">
      <c r="A130" t="s">
        <v>5053</v>
      </c>
      <c r="B130">
        <v>-2</v>
      </c>
    </row>
    <row r="131" spans="1:2" x14ac:dyDescent="0.25">
      <c r="A131" t="s">
        <v>5054</v>
      </c>
      <c r="B131">
        <v>-2</v>
      </c>
    </row>
    <row r="132" spans="1:2" x14ac:dyDescent="0.25">
      <c r="A132" t="s">
        <v>5055</v>
      </c>
      <c r="B132">
        <v>-2</v>
      </c>
    </row>
    <row r="133" spans="1:2" x14ac:dyDescent="0.25">
      <c r="A133" t="s">
        <v>5056</v>
      </c>
      <c r="B133">
        <v>-1</v>
      </c>
    </row>
    <row r="134" spans="1:2" x14ac:dyDescent="0.25">
      <c r="A134" t="s">
        <v>5057</v>
      </c>
      <c r="B134">
        <v>1</v>
      </c>
    </row>
    <row r="135" spans="1:2" x14ac:dyDescent="0.25">
      <c r="A135" t="s">
        <v>5058</v>
      </c>
      <c r="B135">
        <v>-2</v>
      </c>
    </row>
    <row r="136" spans="1:2" x14ac:dyDescent="0.25">
      <c r="A136" t="s">
        <v>5059</v>
      </c>
      <c r="B136">
        <v>-2</v>
      </c>
    </row>
    <row r="137" spans="1:2" x14ac:dyDescent="0.25">
      <c r="A137" t="s">
        <v>5060</v>
      </c>
      <c r="B137">
        <v>-3</v>
      </c>
    </row>
    <row r="138" spans="1:2" x14ac:dyDescent="0.25">
      <c r="A138" t="s">
        <v>5061</v>
      </c>
      <c r="B138">
        <v>-3</v>
      </c>
    </row>
    <row r="139" spans="1:2" x14ac:dyDescent="0.25">
      <c r="A139" t="s">
        <v>5062</v>
      </c>
      <c r="B139">
        <v>-3</v>
      </c>
    </row>
    <row r="140" spans="1:2" x14ac:dyDescent="0.25">
      <c r="A140" t="s">
        <v>5063</v>
      </c>
      <c r="B140">
        <v>-2</v>
      </c>
    </row>
    <row r="141" spans="1:2" x14ac:dyDescent="0.25">
      <c r="A141" t="s">
        <v>5064</v>
      </c>
      <c r="B141">
        <v>-1</v>
      </c>
    </row>
    <row r="142" spans="1:2" x14ac:dyDescent="0.25">
      <c r="A142" t="s">
        <v>5065</v>
      </c>
      <c r="B142">
        <v>-1</v>
      </c>
    </row>
    <row r="143" spans="1:2" x14ac:dyDescent="0.25">
      <c r="A143" t="s">
        <v>5066</v>
      </c>
      <c r="B143">
        <v>-1</v>
      </c>
    </row>
    <row r="144" spans="1:2" x14ac:dyDescent="0.25">
      <c r="A144" t="s">
        <v>5067</v>
      </c>
      <c r="B144">
        <v>-1</v>
      </c>
    </row>
    <row r="145" spans="1:2" x14ac:dyDescent="0.25">
      <c r="A145" t="s">
        <v>5068</v>
      </c>
      <c r="B145">
        <v>-1</v>
      </c>
    </row>
    <row r="146" spans="1:2" x14ac:dyDescent="0.25">
      <c r="A146" t="s">
        <v>5069</v>
      </c>
      <c r="B146">
        <v>-1</v>
      </c>
    </row>
    <row r="147" spans="1:2" x14ac:dyDescent="0.25">
      <c r="A147" t="s">
        <v>5070</v>
      </c>
      <c r="B147">
        <v>-1</v>
      </c>
    </row>
    <row r="148" spans="1:2" x14ac:dyDescent="0.25">
      <c r="A148" t="s">
        <v>5071</v>
      </c>
      <c r="B148">
        <v>-1</v>
      </c>
    </row>
    <row r="149" spans="1:2" x14ac:dyDescent="0.25">
      <c r="A149" t="s">
        <v>5072</v>
      </c>
      <c r="B149">
        <v>-1</v>
      </c>
    </row>
    <row r="150" spans="1:2" x14ac:dyDescent="0.25">
      <c r="A150" t="s">
        <v>5073</v>
      </c>
      <c r="B150">
        <v>-2</v>
      </c>
    </row>
    <row r="151" spans="1:2" x14ac:dyDescent="0.25">
      <c r="A151" t="s">
        <v>5074</v>
      </c>
      <c r="B151">
        <v>-2</v>
      </c>
    </row>
    <row r="152" spans="1:2" x14ac:dyDescent="0.25">
      <c r="A152" t="s">
        <v>5075</v>
      </c>
      <c r="B152">
        <v>2</v>
      </c>
    </row>
    <row r="153" spans="1:2" x14ac:dyDescent="0.25">
      <c r="A153" t="s">
        <v>5076</v>
      </c>
      <c r="B153">
        <v>2</v>
      </c>
    </row>
    <row r="154" spans="1:2" x14ac:dyDescent="0.25">
      <c r="A154" t="s">
        <v>5077</v>
      </c>
      <c r="B154">
        <v>2</v>
      </c>
    </row>
    <row r="155" spans="1:2" x14ac:dyDescent="0.25">
      <c r="A155" t="s">
        <v>5078</v>
      </c>
      <c r="B155">
        <v>2</v>
      </c>
    </row>
    <row r="156" spans="1:2" x14ac:dyDescent="0.25">
      <c r="A156" t="s">
        <v>5079</v>
      </c>
      <c r="B156">
        <v>2</v>
      </c>
    </row>
    <row r="157" spans="1:2" x14ac:dyDescent="0.25">
      <c r="A157" t="s">
        <v>5080</v>
      </c>
      <c r="B157">
        <v>2</v>
      </c>
    </row>
    <row r="158" spans="1:2" x14ac:dyDescent="0.25">
      <c r="A158" t="s">
        <v>5081</v>
      </c>
      <c r="B158">
        <v>2</v>
      </c>
    </row>
    <row r="159" spans="1:2" x14ac:dyDescent="0.25">
      <c r="A159" t="s">
        <v>5082</v>
      </c>
      <c r="B159">
        <v>2</v>
      </c>
    </row>
    <row r="160" spans="1:2" x14ac:dyDescent="0.25">
      <c r="A160" t="s">
        <v>5083</v>
      </c>
      <c r="B160">
        <v>2</v>
      </c>
    </row>
    <row r="161" spans="1:2" x14ac:dyDescent="0.25">
      <c r="A161" t="s">
        <v>5084</v>
      </c>
      <c r="B161">
        <v>2</v>
      </c>
    </row>
    <row r="162" spans="1:2" x14ac:dyDescent="0.25">
      <c r="A162" t="s">
        <v>5085</v>
      </c>
      <c r="B162">
        <v>2</v>
      </c>
    </row>
    <row r="163" spans="1:2" x14ac:dyDescent="0.25">
      <c r="A163" t="s">
        <v>5086</v>
      </c>
      <c r="B163">
        <v>2</v>
      </c>
    </row>
    <row r="164" spans="1:2" x14ac:dyDescent="0.25">
      <c r="A164" t="s">
        <v>5087</v>
      </c>
      <c r="B164">
        <v>2</v>
      </c>
    </row>
    <row r="165" spans="1:2" x14ac:dyDescent="0.25">
      <c r="A165" t="s">
        <v>5088</v>
      </c>
      <c r="B165">
        <v>2</v>
      </c>
    </row>
    <row r="166" spans="1:2" x14ac:dyDescent="0.25">
      <c r="A166" t="s">
        <v>5089</v>
      </c>
      <c r="B166">
        <v>-2</v>
      </c>
    </row>
    <row r="167" spans="1:2" x14ac:dyDescent="0.25">
      <c r="A167" t="s">
        <v>5090</v>
      </c>
      <c r="B167">
        <v>2</v>
      </c>
    </row>
    <row r="168" spans="1:2" x14ac:dyDescent="0.25">
      <c r="A168" t="s">
        <v>5091</v>
      </c>
      <c r="B168">
        <v>2</v>
      </c>
    </row>
    <row r="169" spans="1:2" x14ac:dyDescent="0.25">
      <c r="A169" t="s">
        <v>5092</v>
      </c>
      <c r="B169">
        <v>2</v>
      </c>
    </row>
    <row r="170" spans="1:2" x14ac:dyDescent="0.25">
      <c r="A170" t="s">
        <v>5093</v>
      </c>
      <c r="B170">
        <v>1</v>
      </c>
    </row>
    <row r="171" spans="1:2" x14ac:dyDescent="0.25">
      <c r="A171" t="s">
        <v>5094</v>
      </c>
      <c r="B171">
        <v>-2</v>
      </c>
    </row>
    <row r="172" spans="1:2" x14ac:dyDescent="0.25">
      <c r="A172" t="s">
        <v>5095</v>
      </c>
      <c r="B172">
        <v>-3</v>
      </c>
    </row>
    <row r="173" spans="1:2" x14ac:dyDescent="0.25">
      <c r="A173" t="s">
        <v>5096</v>
      </c>
      <c r="B173">
        <v>-2</v>
      </c>
    </row>
    <row r="174" spans="1:2" x14ac:dyDescent="0.25">
      <c r="A174" t="s">
        <v>5097</v>
      </c>
      <c r="B174">
        <v>-2</v>
      </c>
    </row>
    <row r="175" spans="1:2" x14ac:dyDescent="0.25">
      <c r="A175" t="s">
        <v>5098</v>
      </c>
      <c r="B175">
        <v>-2</v>
      </c>
    </row>
    <row r="176" spans="1:2" x14ac:dyDescent="0.25">
      <c r="A176" t="s">
        <v>5099</v>
      </c>
      <c r="B176">
        <v>-2</v>
      </c>
    </row>
    <row r="177" spans="1:2" x14ac:dyDescent="0.25">
      <c r="A177" t="s">
        <v>5100</v>
      </c>
      <c r="B177">
        <v>-4</v>
      </c>
    </row>
    <row r="178" spans="1:2" x14ac:dyDescent="0.25">
      <c r="A178" t="s">
        <v>5101</v>
      </c>
      <c r="B178">
        <v>-3</v>
      </c>
    </row>
    <row r="179" spans="1:2" x14ac:dyDescent="0.25">
      <c r="A179" t="s">
        <v>5102</v>
      </c>
      <c r="B179">
        <v>-3</v>
      </c>
    </row>
    <row r="180" spans="1:2" x14ac:dyDescent="0.25">
      <c r="A180" t="s">
        <v>5103</v>
      </c>
      <c r="B180">
        <v>2</v>
      </c>
    </row>
    <row r="181" spans="1:2" x14ac:dyDescent="0.25">
      <c r="A181" t="s">
        <v>5104</v>
      </c>
      <c r="B181">
        <v>2</v>
      </c>
    </row>
    <row r="182" spans="1:2" x14ac:dyDescent="0.25">
      <c r="A182" t="s">
        <v>5105</v>
      </c>
      <c r="B182">
        <v>-4</v>
      </c>
    </row>
    <row r="183" spans="1:2" x14ac:dyDescent="0.25">
      <c r="A183" t="s">
        <v>5106</v>
      </c>
      <c r="B183">
        <v>-4</v>
      </c>
    </row>
    <row r="184" spans="1:2" x14ac:dyDescent="0.25">
      <c r="A184" t="s">
        <v>5107</v>
      </c>
      <c r="B184">
        <v>2</v>
      </c>
    </row>
    <row r="185" spans="1:2" x14ac:dyDescent="0.25">
      <c r="A185" t="s">
        <v>5108</v>
      </c>
      <c r="B185">
        <v>3</v>
      </c>
    </row>
    <row r="186" spans="1:2" x14ac:dyDescent="0.25">
      <c r="A186" t="s">
        <v>5109</v>
      </c>
      <c r="B186">
        <v>3</v>
      </c>
    </row>
    <row r="187" spans="1:2" x14ac:dyDescent="0.25">
      <c r="A187" t="s">
        <v>5110</v>
      </c>
      <c r="B187">
        <v>3</v>
      </c>
    </row>
    <row r="188" spans="1:2" x14ac:dyDescent="0.25">
      <c r="A188" t="s">
        <v>5111</v>
      </c>
      <c r="B188">
        <v>3</v>
      </c>
    </row>
    <row r="189" spans="1:2" x14ac:dyDescent="0.25">
      <c r="A189" t="s">
        <v>5112</v>
      </c>
      <c r="B189">
        <v>3</v>
      </c>
    </row>
    <row r="190" spans="1:2" x14ac:dyDescent="0.25">
      <c r="A190" t="s">
        <v>5113</v>
      </c>
      <c r="B190">
        <v>-1</v>
      </c>
    </row>
    <row r="191" spans="1:2" x14ac:dyDescent="0.25">
      <c r="A191" t="s">
        <v>5114</v>
      </c>
      <c r="B191">
        <v>-1</v>
      </c>
    </row>
    <row r="192" spans="1:2" x14ac:dyDescent="0.25">
      <c r="A192" t="s">
        <v>5115</v>
      </c>
      <c r="B192">
        <v>-1</v>
      </c>
    </row>
    <row r="193" spans="1:2" x14ac:dyDescent="0.25">
      <c r="A193" t="s">
        <v>5116</v>
      </c>
      <c r="B193">
        <v>-1</v>
      </c>
    </row>
    <row r="194" spans="1:2" x14ac:dyDescent="0.25">
      <c r="A194" t="s">
        <v>5117</v>
      </c>
      <c r="B194">
        <v>1</v>
      </c>
    </row>
    <row r="195" spans="1:2" x14ac:dyDescent="0.25">
      <c r="A195" t="s">
        <v>5118</v>
      </c>
      <c r="B195">
        <v>1</v>
      </c>
    </row>
    <row r="196" spans="1:2" x14ac:dyDescent="0.25">
      <c r="A196" t="s">
        <v>5119</v>
      </c>
      <c r="B196">
        <v>2</v>
      </c>
    </row>
    <row r="197" spans="1:2" x14ac:dyDescent="0.25">
      <c r="A197" t="s">
        <v>5120</v>
      </c>
      <c r="B197">
        <v>2</v>
      </c>
    </row>
    <row r="198" spans="1:2" x14ac:dyDescent="0.25">
      <c r="A198" t="s">
        <v>5121</v>
      </c>
      <c r="B198">
        <v>2</v>
      </c>
    </row>
    <row r="199" spans="1:2" x14ac:dyDescent="0.25">
      <c r="A199" t="s">
        <v>5122</v>
      </c>
      <c r="B199">
        <v>1</v>
      </c>
    </row>
    <row r="200" spans="1:2" x14ac:dyDescent="0.25">
      <c r="A200" t="s">
        <v>5123</v>
      </c>
      <c r="B200">
        <v>3</v>
      </c>
    </row>
    <row r="201" spans="1:2" x14ac:dyDescent="0.25">
      <c r="A201" t="s">
        <v>5124</v>
      </c>
      <c r="B201">
        <v>1</v>
      </c>
    </row>
    <row r="202" spans="1:2" x14ac:dyDescent="0.25">
      <c r="A202" t="s">
        <v>5125</v>
      </c>
      <c r="B202">
        <v>-1</v>
      </c>
    </row>
    <row r="203" spans="1:2" x14ac:dyDescent="0.25">
      <c r="A203" t="s">
        <v>5126</v>
      </c>
      <c r="B203">
        <v>-1</v>
      </c>
    </row>
    <row r="204" spans="1:2" x14ac:dyDescent="0.25">
      <c r="A204" t="s">
        <v>5127</v>
      </c>
      <c r="B204">
        <v>-1</v>
      </c>
    </row>
    <row r="205" spans="1:2" x14ac:dyDescent="0.25">
      <c r="A205" t="s">
        <v>5128</v>
      </c>
      <c r="B205">
        <v>2</v>
      </c>
    </row>
    <row r="206" spans="1:2" x14ac:dyDescent="0.25">
      <c r="A206" t="s">
        <v>5129</v>
      </c>
      <c r="B206">
        <v>-1</v>
      </c>
    </row>
    <row r="207" spans="1:2" x14ac:dyDescent="0.25">
      <c r="A207" t="s">
        <v>5130</v>
      </c>
      <c r="B207">
        <v>-1</v>
      </c>
    </row>
    <row r="208" spans="1:2" x14ac:dyDescent="0.25">
      <c r="A208" t="s">
        <v>5131</v>
      </c>
      <c r="B208">
        <v>-1</v>
      </c>
    </row>
    <row r="209" spans="1:2" x14ac:dyDescent="0.25">
      <c r="A209" t="s">
        <v>5132</v>
      </c>
      <c r="B209">
        <v>-1</v>
      </c>
    </row>
    <row r="210" spans="1:2" x14ac:dyDescent="0.25">
      <c r="A210" t="s">
        <v>5133</v>
      </c>
      <c r="B210">
        <v>-1</v>
      </c>
    </row>
    <row r="211" spans="1:2" x14ac:dyDescent="0.25">
      <c r="A211" t="s">
        <v>5134</v>
      </c>
      <c r="B211">
        <v>-1</v>
      </c>
    </row>
    <row r="212" spans="1:2" x14ac:dyDescent="0.25">
      <c r="A212" t="s">
        <v>5135</v>
      </c>
      <c r="B212">
        <v>3</v>
      </c>
    </row>
    <row r="213" spans="1:2" x14ac:dyDescent="0.25">
      <c r="A213" t="s">
        <v>5136</v>
      </c>
      <c r="B213">
        <v>3</v>
      </c>
    </row>
    <row r="214" spans="1:2" x14ac:dyDescent="0.25">
      <c r="A214" t="s">
        <v>5137</v>
      </c>
      <c r="B214">
        <v>3</v>
      </c>
    </row>
    <row r="215" spans="1:2" x14ac:dyDescent="0.25">
      <c r="A215" t="s">
        <v>5138</v>
      </c>
      <c r="B215">
        <v>4</v>
      </c>
    </row>
    <row r="216" spans="1:2" x14ac:dyDescent="0.25">
      <c r="A216" t="s">
        <v>5139</v>
      </c>
      <c r="B216">
        <v>-3</v>
      </c>
    </row>
    <row r="217" spans="1:2" x14ac:dyDescent="0.25">
      <c r="A217" t="s">
        <v>5140</v>
      </c>
      <c r="B217">
        <v>-2</v>
      </c>
    </row>
    <row r="218" spans="1:2" x14ac:dyDescent="0.25">
      <c r="A218" t="s">
        <v>5141</v>
      </c>
      <c r="B218">
        <v>-1</v>
      </c>
    </row>
    <row r="219" spans="1:2" x14ac:dyDescent="0.25">
      <c r="A219" t="s">
        <v>5142</v>
      </c>
      <c r="B219">
        <v>-1</v>
      </c>
    </row>
    <row r="220" spans="1:2" x14ac:dyDescent="0.25">
      <c r="A220" t="s">
        <v>5143</v>
      </c>
      <c r="B220">
        <v>1</v>
      </c>
    </row>
    <row r="221" spans="1:2" x14ac:dyDescent="0.25">
      <c r="A221" t="s">
        <v>5144</v>
      </c>
      <c r="B221">
        <v>2</v>
      </c>
    </row>
    <row r="222" spans="1:2" x14ac:dyDescent="0.25">
      <c r="A222" t="s">
        <v>5145</v>
      </c>
      <c r="B222">
        <v>1</v>
      </c>
    </row>
    <row r="223" spans="1:2" x14ac:dyDescent="0.25">
      <c r="A223" t="s">
        <v>5146</v>
      </c>
      <c r="B223">
        <v>-3</v>
      </c>
    </row>
    <row r="224" spans="1:2" x14ac:dyDescent="0.25">
      <c r="A224" t="s">
        <v>5147</v>
      </c>
      <c r="B224">
        <v>-3</v>
      </c>
    </row>
    <row r="225" spans="1:2" x14ac:dyDescent="0.25">
      <c r="A225" t="s">
        <v>5148</v>
      </c>
      <c r="B225">
        <v>-3</v>
      </c>
    </row>
    <row r="226" spans="1:2" x14ac:dyDescent="0.25">
      <c r="A226" t="s">
        <v>5149</v>
      </c>
      <c r="B226">
        <v>-2</v>
      </c>
    </row>
    <row r="227" spans="1:2" x14ac:dyDescent="0.25">
      <c r="A227" t="s">
        <v>5150</v>
      </c>
      <c r="B227">
        <v>-2</v>
      </c>
    </row>
    <row r="228" spans="1:2" x14ac:dyDescent="0.25">
      <c r="A228" t="s">
        <v>5151</v>
      </c>
      <c r="B228">
        <v>-2</v>
      </c>
    </row>
    <row r="229" spans="1:2" x14ac:dyDescent="0.25">
      <c r="A229" t="s">
        <v>5152</v>
      </c>
      <c r="B229">
        <v>-2</v>
      </c>
    </row>
    <row r="230" spans="1:2" x14ac:dyDescent="0.25">
      <c r="A230" t="s">
        <v>5153</v>
      </c>
      <c r="B230">
        <v>-2</v>
      </c>
    </row>
    <row r="231" spans="1:2" x14ac:dyDescent="0.25">
      <c r="A231" t="s">
        <v>5154</v>
      </c>
      <c r="B231">
        <v>-1</v>
      </c>
    </row>
    <row r="232" spans="1:2" x14ac:dyDescent="0.25">
      <c r="A232" t="s">
        <v>5155</v>
      </c>
      <c r="B232">
        <v>-3</v>
      </c>
    </row>
    <row r="233" spans="1:2" x14ac:dyDescent="0.25">
      <c r="A233" t="s">
        <v>5156</v>
      </c>
      <c r="B233">
        <v>-3</v>
      </c>
    </row>
    <row r="234" spans="1:2" x14ac:dyDescent="0.25">
      <c r="A234" t="s">
        <v>5157</v>
      </c>
      <c r="B234">
        <v>-2</v>
      </c>
    </row>
    <row r="235" spans="1:2" x14ac:dyDescent="0.25">
      <c r="A235" t="s">
        <v>5158</v>
      </c>
      <c r="B235">
        <v>2</v>
      </c>
    </row>
    <row r="236" spans="1:2" x14ac:dyDescent="0.25">
      <c r="A236" t="s">
        <v>5159</v>
      </c>
      <c r="B236">
        <v>-2</v>
      </c>
    </row>
    <row r="237" spans="1:2" x14ac:dyDescent="0.25">
      <c r="A237" t="s">
        <v>5160</v>
      </c>
      <c r="B237">
        <v>-5</v>
      </c>
    </row>
    <row r="238" spans="1:2" x14ac:dyDescent="0.25">
      <c r="A238" t="s">
        <v>5161</v>
      </c>
      <c r="B238">
        <v>-5</v>
      </c>
    </row>
    <row r="239" spans="1:2" x14ac:dyDescent="0.25">
      <c r="A239" t="s">
        <v>5162</v>
      </c>
      <c r="B239">
        <v>-1</v>
      </c>
    </row>
    <row r="240" spans="1:2" x14ac:dyDescent="0.25">
      <c r="A240" t="s">
        <v>5163</v>
      </c>
      <c r="B240">
        <v>-1</v>
      </c>
    </row>
    <row r="241" spans="1:2" x14ac:dyDescent="0.25">
      <c r="A241" t="s">
        <v>5164</v>
      </c>
      <c r="B241">
        <v>-2</v>
      </c>
    </row>
    <row r="242" spans="1:2" x14ac:dyDescent="0.25">
      <c r="A242" t="s">
        <v>5165</v>
      </c>
      <c r="B242">
        <v>3</v>
      </c>
    </row>
    <row r="243" spans="1:2" x14ac:dyDescent="0.25">
      <c r="A243" t="s">
        <v>5166</v>
      </c>
      <c r="B243">
        <v>-1</v>
      </c>
    </row>
    <row r="244" spans="1:2" x14ac:dyDescent="0.25">
      <c r="A244" t="s">
        <v>5167</v>
      </c>
      <c r="B244">
        <v>3</v>
      </c>
    </row>
    <row r="245" spans="1:2" x14ac:dyDescent="0.25">
      <c r="A245" t="s">
        <v>5168</v>
      </c>
      <c r="B245">
        <v>3</v>
      </c>
    </row>
    <row r="246" spans="1:2" x14ac:dyDescent="0.25">
      <c r="A246" t="s">
        <v>5169</v>
      </c>
      <c r="B246">
        <v>3</v>
      </c>
    </row>
    <row r="247" spans="1:2" x14ac:dyDescent="0.25">
      <c r="A247" t="s">
        <v>5170</v>
      </c>
      <c r="B247">
        <v>3</v>
      </c>
    </row>
    <row r="248" spans="1:2" x14ac:dyDescent="0.25">
      <c r="A248" t="s">
        <v>5171</v>
      </c>
      <c r="B248">
        <v>-2</v>
      </c>
    </row>
    <row r="249" spans="1:2" x14ac:dyDescent="0.25">
      <c r="A249" t="s">
        <v>5172</v>
      </c>
      <c r="B249">
        <v>-2</v>
      </c>
    </row>
    <row r="250" spans="1:2" x14ac:dyDescent="0.25">
      <c r="A250" t="s">
        <v>5173</v>
      </c>
      <c r="B250">
        <v>3</v>
      </c>
    </row>
    <row r="251" spans="1:2" x14ac:dyDescent="0.25">
      <c r="A251" t="s">
        <v>5174</v>
      </c>
      <c r="B251">
        <v>2</v>
      </c>
    </row>
    <row r="252" spans="1:2" x14ac:dyDescent="0.25">
      <c r="A252" t="s">
        <v>5175</v>
      </c>
      <c r="B252">
        <v>2</v>
      </c>
    </row>
    <row r="253" spans="1:2" x14ac:dyDescent="0.25">
      <c r="A253" t="s">
        <v>5176</v>
      </c>
      <c r="B253">
        <v>2</v>
      </c>
    </row>
    <row r="254" spans="1:2" x14ac:dyDescent="0.25">
      <c r="A254" t="s">
        <v>5177</v>
      </c>
      <c r="B254">
        <v>2</v>
      </c>
    </row>
    <row r="255" spans="1:2" x14ac:dyDescent="0.25">
      <c r="A255" t="s">
        <v>5178</v>
      </c>
      <c r="B255">
        <v>-2</v>
      </c>
    </row>
    <row r="256" spans="1:2" x14ac:dyDescent="0.25">
      <c r="A256" t="s">
        <v>5179</v>
      </c>
      <c r="B256">
        <v>-2</v>
      </c>
    </row>
    <row r="257" spans="1:2" x14ac:dyDescent="0.25">
      <c r="A257" t="s">
        <v>5180</v>
      </c>
      <c r="B257">
        <v>-2</v>
      </c>
    </row>
    <row r="258" spans="1:2" x14ac:dyDescent="0.25">
      <c r="A258" t="s">
        <v>5181</v>
      </c>
      <c r="B258">
        <v>-2</v>
      </c>
    </row>
    <row r="259" spans="1:2" x14ac:dyDescent="0.25">
      <c r="A259" t="s">
        <v>5182</v>
      </c>
      <c r="B259">
        <v>3</v>
      </c>
    </row>
    <row r="260" spans="1:2" x14ac:dyDescent="0.25">
      <c r="A260" t="s">
        <v>5183</v>
      </c>
      <c r="B260">
        <v>-3</v>
      </c>
    </row>
    <row r="261" spans="1:2" x14ac:dyDescent="0.25">
      <c r="A261" t="s">
        <v>5184</v>
      </c>
      <c r="B261">
        <v>-3</v>
      </c>
    </row>
    <row r="262" spans="1:2" x14ac:dyDescent="0.25">
      <c r="A262" t="s">
        <v>5185</v>
      </c>
      <c r="B262">
        <v>-3</v>
      </c>
    </row>
    <row r="263" spans="1:2" x14ac:dyDescent="0.25">
      <c r="A263" t="s">
        <v>5186</v>
      </c>
      <c r="B263">
        <v>-3</v>
      </c>
    </row>
    <row r="264" spans="1:2" x14ac:dyDescent="0.25">
      <c r="A264" t="s">
        <v>5187</v>
      </c>
      <c r="B264">
        <v>-3</v>
      </c>
    </row>
    <row r="265" spans="1:2" x14ac:dyDescent="0.25">
      <c r="A265" t="s">
        <v>5188</v>
      </c>
      <c r="B265">
        <v>2</v>
      </c>
    </row>
    <row r="266" spans="1:2" x14ac:dyDescent="0.25">
      <c r="A266" t="s">
        <v>5189</v>
      </c>
      <c r="B266">
        <v>-1</v>
      </c>
    </row>
    <row r="267" spans="1:2" x14ac:dyDescent="0.25">
      <c r="A267" t="s">
        <v>5190</v>
      </c>
      <c r="B267">
        <v>-2</v>
      </c>
    </row>
    <row r="268" spans="1:2" x14ac:dyDescent="0.25">
      <c r="A268" t="s">
        <v>5191</v>
      </c>
      <c r="B268">
        <v>1</v>
      </c>
    </row>
    <row r="269" spans="1:2" x14ac:dyDescent="0.25">
      <c r="A269" t="s">
        <v>5192</v>
      </c>
      <c r="B269">
        <v>-5</v>
      </c>
    </row>
    <row r="270" spans="1:2" x14ac:dyDescent="0.25">
      <c r="A270" t="s">
        <v>5193</v>
      </c>
      <c r="B270">
        <v>-5</v>
      </c>
    </row>
    <row r="271" spans="1:2" x14ac:dyDescent="0.25">
      <c r="A271" t="s">
        <v>5194</v>
      </c>
      <c r="B271">
        <v>-2</v>
      </c>
    </row>
    <row r="272" spans="1:2" x14ac:dyDescent="0.25">
      <c r="A272" t="s">
        <v>5195</v>
      </c>
      <c r="B272">
        <v>-2</v>
      </c>
    </row>
    <row r="273" spans="1:2" x14ac:dyDescent="0.25">
      <c r="A273" t="s">
        <v>5196</v>
      </c>
      <c r="B273">
        <v>-2</v>
      </c>
    </row>
    <row r="274" spans="1:2" x14ac:dyDescent="0.25">
      <c r="A274" t="s">
        <v>5197</v>
      </c>
      <c r="B274">
        <v>-2</v>
      </c>
    </row>
    <row r="275" spans="1:2" x14ac:dyDescent="0.25">
      <c r="A275" t="s">
        <v>5198</v>
      </c>
      <c r="B275">
        <v>-2</v>
      </c>
    </row>
    <row r="276" spans="1:2" x14ac:dyDescent="0.25">
      <c r="A276" t="s">
        <v>5199</v>
      </c>
      <c r="B276">
        <v>-2</v>
      </c>
    </row>
    <row r="277" spans="1:2" x14ac:dyDescent="0.25">
      <c r="A277" t="s">
        <v>5200</v>
      </c>
      <c r="B277">
        <v>-2</v>
      </c>
    </row>
    <row r="278" spans="1:2" x14ac:dyDescent="0.25">
      <c r="A278" t="s">
        <v>5201</v>
      </c>
      <c r="B278">
        <v>-2</v>
      </c>
    </row>
    <row r="279" spans="1:2" x14ac:dyDescent="0.25">
      <c r="A279" t="s">
        <v>5202</v>
      </c>
      <c r="B279">
        <v>2</v>
      </c>
    </row>
    <row r="280" spans="1:2" x14ac:dyDescent="0.25">
      <c r="A280" t="s">
        <v>5203</v>
      </c>
      <c r="B280">
        <v>2</v>
      </c>
    </row>
    <row r="281" spans="1:2" x14ac:dyDescent="0.25">
      <c r="A281" t="s">
        <v>5204</v>
      </c>
      <c r="B281">
        <v>3</v>
      </c>
    </row>
    <row r="282" spans="1:2" x14ac:dyDescent="0.25">
      <c r="A282" t="s">
        <v>5205</v>
      </c>
      <c r="B282">
        <v>-1</v>
      </c>
    </row>
    <row r="283" spans="1:2" x14ac:dyDescent="0.25">
      <c r="A283" t="s">
        <v>5206</v>
      </c>
      <c r="B283">
        <v>3</v>
      </c>
    </row>
    <row r="284" spans="1:2" x14ac:dyDescent="0.25">
      <c r="A284" t="s">
        <v>5207</v>
      </c>
      <c r="B284">
        <v>3</v>
      </c>
    </row>
    <row r="285" spans="1:2" x14ac:dyDescent="0.25">
      <c r="A285" t="s">
        <v>5208</v>
      </c>
      <c r="B285">
        <v>2</v>
      </c>
    </row>
    <row r="286" spans="1:2" x14ac:dyDescent="0.25">
      <c r="A286" t="s">
        <v>5209</v>
      </c>
      <c r="B286">
        <v>-1</v>
      </c>
    </row>
    <row r="287" spans="1:2" x14ac:dyDescent="0.25">
      <c r="A287" t="s">
        <v>5210</v>
      </c>
      <c r="B287">
        <v>3</v>
      </c>
    </row>
    <row r="288" spans="1:2" x14ac:dyDescent="0.25">
      <c r="A288" t="s">
        <v>5211</v>
      </c>
      <c r="B288">
        <v>-1</v>
      </c>
    </row>
    <row r="289" spans="1:2" x14ac:dyDescent="0.25">
      <c r="A289" t="s">
        <v>5212</v>
      </c>
      <c r="B289">
        <v>-1</v>
      </c>
    </row>
    <row r="290" spans="1:2" x14ac:dyDescent="0.25">
      <c r="A290" t="s">
        <v>5213</v>
      </c>
      <c r="B290">
        <v>-1</v>
      </c>
    </row>
    <row r="291" spans="1:2" x14ac:dyDescent="0.25">
      <c r="A291" t="s">
        <v>5214</v>
      </c>
      <c r="B291">
        <v>-3</v>
      </c>
    </row>
    <row r="292" spans="1:2" x14ac:dyDescent="0.25">
      <c r="A292" t="s">
        <v>5215</v>
      </c>
      <c r="B292">
        <v>-2</v>
      </c>
    </row>
    <row r="293" spans="1:2" x14ac:dyDescent="0.25">
      <c r="A293" t="s">
        <v>5216</v>
      </c>
      <c r="B293">
        <v>-2</v>
      </c>
    </row>
    <row r="294" spans="1:2" x14ac:dyDescent="0.25">
      <c r="A294" t="s">
        <v>5217</v>
      </c>
      <c r="B294">
        <v>2</v>
      </c>
    </row>
    <row r="295" spans="1:2" x14ac:dyDescent="0.25">
      <c r="A295" t="s">
        <v>5218</v>
      </c>
      <c r="B295">
        <v>2</v>
      </c>
    </row>
    <row r="296" spans="1:2" x14ac:dyDescent="0.25">
      <c r="A296" t="s">
        <v>5219</v>
      </c>
      <c r="B296">
        <v>-1</v>
      </c>
    </row>
    <row r="297" spans="1:2" x14ac:dyDescent="0.25">
      <c r="A297" t="s">
        <v>5220</v>
      </c>
      <c r="B297">
        <v>1</v>
      </c>
    </row>
    <row r="298" spans="1:2" x14ac:dyDescent="0.25">
      <c r="A298" t="s">
        <v>5221</v>
      </c>
      <c r="B298">
        <v>1</v>
      </c>
    </row>
    <row r="299" spans="1:2" x14ac:dyDescent="0.25">
      <c r="A299" t="s">
        <v>5222</v>
      </c>
      <c r="B299">
        <v>1</v>
      </c>
    </row>
    <row r="300" spans="1:2" x14ac:dyDescent="0.25">
      <c r="A300" t="s">
        <v>5223</v>
      </c>
      <c r="B300">
        <v>1</v>
      </c>
    </row>
    <row r="301" spans="1:2" x14ac:dyDescent="0.25">
      <c r="A301" t="s">
        <v>5224</v>
      </c>
      <c r="B301">
        <v>-2</v>
      </c>
    </row>
    <row r="302" spans="1:2" x14ac:dyDescent="0.25">
      <c r="A302" t="s">
        <v>5225</v>
      </c>
      <c r="B302">
        <v>-2</v>
      </c>
    </row>
    <row r="303" spans="1:2" x14ac:dyDescent="0.25">
      <c r="A303" t="s">
        <v>5226</v>
      </c>
      <c r="B303">
        <v>-3</v>
      </c>
    </row>
    <row r="304" spans="1:2" x14ac:dyDescent="0.25">
      <c r="A304" t="s">
        <v>5227</v>
      </c>
      <c r="B304">
        <v>-2</v>
      </c>
    </row>
    <row r="305" spans="1:2" x14ac:dyDescent="0.25">
      <c r="A305" t="s">
        <v>5228</v>
      </c>
      <c r="B305">
        <v>-2</v>
      </c>
    </row>
    <row r="306" spans="1:2" x14ac:dyDescent="0.25">
      <c r="A306" t="s">
        <v>5229</v>
      </c>
      <c r="B306">
        <v>-2</v>
      </c>
    </row>
    <row r="307" spans="1:2" x14ac:dyDescent="0.25">
      <c r="A307" t="s">
        <v>5230</v>
      </c>
      <c r="B307">
        <v>-2</v>
      </c>
    </row>
    <row r="308" spans="1:2" x14ac:dyDescent="0.25">
      <c r="A308" t="s">
        <v>5231</v>
      </c>
      <c r="B308">
        <v>-2</v>
      </c>
    </row>
    <row r="309" spans="1:2" x14ac:dyDescent="0.25">
      <c r="A309" t="s">
        <v>5232</v>
      </c>
      <c r="B309">
        <v>-2</v>
      </c>
    </row>
    <row r="310" spans="1:2" x14ac:dyDescent="0.25">
      <c r="A310" t="s">
        <v>5233</v>
      </c>
      <c r="B310">
        <v>-2</v>
      </c>
    </row>
    <row r="311" spans="1:2" x14ac:dyDescent="0.25">
      <c r="A311" t="s">
        <v>5234</v>
      </c>
      <c r="B311">
        <v>-2</v>
      </c>
    </row>
    <row r="312" spans="1:2" x14ac:dyDescent="0.25">
      <c r="A312" t="s">
        <v>5235</v>
      </c>
      <c r="B312">
        <v>-3</v>
      </c>
    </row>
    <row r="313" spans="1:2" x14ac:dyDescent="0.25">
      <c r="A313" t="s">
        <v>5236</v>
      </c>
      <c r="B313">
        <v>2</v>
      </c>
    </row>
    <row r="314" spans="1:2" x14ac:dyDescent="0.25">
      <c r="A314" t="s">
        <v>5237</v>
      </c>
      <c r="B314">
        <v>3</v>
      </c>
    </row>
    <row r="315" spans="1:2" x14ac:dyDescent="0.25">
      <c r="A315" t="s">
        <v>5238</v>
      </c>
      <c r="B315">
        <v>5</v>
      </c>
    </row>
    <row r="316" spans="1:2" x14ac:dyDescent="0.25">
      <c r="A316" t="s">
        <v>5239</v>
      </c>
      <c r="B316">
        <v>-3</v>
      </c>
    </row>
    <row r="317" spans="1:2" x14ac:dyDescent="0.25">
      <c r="A317" t="s">
        <v>5240</v>
      </c>
      <c r="B317">
        <v>1</v>
      </c>
    </row>
    <row r="318" spans="1:2" x14ac:dyDescent="0.25">
      <c r="A318" t="s">
        <v>5241</v>
      </c>
      <c r="B318">
        <v>2</v>
      </c>
    </row>
    <row r="319" spans="1:2" x14ac:dyDescent="0.25">
      <c r="A319" t="s">
        <v>5242</v>
      </c>
      <c r="B319">
        <v>1</v>
      </c>
    </row>
    <row r="320" spans="1:2" x14ac:dyDescent="0.25">
      <c r="A320" t="s">
        <v>5243</v>
      </c>
      <c r="B320">
        <v>4</v>
      </c>
    </row>
    <row r="321" spans="1:2" x14ac:dyDescent="0.25">
      <c r="A321" t="s">
        <v>5244</v>
      </c>
      <c r="B321">
        <v>2</v>
      </c>
    </row>
    <row r="322" spans="1:2" x14ac:dyDescent="0.25">
      <c r="A322" t="s">
        <v>5245</v>
      </c>
      <c r="B322">
        <v>-1</v>
      </c>
    </row>
    <row r="323" spans="1:2" x14ac:dyDescent="0.25">
      <c r="A323" t="s">
        <v>5246</v>
      </c>
      <c r="B323">
        <v>-1</v>
      </c>
    </row>
    <row r="324" spans="1:2" x14ac:dyDescent="0.25">
      <c r="A324" t="s">
        <v>5247</v>
      </c>
      <c r="B324">
        <v>-2</v>
      </c>
    </row>
    <row r="325" spans="1:2" x14ac:dyDescent="0.25">
      <c r="A325" t="s">
        <v>5248</v>
      </c>
      <c r="B325">
        <v>-2</v>
      </c>
    </row>
    <row r="326" spans="1:2" x14ac:dyDescent="0.25">
      <c r="A326" t="s">
        <v>5249</v>
      </c>
      <c r="B326">
        <v>-4</v>
      </c>
    </row>
    <row r="327" spans="1:2" x14ac:dyDescent="0.25">
      <c r="A327" t="s">
        <v>5250</v>
      </c>
      <c r="B327">
        <v>-2</v>
      </c>
    </row>
    <row r="328" spans="1:2" x14ac:dyDescent="0.25">
      <c r="A328" t="s">
        <v>5251</v>
      </c>
      <c r="B328">
        <v>-2</v>
      </c>
    </row>
    <row r="329" spans="1:2" x14ac:dyDescent="0.25">
      <c r="A329" t="s">
        <v>5252</v>
      </c>
      <c r="B329">
        <v>-2</v>
      </c>
    </row>
    <row r="330" spans="1:2" x14ac:dyDescent="0.25">
      <c r="A330" t="s">
        <v>5253</v>
      </c>
      <c r="B330">
        <v>2</v>
      </c>
    </row>
    <row r="331" spans="1:2" x14ac:dyDescent="0.25">
      <c r="A331" t="s">
        <v>5254</v>
      </c>
      <c r="B331">
        <v>-2</v>
      </c>
    </row>
    <row r="332" spans="1:2" x14ac:dyDescent="0.25">
      <c r="A332" t="s">
        <v>5255</v>
      </c>
      <c r="B332">
        <v>-2</v>
      </c>
    </row>
    <row r="333" spans="1:2" x14ac:dyDescent="0.25">
      <c r="A333" t="s">
        <v>5256</v>
      </c>
      <c r="B333">
        <v>-2</v>
      </c>
    </row>
    <row r="334" spans="1:2" x14ac:dyDescent="0.25">
      <c r="A334" t="s">
        <v>5257</v>
      </c>
      <c r="B334">
        <v>-2</v>
      </c>
    </row>
    <row r="335" spans="1:2" x14ac:dyDescent="0.25">
      <c r="A335" t="s">
        <v>5258</v>
      </c>
      <c r="B335">
        <v>2</v>
      </c>
    </row>
    <row r="336" spans="1:2" x14ac:dyDescent="0.25">
      <c r="A336" t="s">
        <v>5259</v>
      </c>
      <c r="B336">
        <v>2</v>
      </c>
    </row>
    <row r="337" spans="1:2" x14ac:dyDescent="0.25">
      <c r="A337" t="s">
        <v>5260</v>
      </c>
      <c r="B337">
        <v>2</v>
      </c>
    </row>
    <row r="338" spans="1:2" x14ac:dyDescent="0.25">
      <c r="A338" t="s">
        <v>5261</v>
      </c>
      <c r="B338">
        <v>2</v>
      </c>
    </row>
    <row r="339" spans="1:2" x14ac:dyDescent="0.25">
      <c r="A339" t="s">
        <v>5262</v>
      </c>
      <c r="B339">
        <v>-1</v>
      </c>
    </row>
    <row r="340" spans="1:2" x14ac:dyDescent="0.25">
      <c r="A340" t="s">
        <v>5263</v>
      </c>
      <c r="B340">
        <v>-1</v>
      </c>
    </row>
    <row r="341" spans="1:2" x14ac:dyDescent="0.25">
      <c r="A341" t="s">
        <v>5264</v>
      </c>
      <c r="B341">
        <v>-1</v>
      </c>
    </row>
    <row r="342" spans="1:2" x14ac:dyDescent="0.25">
      <c r="A342" t="s">
        <v>5265</v>
      </c>
      <c r="B342">
        <v>-1</v>
      </c>
    </row>
    <row r="343" spans="1:2" x14ac:dyDescent="0.25">
      <c r="A343" t="s">
        <v>5266</v>
      </c>
      <c r="B343">
        <v>-1</v>
      </c>
    </row>
    <row r="344" spans="1:2" x14ac:dyDescent="0.25">
      <c r="A344" t="s">
        <v>5267</v>
      </c>
      <c r="B344">
        <v>1</v>
      </c>
    </row>
    <row r="345" spans="1:2" x14ac:dyDescent="0.25">
      <c r="A345" t="s">
        <v>5268</v>
      </c>
      <c r="B345">
        <v>3</v>
      </c>
    </row>
    <row r="346" spans="1:2" x14ac:dyDescent="0.25">
      <c r="A346" t="s">
        <v>5269</v>
      </c>
      <c r="B346">
        <v>2</v>
      </c>
    </row>
    <row r="347" spans="1:2" x14ac:dyDescent="0.25">
      <c r="A347" t="s">
        <v>5270</v>
      </c>
      <c r="B347">
        <v>1</v>
      </c>
    </row>
    <row r="348" spans="1:2" x14ac:dyDescent="0.25">
      <c r="A348" t="s">
        <v>5271</v>
      </c>
      <c r="B348">
        <v>2</v>
      </c>
    </row>
    <row r="349" spans="1:2" x14ac:dyDescent="0.25">
      <c r="A349" t="s">
        <v>5272</v>
      </c>
      <c r="B349">
        <v>2</v>
      </c>
    </row>
    <row r="350" spans="1:2" x14ac:dyDescent="0.25">
      <c r="A350" t="s">
        <v>5273</v>
      </c>
      <c r="B350">
        <v>-2</v>
      </c>
    </row>
    <row r="351" spans="1:2" x14ac:dyDescent="0.25">
      <c r="A351" t="s">
        <v>5274</v>
      </c>
      <c r="B351">
        <v>2</v>
      </c>
    </row>
    <row r="352" spans="1:2" x14ac:dyDescent="0.25">
      <c r="A352" t="s">
        <v>5275</v>
      </c>
      <c r="B352">
        <v>-2</v>
      </c>
    </row>
    <row r="353" spans="1:2" x14ac:dyDescent="0.25">
      <c r="A353" t="s">
        <v>5276</v>
      </c>
      <c r="B353">
        <v>-3</v>
      </c>
    </row>
    <row r="354" spans="1:2" x14ac:dyDescent="0.25">
      <c r="A354" t="s">
        <v>5277</v>
      </c>
      <c r="B354">
        <v>-4</v>
      </c>
    </row>
    <row r="355" spans="1:2" x14ac:dyDescent="0.25">
      <c r="A355" t="s">
        <v>5278</v>
      </c>
      <c r="B355">
        <v>-1</v>
      </c>
    </row>
    <row r="356" spans="1:2" x14ac:dyDescent="0.25">
      <c r="A356" t="s">
        <v>5279</v>
      </c>
      <c r="B356">
        <v>3</v>
      </c>
    </row>
    <row r="357" spans="1:2" x14ac:dyDescent="0.25">
      <c r="A357" t="s">
        <v>5280</v>
      </c>
      <c r="B357">
        <v>3</v>
      </c>
    </row>
    <row r="358" spans="1:2" x14ac:dyDescent="0.25">
      <c r="A358" t="s">
        <v>5281</v>
      </c>
      <c r="B358">
        <v>3</v>
      </c>
    </row>
    <row r="359" spans="1:2" x14ac:dyDescent="0.25">
      <c r="A359" t="s">
        <v>5282</v>
      </c>
      <c r="B359">
        <v>3</v>
      </c>
    </row>
    <row r="360" spans="1:2" x14ac:dyDescent="0.25">
      <c r="A360" t="s">
        <v>5283</v>
      </c>
      <c r="B360">
        <v>-2</v>
      </c>
    </row>
    <row r="361" spans="1:2" x14ac:dyDescent="0.25">
      <c r="A361" t="s">
        <v>5284</v>
      </c>
      <c r="B361">
        <v>-2</v>
      </c>
    </row>
    <row r="362" spans="1:2" x14ac:dyDescent="0.25">
      <c r="A362" t="s">
        <v>5285</v>
      </c>
      <c r="B362">
        <v>-2</v>
      </c>
    </row>
    <row r="363" spans="1:2" x14ac:dyDescent="0.25">
      <c r="A363" t="s">
        <v>5286</v>
      </c>
      <c r="B363">
        <v>1</v>
      </c>
    </row>
    <row r="364" spans="1:2" x14ac:dyDescent="0.25">
      <c r="A364" t="s">
        <v>5287</v>
      </c>
      <c r="B364">
        <v>-2</v>
      </c>
    </row>
    <row r="365" spans="1:2" x14ac:dyDescent="0.25">
      <c r="A365" t="s">
        <v>5288</v>
      </c>
      <c r="B365">
        <v>-2</v>
      </c>
    </row>
    <row r="366" spans="1:2" x14ac:dyDescent="0.25">
      <c r="A366" t="s">
        <v>5289</v>
      </c>
      <c r="B366">
        <v>-1</v>
      </c>
    </row>
    <row r="367" spans="1:2" x14ac:dyDescent="0.25">
      <c r="A367" t="s">
        <v>5290</v>
      </c>
      <c r="B367">
        <v>2</v>
      </c>
    </row>
    <row r="368" spans="1:2" x14ac:dyDescent="0.25">
      <c r="A368" t="s">
        <v>5291</v>
      </c>
      <c r="B368">
        <v>2</v>
      </c>
    </row>
    <row r="369" spans="1:2" x14ac:dyDescent="0.25">
      <c r="A369" t="s">
        <v>5292</v>
      </c>
      <c r="B369">
        <v>-2</v>
      </c>
    </row>
    <row r="370" spans="1:2" x14ac:dyDescent="0.25">
      <c r="A370" t="s">
        <v>5293</v>
      </c>
      <c r="B370">
        <v>-2</v>
      </c>
    </row>
    <row r="371" spans="1:2" x14ac:dyDescent="0.25">
      <c r="A371" t="s">
        <v>5294</v>
      </c>
      <c r="B371">
        <v>-3</v>
      </c>
    </row>
    <row r="372" spans="1:2" x14ac:dyDescent="0.25">
      <c r="A372" t="s">
        <v>5295</v>
      </c>
      <c r="B372">
        <v>-2</v>
      </c>
    </row>
    <row r="373" spans="1:2" x14ac:dyDescent="0.25">
      <c r="A373" t="s">
        <v>5296</v>
      </c>
      <c r="B373">
        <v>3</v>
      </c>
    </row>
    <row r="374" spans="1:2" x14ac:dyDescent="0.25">
      <c r="A374" t="s">
        <v>5297</v>
      </c>
      <c r="B374">
        <v>3</v>
      </c>
    </row>
    <row r="375" spans="1:2" x14ac:dyDescent="0.25">
      <c r="A375" t="s">
        <v>5298</v>
      </c>
      <c r="B375">
        <v>-3</v>
      </c>
    </row>
    <row r="376" spans="1:2" x14ac:dyDescent="0.25">
      <c r="A376" t="s">
        <v>5299</v>
      </c>
      <c r="B376">
        <v>-3</v>
      </c>
    </row>
    <row r="377" spans="1:2" x14ac:dyDescent="0.25">
      <c r="A377" t="s">
        <v>5300</v>
      </c>
      <c r="B377">
        <v>-3</v>
      </c>
    </row>
    <row r="378" spans="1:2" x14ac:dyDescent="0.25">
      <c r="A378" t="s">
        <v>5301</v>
      </c>
      <c r="B378">
        <v>-3</v>
      </c>
    </row>
    <row r="379" spans="1:2" x14ac:dyDescent="0.25">
      <c r="A379" t="s">
        <v>5302</v>
      </c>
      <c r="B379">
        <v>-3</v>
      </c>
    </row>
    <row r="380" spans="1:2" x14ac:dyDescent="0.25">
      <c r="A380" t="s">
        <v>5303</v>
      </c>
      <c r="B380">
        <v>-3</v>
      </c>
    </row>
    <row r="381" spans="1:2" x14ac:dyDescent="0.25">
      <c r="A381" t="s">
        <v>5304</v>
      </c>
      <c r="B381">
        <v>-3</v>
      </c>
    </row>
    <row r="382" spans="1:2" x14ac:dyDescent="0.25">
      <c r="A382" t="s">
        <v>5305</v>
      </c>
      <c r="B382">
        <v>-3</v>
      </c>
    </row>
    <row r="383" spans="1:2" x14ac:dyDescent="0.25">
      <c r="A383" t="s">
        <v>5306</v>
      </c>
      <c r="B383">
        <v>-3</v>
      </c>
    </row>
    <row r="384" spans="1:2" x14ac:dyDescent="0.25">
      <c r="A384" t="s">
        <v>5307</v>
      </c>
      <c r="B384">
        <v>-3</v>
      </c>
    </row>
    <row r="385" spans="1:2" x14ac:dyDescent="0.25">
      <c r="A385" t="s">
        <v>5308</v>
      </c>
      <c r="B385">
        <v>2</v>
      </c>
    </row>
    <row r="386" spans="1:2" x14ac:dyDescent="0.25">
      <c r="A386" t="s">
        <v>5309</v>
      </c>
      <c r="B386">
        <v>2</v>
      </c>
    </row>
    <row r="387" spans="1:2" x14ac:dyDescent="0.25">
      <c r="A387" t="s">
        <v>5310</v>
      </c>
      <c r="B387">
        <v>2</v>
      </c>
    </row>
    <row r="388" spans="1:2" x14ac:dyDescent="0.25">
      <c r="A388" t="s">
        <v>5311</v>
      </c>
      <c r="B388">
        <v>2</v>
      </c>
    </row>
    <row r="389" spans="1:2" x14ac:dyDescent="0.25">
      <c r="A389" t="s">
        <v>5312</v>
      </c>
      <c r="B389">
        <v>-2</v>
      </c>
    </row>
    <row r="390" spans="1:2" x14ac:dyDescent="0.25">
      <c r="A390" t="s">
        <v>5313</v>
      </c>
      <c r="B390">
        <v>2</v>
      </c>
    </row>
    <row r="391" spans="1:2" x14ac:dyDescent="0.25">
      <c r="A391" t="s">
        <v>5314</v>
      </c>
      <c r="B391">
        <v>3</v>
      </c>
    </row>
    <row r="392" spans="1:2" x14ac:dyDescent="0.25">
      <c r="A392" t="s">
        <v>5315</v>
      </c>
      <c r="B392">
        <v>2</v>
      </c>
    </row>
    <row r="393" spans="1:2" x14ac:dyDescent="0.25">
      <c r="A393" t="s">
        <v>5316</v>
      </c>
      <c r="B393">
        <v>2</v>
      </c>
    </row>
    <row r="394" spans="1:2" x14ac:dyDescent="0.25">
      <c r="A394" t="s">
        <v>5317</v>
      </c>
      <c r="B394">
        <v>2</v>
      </c>
    </row>
    <row r="395" spans="1:2" x14ac:dyDescent="0.25">
      <c r="A395" t="s">
        <v>5318</v>
      </c>
      <c r="B395">
        <v>2</v>
      </c>
    </row>
    <row r="396" spans="1:2" x14ac:dyDescent="0.25">
      <c r="A396" t="s">
        <v>5319</v>
      </c>
      <c r="B396">
        <v>2</v>
      </c>
    </row>
    <row r="397" spans="1:2" x14ac:dyDescent="0.25">
      <c r="A397" t="s">
        <v>5320</v>
      </c>
      <c r="B397">
        <v>-2</v>
      </c>
    </row>
    <row r="398" spans="1:2" x14ac:dyDescent="0.25">
      <c r="A398" t="s">
        <v>5321</v>
      </c>
      <c r="B398">
        <v>-1</v>
      </c>
    </row>
    <row r="399" spans="1:2" x14ac:dyDescent="0.25">
      <c r="A399" t="s">
        <v>5322</v>
      </c>
      <c r="B399">
        <v>-2</v>
      </c>
    </row>
    <row r="400" spans="1:2" x14ac:dyDescent="0.25">
      <c r="A400" t="s">
        <v>5323</v>
      </c>
      <c r="B400">
        <v>-2</v>
      </c>
    </row>
    <row r="401" spans="1:2" x14ac:dyDescent="0.25">
      <c r="A401" t="s">
        <v>5324</v>
      </c>
      <c r="B401">
        <v>-2</v>
      </c>
    </row>
    <row r="402" spans="1:2" x14ac:dyDescent="0.25">
      <c r="A402" t="s">
        <v>5325</v>
      </c>
      <c r="B402">
        <v>-2</v>
      </c>
    </row>
    <row r="403" spans="1:2" x14ac:dyDescent="0.25">
      <c r="A403" t="s">
        <v>5326</v>
      </c>
      <c r="B403">
        <v>2</v>
      </c>
    </row>
    <row r="404" spans="1:2" x14ac:dyDescent="0.25">
      <c r="A404" t="s">
        <v>5327</v>
      </c>
      <c r="B404">
        <v>2</v>
      </c>
    </row>
    <row r="405" spans="1:2" x14ac:dyDescent="0.25">
      <c r="A405" t="s">
        <v>5328</v>
      </c>
      <c r="B405">
        <v>-2</v>
      </c>
    </row>
    <row r="406" spans="1:2" x14ac:dyDescent="0.25">
      <c r="A406" t="s">
        <v>5329</v>
      </c>
      <c r="B406">
        <v>3</v>
      </c>
    </row>
    <row r="407" spans="1:2" x14ac:dyDescent="0.25">
      <c r="A407" t="s">
        <v>5330</v>
      </c>
      <c r="B407">
        <v>2</v>
      </c>
    </row>
    <row r="408" spans="1:2" x14ac:dyDescent="0.25">
      <c r="A408" t="s">
        <v>5331</v>
      </c>
      <c r="B408">
        <v>2</v>
      </c>
    </row>
    <row r="409" spans="1:2" x14ac:dyDescent="0.25">
      <c r="A409" t="s">
        <v>5332</v>
      </c>
      <c r="B409">
        <v>1</v>
      </c>
    </row>
    <row r="410" spans="1:2" x14ac:dyDescent="0.25">
      <c r="A410" t="s">
        <v>5333</v>
      </c>
      <c r="B410">
        <v>1</v>
      </c>
    </row>
    <row r="411" spans="1:2" x14ac:dyDescent="0.25">
      <c r="A411" t="s">
        <v>5334</v>
      </c>
      <c r="B411">
        <v>1</v>
      </c>
    </row>
    <row r="412" spans="1:2" x14ac:dyDescent="0.25">
      <c r="A412" t="s">
        <v>5335</v>
      </c>
      <c r="B412">
        <v>1</v>
      </c>
    </row>
    <row r="413" spans="1:2" x14ac:dyDescent="0.25">
      <c r="A413" t="s">
        <v>5336</v>
      </c>
      <c r="B413">
        <v>2</v>
      </c>
    </row>
    <row r="414" spans="1:2" x14ac:dyDescent="0.25">
      <c r="A414" t="s">
        <v>5337</v>
      </c>
      <c r="B414">
        <v>-1</v>
      </c>
    </row>
    <row r="415" spans="1:2" x14ac:dyDescent="0.25">
      <c r="A415" t="s">
        <v>5338</v>
      </c>
      <c r="B415">
        <v>-2</v>
      </c>
    </row>
    <row r="416" spans="1:2" x14ac:dyDescent="0.25">
      <c r="A416" t="s">
        <v>5339</v>
      </c>
      <c r="B416">
        <v>-2</v>
      </c>
    </row>
    <row r="417" spans="1:2" x14ac:dyDescent="0.25">
      <c r="A417" t="s">
        <v>5340</v>
      </c>
      <c r="B417">
        <v>-2</v>
      </c>
    </row>
    <row r="418" spans="1:2" x14ac:dyDescent="0.25">
      <c r="A418" t="s">
        <v>5341</v>
      </c>
      <c r="B418">
        <v>-2</v>
      </c>
    </row>
    <row r="419" spans="1:2" x14ac:dyDescent="0.25">
      <c r="A419" t="s">
        <v>5342</v>
      </c>
      <c r="B419">
        <v>-2</v>
      </c>
    </row>
    <row r="420" spans="1:2" x14ac:dyDescent="0.25">
      <c r="A420" t="s">
        <v>5343</v>
      </c>
      <c r="B420">
        <v>-2</v>
      </c>
    </row>
    <row r="421" spans="1:2" x14ac:dyDescent="0.25">
      <c r="A421" t="s">
        <v>5344</v>
      </c>
      <c r="B421">
        <v>-1</v>
      </c>
    </row>
    <row r="422" spans="1:2" x14ac:dyDescent="0.25">
      <c r="A422" t="s">
        <v>5345</v>
      </c>
      <c r="B422">
        <v>-1</v>
      </c>
    </row>
    <row r="423" spans="1:2" x14ac:dyDescent="0.25">
      <c r="A423" t="s">
        <v>5346</v>
      </c>
      <c r="B423">
        <v>-1</v>
      </c>
    </row>
    <row r="424" spans="1:2" x14ac:dyDescent="0.25">
      <c r="A424" t="s">
        <v>5347</v>
      </c>
      <c r="B424">
        <v>-2</v>
      </c>
    </row>
    <row r="425" spans="1:2" x14ac:dyDescent="0.25">
      <c r="A425" t="s">
        <v>5348</v>
      </c>
      <c r="B425">
        <v>-2</v>
      </c>
    </row>
    <row r="426" spans="1:2" x14ac:dyDescent="0.25">
      <c r="A426" t="s">
        <v>5349</v>
      </c>
      <c r="B426">
        <v>-3</v>
      </c>
    </row>
    <row r="427" spans="1:2" x14ac:dyDescent="0.25">
      <c r="A427" t="s">
        <v>5350</v>
      </c>
      <c r="B427">
        <v>-1</v>
      </c>
    </row>
    <row r="428" spans="1:2" x14ac:dyDescent="0.25">
      <c r="A428" t="s">
        <v>5351</v>
      </c>
      <c r="B428">
        <v>-1</v>
      </c>
    </row>
    <row r="429" spans="1:2" x14ac:dyDescent="0.25">
      <c r="A429" t="s">
        <v>5352</v>
      </c>
      <c r="B429">
        <v>1</v>
      </c>
    </row>
    <row r="430" spans="1:2" x14ac:dyDescent="0.25">
      <c r="A430" t="s">
        <v>5353</v>
      </c>
      <c r="B430">
        <v>2</v>
      </c>
    </row>
    <row r="431" spans="1:2" x14ac:dyDescent="0.25">
      <c r="A431" t="s">
        <v>5354</v>
      </c>
      <c r="B431">
        <v>2</v>
      </c>
    </row>
    <row r="432" spans="1:2" x14ac:dyDescent="0.25">
      <c r="A432" t="s">
        <v>5355</v>
      </c>
      <c r="B432">
        <v>2</v>
      </c>
    </row>
    <row r="433" spans="1:2" x14ac:dyDescent="0.25">
      <c r="A433" t="s">
        <v>5356</v>
      </c>
      <c r="B433">
        <v>2</v>
      </c>
    </row>
    <row r="434" spans="1:2" x14ac:dyDescent="0.25">
      <c r="A434" t="s">
        <v>5357</v>
      </c>
      <c r="B434">
        <v>2</v>
      </c>
    </row>
    <row r="435" spans="1:2" x14ac:dyDescent="0.25">
      <c r="A435" t="s">
        <v>5358</v>
      </c>
      <c r="B435">
        <v>2</v>
      </c>
    </row>
    <row r="436" spans="1:2" x14ac:dyDescent="0.25">
      <c r="A436" t="s">
        <v>5359</v>
      </c>
      <c r="B436">
        <v>1</v>
      </c>
    </row>
    <row r="437" spans="1:2" x14ac:dyDescent="0.25">
      <c r="A437" t="s">
        <v>5360</v>
      </c>
      <c r="B437">
        <v>2</v>
      </c>
    </row>
    <row r="438" spans="1:2" x14ac:dyDescent="0.25">
      <c r="A438" t="s">
        <v>5361</v>
      </c>
      <c r="B438">
        <v>1</v>
      </c>
    </row>
    <row r="439" spans="1:2" x14ac:dyDescent="0.25">
      <c r="A439" t="s">
        <v>5362</v>
      </c>
      <c r="B439">
        <v>1</v>
      </c>
    </row>
    <row r="440" spans="1:2" x14ac:dyDescent="0.25">
      <c r="A440" t="s">
        <v>5363</v>
      </c>
      <c r="B440">
        <v>1</v>
      </c>
    </row>
    <row r="441" spans="1:2" x14ac:dyDescent="0.25">
      <c r="A441" t="s">
        <v>5364</v>
      </c>
      <c r="B441">
        <v>2</v>
      </c>
    </row>
    <row r="442" spans="1:2" x14ac:dyDescent="0.25">
      <c r="A442" t="s">
        <v>5365</v>
      </c>
      <c r="B442">
        <v>1</v>
      </c>
    </row>
    <row r="443" spans="1:2" x14ac:dyDescent="0.25">
      <c r="A443" t="s">
        <v>5366</v>
      </c>
      <c r="B443">
        <v>2</v>
      </c>
    </row>
    <row r="444" spans="1:2" x14ac:dyDescent="0.25">
      <c r="A444" t="s">
        <v>5367</v>
      </c>
      <c r="B444">
        <v>2</v>
      </c>
    </row>
    <row r="445" spans="1:2" x14ac:dyDescent="0.25">
      <c r="A445" t="s">
        <v>5368</v>
      </c>
      <c r="B445">
        <v>-2</v>
      </c>
    </row>
    <row r="446" spans="1:2" x14ac:dyDescent="0.25">
      <c r="A446" t="s">
        <v>5369</v>
      </c>
      <c r="B446">
        <v>-2</v>
      </c>
    </row>
    <row r="447" spans="1:2" x14ac:dyDescent="0.25">
      <c r="A447" t="s">
        <v>5370</v>
      </c>
      <c r="B447">
        <v>-2</v>
      </c>
    </row>
    <row r="448" spans="1:2" x14ac:dyDescent="0.25">
      <c r="A448" t="s">
        <v>5371</v>
      </c>
      <c r="B448">
        <v>-2</v>
      </c>
    </row>
    <row r="449" spans="1:2" x14ac:dyDescent="0.25">
      <c r="A449" t="s">
        <v>5372</v>
      </c>
      <c r="B449">
        <v>2</v>
      </c>
    </row>
    <row r="450" spans="1:2" x14ac:dyDescent="0.25">
      <c r="A450" t="s">
        <v>5373</v>
      </c>
      <c r="B450">
        <v>2</v>
      </c>
    </row>
    <row r="451" spans="1:2" x14ac:dyDescent="0.25">
      <c r="A451" t="s">
        <v>5374</v>
      </c>
      <c r="B451">
        <v>2</v>
      </c>
    </row>
    <row r="452" spans="1:2" x14ac:dyDescent="0.25">
      <c r="A452" t="s">
        <v>5375</v>
      </c>
      <c r="B452">
        <v>2</v>
      </c>
    </row>
    <row r="453" spans="1:2" x14ac:dyDescent="0.25">
      <c r="A453" t="s">
        <v>5376</v>
      </c>
      <c r="B453">
        <v>2</v>
      </c>
    </row>
    <row r="454" spans="1:2" x14ac:dyDescent="0.25">
      <c r="A454" t="s">
        <v>5377</v>
      </c>
      <c r="B454">
        <v>-2</v>
      </c>
    </row>
    <row r="455" spans="1:2" x14ac:dyDescent="0.25">
      <c r="A455" t="s">
        <v>5378</v>
      </c>
      <c r="B455">
        <v>-2</v>
      </c>
    </row>
    <row r="456" spans="1:2" x14ac:dyDescent="0.25">
      <c r="A456" t="s">
        <v>5379</v>
      </c>
      <c r="B456">
        <v>-2</v>
      </c>
    </row>
    <row r="457" spans="1:2" x14ac:dyDescent="0.25">
      <c r="A457" t="s">
        <v>5380</v>
      </c>
      <c r="B457">
        <v>-2</v>
      </c>
    </row>
    <row r="458" spans="1:2" x14ac:dyDescent="0.25">
      <c r="A458" t="s">
        <v>5381</v>
      </c>
      <c r="B458">
        <v>2</v>
      </c>
    </row>
    <row r="459" spans="1:2" x14ac:dyDescent="0.25">
      <c r="A459" t="s">
        <v>5382</v>
      </c>
      <c r="B459">
        <v>2</v>
      </c>
    </row>
    <row r="460" spans="1:2" x14ac:dyDescent="0.25">
      <c r="A460" t="s">
        <v>5383</v>
      </c>
      <c r="B460">
        <v>-2</v>
      </c>
    </row>
    <row r="461" spans="1:2" x14ac:dyDescent="0.25">
      <c r="A461" t="s">
        <v>5384</v>
      </c>
      <c r="B461">
        <v>-2</v>
      </c>
    </row>
    <row r="462" spans="1:2" x14ac:dyDescent="0.25">
      <c r="A462" t="s">
        <v>5385</v>
      </c>
      <c r="B462">
        <v>-2</v>
      </c>
    </row>
    <row r="463" spans="1:2" x14ac:dyDescent="0.25">
      <c r="A463" t="s">
        <v>5386</v>
      </c>
      <c r="B463">
        <v>-2</v>
      </c>
    </row>
    <row r="464" spans="1:2" x14ac:dyDescent="0.25">
      <c r="A464" t="s">
        <v>5387</v>
      </c>
      <c r="B464">
        <v>-2</v>
      </c>
    </row>
    <row r="465" spans="1:2" x14ac:dyDescent="0.25">
      <c r="A465" t="s">
        <v>5388</v>
      </c>
      <c r="B465">
        <v>-2</v>
      </c>
    </row>
    <row r="466" spans="1:2" x14ac:dyDescent="0.25">
      <c r="A466" t="s">
        <v>5389</v>
      </c>
      <c r="B466">
        <v>-2</v>
      </c>
    </row>
    <row r="467" spans="1:2" x14ac:dyDescent="0.25">
      <c r="A467" t="s">
        <v>5390</v>
      </c>
      <c r="B467">
        <v>2</v>
      </c>
    </row>
    <row r="468" spans="1:2" x14ac:dyDescent="0.25">
      <c r="A468" t="s">
        <v>5391</v>
      </c>
      <c r="B468">
        <v>2</v>
      </c>
    </row>
    <row r="469" spans="1:2" x14ac:dyDescent="0.25">
      <c r="A469" t="s">
        <v>5392</v>
      </c>
      <c r="B469">
        <v>2</v>
      </c>
    </row>
    <row r="470" spans="1:2" x14ac:dyDescent="0.25">
      <c r="A470" t="s">
        <v>5393</v>
      </c>
      <c r="B470">
        <v>2</v>
      </c>
    </row>
    <row r="471" spans="1:2" x14ac:dyDescent="0.25">
      <c r="A471" t="s">
        <v>5394</v>
      </c>
      <c r="B471">
        <v>2</v>
      </c>
    </row>
    <row r="472" spans="1:2" x14ac:dyDescent="0.25">
      <c r="A472" t="s">
        <v>5395</v>
      </c>
      <c r="B472">
        <v>2</v>
      </c>
    </row>
    <row r="473" spans="1:2" x14ac:dyDescent="0.25">
      <c r="A473" t="s">
        <v>5396</v>
      </c>
      <c r="B473">
        <v>2</v>
      </c>
    </row>
    <row r="474" spans="1:2" x14ac:dyDescent="0.25">
      <c r="A474" t="s">
        <v>5397</v>
      </c>
      <c r="B474">
        <v>-3</v>
      </c>
    </row>
    <row r="475" spans="1:2" x14ac:dyDescent="0.25">
      <c r="A475" t="s">
        <v>5398</v>
      </c>
      <c r="B475">
        <v>-2</v>
      </c>
    </row>
    <row r="476" spans="1:2" x14ac:dyDescent="0.25">
      <c r="A476" t="s">
        <v>5399</v>
      </c>
      <c r="B476">
        <v>-2</v>
      </c>
    </row>
    <row r="477" spans="1:2" x14ac:dyDescent="0.25">
      <c r="A477" t="s">
        <v>5400</v>
      </c>
      <c r="B477">
        <v>-2</v>
      </c>
    </row>
    <row r="478" spans="1:2" x14ac:dyDescent="0.25">
      <c r="A478" t="s">
        <v>5401</v>
      </c>
      <c r="B478">
        <v>-1</v>
      </c>
    </row>
    <row r="479" spans="1:2" x14ac:dyDescent="0.25">
      <c r="A479" t="s">
        <v>5402</v>
      </c>
      <c r="B479">
        <v>-2</v>
      </c>
    </row>
    <row r="480" spans="1:2" x14ac:dyDescent="0.25">
      <c r="A480" t="s">
        <v>5403</v>
      </c>
      <c r="B480">
        <v>-2</v>
      </c>
    </row>
    <row r="481" spans="1:2" x14ac:dyDescent="0.25">
      <c r="A481" t="s">
        <v>5404</v>
      </c>
      <c r="B481">
        <v>-2</v>
      </c>
    </row>
    <row r="482" spans="1:2" x14ac:dyDescent="0.25">
      <c r="A482" t="s">
        <v>5405</v>
      </c>
      <c r="B482">
        <v>-1</v>
      </c>
    </row>
    <row r="483" spans="1:2" x14ac:dyDescent="0.25">
      <c r="A483" t="s">
        <v>5406</v>
      </c>
      <c r="B483">
        <v>-1</v>
      </c>
    </row>
    <row r="484" spans="1:2" x14ac:dyDescent="0.25">
      <c r="A484" t="s">
        <v>5407</v>
      </c>
      <c r="B484">
        <v>-1</v>
      </c>
    </row>
    <row r="485" spans="1:2" x14ac:dyDescent="0.25">
      <c r="A485" t="s">
        <v>5408</v>
      </c>
      <c r="B485">
        <v>-2</v>
      </c>
    </row>
    <row r="486" spans="1:2" x14ac:dyDescent="0.25">
      <c r="A486" t="s">
        <v>5409</v>
      </c>
      <c r="B486">
        <v>-2</v>
      </c>
    </row>
    <row r="487" spans="1:2" x14ac:dyDescent="0.25">
      <c r="A487" t="s">
        <v>5410</v>
      </c>
      <c r="B487">
        <v>-2</v>
      </c>
    </row>
    <row r="488" spans="1:2" x14ac:dyDescent="0.25">
      <c r="A488" t="s">
        <v>5411</v>
      </c>
      <c r="B488">
        <v>-2</v>
      </c>
    </row>
    <row r="489" spans="1:2" x14ac:dyDescent="0.25">
      <c r="A489" t="s">
        <v>5412</v>
      </c>
      <c r="B489">
        <v>1</v>
      </c>
    </row>
    <row r="490" spans="1:2" x14ac:dyDescent="0.25">
      <c r="A490" t="s">
        <v>5413</v>
      </c>
      <c r="B490">
        <v>1</v>
      </c>
    </row>
    <row r="491" spans="1:2" x14ac:dyDescent="0.25">
      <c r="A491" t="s">
        <v>5414</v>
      </c>
      <c r="B491">
        <v>1</v>
      </c>
    </row>
    <row r="492" spans="1:2" x14ac:dyDescent="0.25">
      <c r="A492" t="s">
        <v>5415</v>
      </c>
      <c r="B492">
        <v>2</v>
      </c>
    </row>
    <row r="493" spans="1:2" x14ac:dyDescent="0.25">
      <c r="A493" t="s">
        <v>2903</v>
      </c>
      <c r="B493">
        <v>1</v>
      </c>
    </row>
    <row r="494" spans="1:2" x14ac:dyDescent="0.25">
      <c r="A494" t="s">
        <v>5416</v>
      </c>
      <c r="B494">
        <v>-2</v>
      </c>
    </row>
    <row r="495" spans="1:2" x14ac:dyDescent="0.25">
      <c r="A495" t="s">
        <v>5417</v>
      </c>
      <c r="B495">
        <v>-1</v>
      </c>
    </row>
    <row r="496" spans="1:2" x14ac:dyDescent="0.25">
      <c r="A496" t="s">
        <v>5418</v>
      </c>
      <c r="B496">
        <v>-2</v>
      </c>
    </row>
    <row r="497" spans="1:2" x14ac:dyDescent="0.25">
      <c r="A497" t="s">
        <v>5419</v>
      </c>
      <c r="B497">
        <v>2</v>
      </c>
    </row>
    <row r="498" spans="1:2" x14ac:dyDescent="0.25">
      <c r="A498" t="s">
        <v>5420</v>
      </c>
      <c r="B498">
        <v>2</v>
      </c>
    </row>
    <row r="499" spans="1:2" x14ac:dyDescent="0.25">
      <c r="A499" t="s">
        <v>5421</v>
      </c>
      <c r="B499">
        <v>2</v>
      </c>
    </row>
    <row r="500" spans="1:2" x14ac:dyDescent="0.25">
      <c r="A500" t="s">
        <v>5422</v>
      </c>
      <c r="B500">
        <v>2</v>
      </c>
    </row>
    <row r="501" spans="1:2" x14ac:dyDescent="0.25">
      <c r="A501" t="s">
        <v>5423</v>
      </c>
      <c r="B501">
        <v>-2</v>
      </c>
    </row>
    <row r="502" spans="1:2" x14ac:dyDescent="0.25">
      <c r="A502" t="s">
        <v>5424</v>
      </c>
      <c r="B502">
        <v>-2</v>
      </c>
    </row>
    <row r="503" spans="1:2" x14ac:dyDescent="0.25">
      <c r="A503" t="s">
        <v>5425</v>
      </c>
      <c r="B503">
        <v>2</v>
      </c>
    </row>
    <row r="504" spans="1:2" x14ac:dyDescent="0.25">
      <c r="A504" t="s">
        <v>5426</v>
      </c>
      <c r="B504">
        <v>-1</v>
      </c>
    </row>
    <row r="505" spans="1:2" x14ac:dyDescent="0.25">
      <c r="A505" t="s">
        <v>5427</v>
      </c>
      <c r="B505">
        <v>-3</v>
      </c>
    </row>
    <row r="506" spans="1:2" x14ac:dyDescent="0.25">
      <c r="A506" t="s">
        <v>5428</v>
      </c>
      <c r="B506">
        <v>-2</v>
      </c>
    </row>
    <row r="507" spans="1:2" x14ac:dyDescent="0.25">
      <c r="A507" t="s">
        <v>5429</v>
      </c>
      <c r="B507">
        <v>-2</v>
      </c>
    </row>
    <row r="508" spans="1:2" x14ac:dyDescent="0.25">
      <c r="A508" t="s">
        <v>5430</v>
      </c>
      <c r="B508">
        <v>-2</v>
      </c>
    </row>
    <row r="509" spans="1:2" x14ac:dyDescent="0.25">
      <c r="A509" t="s">
        <v>5431</v>
      </c>
      <c r="B509">
        <v>-2</v>
      </c>
    </row>
    <row r="510" spans="1:2" x14ac:dyDescent="0.25">
      <c r="A510" t="s">
        <v>5432</v>
      </c>
      <c r="B510">
        <v>2</v>
      </c>
    </row>
    <row r="511" spans="1:2" x14ac:dyDescent="0.25">
      <c r="A511" t="s">
        <v>5433</v>
      </c>
      <c r="B511">
        <v>-2</v>
      </c>
    </row>
    <row r="512" spans="1:2" x14ac:dyDescent="0.25">
      <c r="A512" t="s">
        <v>5434</v>
      </c>
      <c r="B512">
        <v>-2</v>
      </c>
    </row>
    <row r="513" spans="1:2" x14ac:dyDescent="0.25">
      <c r="A513" t="s">
        <v>5435</v>
      </c>
      <c r="B513">
        <v>-2</v>
      </c>
    </row>
    <row r="514" spans="1:2" x14ac:dyDescent="0.25">
      <c r="A514" t="s">
        <v>5436</v>
      </c>
      <c r="B514">
        <v>-3</v>
      </c>
    </row>
    <row r="515" spans="1:2" x14ac:dyDescent="0.25">
      <c r="A515" t="s">
        <v>5437</v>
      </c>
      <c r="B515">
        <v>-3</v>
      </c>
    </row>
    <row r="516" spans="1:2" x14ac:dyDescent="0.25">
      <c r="A516" t="s">
        <v>5438</v>
      </c>
      <c r="B516">
        <v>-3</v>
      </c>
    </row>
    <row r="517" spans="1:2" x14ac:dyDescent="0.25">
      <c r="A517" t="s">
        <v>5439</v>
      </c>
      <c r="B517">
        <v>-3</v>
      </c>
    </row>
    <row r="518" spans="1:2" x14ac:dyDescent="0.25">
      <c r="A518" t="s">
        <v>5440</v>
      </c>
      <c r="B518">
        <v>-2</v>
      </c>
    </row>
    <row r="519" spans="1:2" x14ac:dyDescent="0.25">
      <c r="A519" t="s">
        <v>5441</v>
      </c>
      <c r="B519">
        <v>-2</v>
      </c>
    </row>
    <row r="520" spans="1:2" x14ac:dyDescent="0.25">
      <c r="A520" t="s">
        <v>5442</v>
      </c>
      <c r="B520">
        <v>-2</v>
      </c>
    </row>
    <row r="521" spans="1:2" x14ac:dyDescent="0.25">
      <c r="A521" t="s">
        <v>5443</v>
      </c>
      <c r="B521">
        <v>-2</v>
      </c>
    </row>
    <row r="522" spans="1:2" x14ac:dyDescent="0.25">
      <c r="A522" t="s">
        <v>5444</v>
      </c>
      <c r="B522">
        <v>-2</v>
      </c>
    </row>
    <row r="523" spans="1:2" x14ac:dyDescent="0.25">
      <c r="A523" t="s">
        <v>5445</v>
      </c>
      <c r="B523">
        <v>-2</v>
      </c>
    </row>
    <row r="524" spans="1:2" x14ac:dyDescent="0.25">
      <c r="A524" t="s">
        <v>5446</v>
      </c>
      <c r="B524">
        <v>-2</v>
      </c>
    </row>
    <row r="525" spans="1:2" x14ac:dyDescent="0.25">
      <c r="A525" t="s">
        <v>5447</v>
      </c>
      <c r="B525">
        <v>-3</v>
      </c>
    </row>
    <row r="526" spans="1:2" x14ac:dyDescent="0.25">
      <c r="A526" t="s">
        <v>5448</v>
      </c>
      <c r="B526">
        <v>-3</v>
      </c>
    </row>
    <row r="527" spans="1:2" x14ac:dyDescent="0.25">
      <c r="A527" t="s">
        <v>5449</v>
      </c>
      <c r="B527">
        <v>-1</v>
      </c>
    </row>
    <row r="528" spans="1:2" x14ac:dyDescent="0.25">
      <c r="A528" t="s">
        <v>5450</v>
      </c>
      <c r="B528">
        <v>-2</v>
      </c>
    </row>
    <row r="529" spans="1:2" x14ac:dyDescent="0.25">
      <c r="A529" t="s">
        <v>5451</v>
      </c>
      <c r="B529">
        <v>-1</v>
      </c>
    </row>
    <row r="530" spans="1:2" x14ac:dyDescent="0.25">
      <c r="A530" t="s">
        <v>5452</v>
      </c>
      <c r="B530">
        <v>-1</v>
      </c>
    </row>
    <row r="531" spans="1:2" x14ac:dyDescent="0.25">
      <c r="A531" t="s">
        <v>5453</v>
      </c>
      <c r="B531">
        <v>-1</v>
      </c>
    </row>
    <row r="532" spans="1:2" x14ac:dyDescent="0.25">
      <c r="A532" t="s">
        <v>5454</v>
      </c>
      <c r="B532">
        <v>-2</v>
      </c>
    </row>
    <row r="533" spans="1:2" x14ac:dyDescent="0.25">
      <c r="A533" t="s">
        <v>5455</v>
      </c>
      <c r="B533">
        <v>1</v>
      </c>
    </row>
    <row r="534" spans="1:2" x14ac:dyDescent="0.25">
      <c r="A534" t="s">
        <v>5456</v>
      </c>
      <c r="B534">
        <v>-1</v>
      </c>
    </row>
    <row r="535" spans="1:2" x14ac:dyDescent="0.25">
      <c r="A535" t="s">
        <v>5457</v>
      </c>
      <c r="B535">
        <v>-1</v>
      </c>
    </row>
    <row r="536" spans="1:2" x14ac:dyDescent="0.25">
      <c r="A536" t="s">
        <v>5458</v>
      </c>
      <c r="B536">
        <v>2</v>
      </c>
    </row>
    <row r="537" spans="1:2" x14ac:dyDescent="0.25">
      <c r="A537" t="s">
        <v>5459</v>
      </c>
      <c r="B537">
        <v>-1</v>
      </c>
    </row>
    <row r="538" spans="1:2" x14ac:dyDescent="0.25">
      <c r="A538" t="s">
        <v>5460</v>
      </c>
      <c r="B538">
        <v>-1</v>
      </c>
    </row>
    <row r="539" spans="1:2" x14ac:dyDescent="0.25">
      <c r="A539" t="s">
        <v>5461</v>
      </c>
      <c r="B539">
        <v>-2</v>
      </c>
    </row>
    <row r="540" spans="1:2" x14ac:dyDescent="0.25">
      <c r="A540" t="s">
        <v>5462</v>
      </c>
      <c r="B540">
        <v>-2</v>
      </c>
    </row>
    <row r="541" spans="1:2" x14ac:dyDescent="0.25">
      <c r="A541" t="s">
        <v>5463</v>
      </c>
      <c r="B541">
        <v>-2</v>
      </c>
    </row>
    <row r="542" spans="1:2" x14ac:dyDescent="0.25">
      <c r="A542" t="s">
        <v>5464</v>
      </c>
      <c r="B542">
        <v>-3</v>
      </c>
    </row>
    <row r="543" spans="1:2" x14ac:dyDescent="0.25">
      <c r="A543" t="s">
        <v>5465</v>
      </c>
      <c r="B543">
        <v>-3</v>
      </c>
    </row>
    <row r="544" spans="1:2" x14ac:dyDescent="0.25">
      <c r="A544" t="s">
        <v>5466</v>
      </c>
      <c r="B544">
        <v>-4</v>
      </c>
    </row>
    <row r="545" spans="1:2" x14ac:dyDescent="0.25">
      <c r="A545" t="s">
        <v>5467</v>
      </c>
      <c r="B545">
        <v>-4</v>
      </c>
    </row>
    <row r="546" spans="1:2" x14ac:dyDescent="0.25">
      <c r="A546" t="s">
        <v>5468</v>
      </c>
      <c r="B546">
        <v>-4</v>
      </c>
    </row>
    <row r="547" spans="1:2" x14ac:dyDescent="0.25">
      <c r="A547" t="s">
        <v>5469</v>
      </c>
      <c r="B547">
        <v>-2</v>
      </c>
    </row>
    <row r="548" spans="1:2" x14ac:dyDescent="0.25">
      <c r="A548" t="s">
        <v>5470</v>
      </c>
      <c r="B548">
        <v>2</v>
      </c>
    </row>
    <row r="549" spans="1:2" x14ac:dyDescent="0.25">
      <c r="A549" t="s">
        <v>5471</v>
      </c>
      <c r="B549">
        <v>2</v>
      </c>
    </row>
    <row r="550" spans="1:2" x14ac:dyDescent="0.25">
      <c r="A550" t="s">
        <v>5472</v>
      </c>
      <c r="B550">
        <v>-2</v>
      </c>
    </row>
    <row r="551" spans="1:2" x14ac:dyDescent="0.25">
      <c r="A551" t="s">
        <v>5473</v>
      </c>
      <c r="B551">
        <v>-1</v>
      </c>
    </row>
    <row r="552" spans="1:2" x14ac:dyDescent="0.25">
      <c r="A552" t="s">
        <v>5474</v>
      </c>
      <c r="B552">
        <v>2</v>
      </c>
    </row>
    <row r="553" spans="1:2" x14ac:dyDescent="0.25">
      <c r="A553" t="s">
        <v>5475</v>
      </c>
      <c r="B553">
        <v>-3</v>
      </c>
    </row>
    <row r="554" spans="1:2" x14ac:dyDescent="0.25">
      <c r="A554" t="s">
        <v>5476</v>
      </c>
      <c r="B554">
        <v>-2</v>
      </c>
    </row>
    <row r="555" spans="1:2" x14ac:dyDescent="0.25">
      <c r="A555" t="s">
        <v>5477</v>
      </c>
      <c r="B555">
        <v>-1</v>
      </c>
    </row>
    <row r="556" spans="1:2" x14ac:dyDescent="0.25">
      <c r="A556" t="s">
        <v>5478</v>
      </c>
      <c r="B556">
        <v>2</v>
      </c>
    </row>
    <row r="557" spans="1:2" x14ac:dyDescent="0.25">
      <c r="A557" t="s">
        <v>5479</v>
      </c>
      <c r="B557">
        <v>3</v>
      </c>
    </row>
    <row r="558" spans="1:2" x14ac:dyDescent="0.25">
      <c r="A558" t="s">
        <v>5480</v>
      </c>
      <c r="B558">
        <v>-2</v>
      </c>
    </row>
    <row r="559" spans="1:2" x14ac:dyDescent="0.25">
      <c r="A559" t="s">
        <v>5481</v>
      </c>
      <c r="B559">
        <v>2</v>
      </c>
    </row>
    <row r="560" spans="1:2" x14ac:dyDescent="0.25">
      <c r="A560" t="s">
        <v>5482</v>
      </c>
      <c r="B560">
        <v>-2</v>
      </c>
    </row>
    <row r="561" spans="1:2" x14ac:dyDescent="0.25">
      <c r="A561" t="s">
        <v>5483</v>
      </c>
      <c r="B561">
        <v>-3</v>
      </c>
    </row>
    <row r="562" spans="1:2" x14ac:dyDescent="0.25">
      <c r="A562" t="s">
        <v>5484</v>
      </c>
      <c r="B562">
        <v>-3</v>
      </c>
    </row>
    <row r="563" spans="1:2" x14ac:dyDescent="0.25">
      <c r="A563" t="s">
        <v>5485</v>
      </c>
      <c r="B563">
        <v>-3</v>
      </c>
    </row>
    <row r="564" spans="1:2" x14ac:dyDescent="0.25">
      <c r="A564" t="s">
        <v>5486</v>
      </c>
      <c r="B564">
        <v>-3</v>
      </c>
    </row>
    <row r="565" spans="1:2" x14ac:dyDescent="0.25">
      <c r="A565" t="s">
        <v>5487</v>
      </c>
      <c r="B565">
        <v>-3</v>
      </c>
    </row>
    <row r="566" spans="1:2" x14ac:dyDescent="0.25">
      <c r="A566" t="s">
        <v>5488</v>
      </c>
      <c r="B566">
        <v>-3</v>
      </c>
    </row>
    <row r="567" spans="1:2" x14ac:dyDescent="0.25">
      <c r="A567" t="s">
        <v>5489</v>
      </c>
      <c r="B567">
        <v>-3</v>
      </c>
    </row>
    <row r="568" spans="1:2" x14ac:dyDescent="0.25">
      <c r="A568" t="s">
        <v>5490</v>
      </c>
      <c r="B568">
        <v>1</v>
      </c>
    </row>
    <row r="569" spans="1:2" x14ac:dyDescent="0.25">
      <c r="A569" t="s">
        <v>5491</v>
      </c>
      <c r="B569">
        <v>2</v>
      </c>
    </row>
    <row r="570" spans="1:2" x14ac:dyDescent="0.25">
      <c r="A570" t="s">
        <v>5492</v>
      </c>
      <c r="B570">
        <v>-2</v>
      </c>
    </row>
    <row r="571" spans="1:2" x14ac:dyDescent="0.25">
      <c r="A571" t="s">
        <v>5493</v>
      </c>
      <c r="B571">
        <v>-3</v>
      </c>
    </row>
    <row r="572" spans="1:2" x14ac:dyDescent="0.25">
      <c r="A572" t="s">
        <v>5494</v>
      </c>
      <c r="B572">
        <v>-3</v>
      </c>
    </row>
    <row r="573" spans="1:2" x14ac:dyDescent="0.25">
      <c r="A573" t="s">
        <v>5495</v>
      </c>
      <c r="B573">
        <v>2</v>
      </c>
    </row>
    <row r="574" spans="1:2" x14ac:dyDescent="0.25">
      <c r="A574" t="s">
        <v>5496</v>
      </c>
      <c r="B574">
        <v>2</v>
      </c>
    </row>
    <row r="575" spans="1:2" x14ac:dyDescent="0.25">
      <c r="A575" t="s">
        <v>5497</v>
      </c>
      <c r="B575">
        <v>-2</v>
      </c>
    </row>
    <row r="576" spans="1:2" x14ac:dyDescent="0.25">
      <c r="A576" t="s">
        <v>5498</v>
      </c>
      <c r="B576">
        <v>-1</v>
      </c>
    </row>
    <row r="577" spans="1:2" x14ac:dyDescent="0.25">
      <c r="A577" t="s">
        <v>5499</v>
      </c>
      <c r="B577">
        <v>-1</v>
      </c>
    </row>
    <row r="578" spans="1:2" x14ac:dyDescent="0.25">
      <c r="A578" t="s">
        <v>5500</v>
      </c>
      <c r="B578">
        <v>-1</v>
      </c>
    </row>
    <row r="579" spans="1:2" x14ac:dyDescent="0.25">
      <c r="A579" t="s">
        <v>5501</v>
      </c>
      <c r="B579">
        <v>-2</v>
      </c>
    </row>
    <row r="580" spans="1:2" x14ac:dyDescent="0.25">
      <c r="A580" t="s">
        <v>5502</v>
      </c>
      <c r="B580">
        <v>-2</v>
      </c>
    </row>
    <row r="581" spans="1:2" x14ac:dyDescent="0.25">
      <c r="A581" t="s">
        <v>5503</v>
      </c>
      <c r="B581">
        <v>-2</v>
      </c>
    </row>
    <row r="582" spans="1:2" x14ac:dyDescent="0.25">
      <c r="A582" t="s">
        <v>5504</v>
      </c>
      <c r="B582">
        <v>-2</v>
      </c>
    </row>
    <row r="583" spans="1:2" x14ac:dyDescent="0.25">
      <c r="A583" t="s">
        <v>5505</v>
      </c>
      <c r="B583">
        <v>-2</v>
      </c>
    </row>
    <row r="584" spans="1:2" x14ac:dyDescent="0.25">
      <c r="A584" t="s">
        <v>5506</v>
      </c>
      <c r="B584">
        <v>-2</v>
      </c>
    </row>
    <row r="585" spans="1:2" x14ac:dyDescent="0.25">
      <c r="A585" t="s">
        <v>5507</v>
      </c>
      <c r="B585">
        <v>-2</v>
      </c>
    </row>
    <row r="586" spans="1:2" x14ac:dyDescent="0.25">
      <c r="A586" t="s">
        <v>5508</v>
      </c>
      <c r="B586">
        <v>-2</v>
      </c>
    </row>
    <row r="587" spans="1:2" x14ac:dyDescent="0.25">
      <c r="A587" t="s">
        <v>5509</v>
      </c>
      <c r="B587">
        <v>-2</v>
      </c>
    </row>
    <row r="588" spans="1:2" x14ac:dyDescent="0.25">
      <c r="A588" t="s">
        <v>5510</v>
      </c>
      <c r="B588">
        <v>-2</v>
      </c>
    </row>
    <row r="589" spans="1:2" x14ac:dyDescent="0.25">
      <c r="A589" t="s">
        <v>5511</v>
      </c>
      <c r="B589">
        <v>-2</v>
      </c>
    </row>
    <row r="590" spans="1:2" x14ac:dyDescent="0.25">
      <c r="A590" t="s">
        <v>5512</v>
      </c>
      <c r="B590">
        <v>-2</v>
      </c>
    </row>
    <row r="591" spans="1:2" x14ac:dyDescent="0.25">
      <c r="A591" t="s">
        <v>5513</v>
      </c>
      <c r="B591">
        <v>-1</v>
      </c>
    </row>
    <row r="592" spans="1:2" x14ac:dyDescent="0.25">
      <c r="A592" t="s">
        <v>5514</v>
      </c>
      <c r="B592">
        <v>-1</v>
      </c>
    </row>
    <row r="593" spans="1:2" x14ac:dyDescent="0.25">
      <c r="A593" t="s">
        <v>5515</v>
      </c>
      <c r="B593">
        <v>3</v>
      </c>
    </row>
    <row r="594" spans="1:2" x14ac:dyDescent="0.25">
      <c r="A594" t="s">
        <v>5516</v>
      </c>
      <c r="B594">
        <v>3</v>
      </c>
    </row>
    <row r="595" spans="1:2" x14ac:dyDescent="0.25">
      <c r="A595" t="s">
        <v>5517</v>
      </c>
      <c r="B595">
        <v>3</v>
      </c>
    </row>
    <row r="596" spans="1:2" x14ac:dyDescent="0.25">
      <c r="A596" t="s">
        <v>5518</v>
      </c>
      <c r="B596">
        <v>3</v>
      </c>
    </row>
    <row r="597" spans="1:2" x14ac:dyDescent="0.25">
      <c r="A597" t="s">
        <v>5519</v>
      </c>
      <c r="B597">
        <v>-1</v>
      </c>
    </row>
    <row r="598" spans="1:2" x14ac:dyDescent="0.25">
      <c r="A598" t="s">
        <v>5520</v>
      </c>
      <c r="B598">
        <v>-1</v>
      </c>
    </row>
    <row r="599" spans="1:2" x14ac:dyDescent="0.25">
      <c r="A599" t="s">
        <v>5521</v>
      </c>
      <c r="B599">
        <v>-1</v>
      </c>
    </row>
    <row r="600" spans="1:2" x14ac:dyDescent="0.25">
      <c r="A600" t="s">
        <v>5522</v>
      </c>
      <c r="B600">
        <v>-1</v>
      </c>
    </row>
    <row r="601" spans="1:2" x14ac:dyDescent="0.25">
      <c r="A601" t="s">
        <v>5523</v>
      </c>
      <c r="B601">
        <v>-1</v>
      </c>
    </row>
    <row r="602" spans="1:2" x14ac:dyDescent="0.25">
      <c r="A602" t="s">
        <v>5524</v>
      </c>
      <c r="B602">
        <v>-2</v>
      </c>
    </row>
    <row r="603" spans="1:2" x14ac:dyDescent="0.25">
      <c r="A603" t="s">
        <v>5525</v>
      </c>
      <c r="B603">
        <v>-2</v>
      </c>
    </row>
    <row r="604" spans="1:2" x14ac:dyDescent="0.25">
      <c r="A604" t="s">
        <v>5526</v>
      </c>
      <c r="B604">
        <v>-2</v>
      </c>
    </row>
    <row r="605" spans="1:2" x14ac:dyDescent="0.25">
      <c r="A605" t="s">
        <v>5527</v>
      </c>
      <c r="B605">
        <v>-2</v>
      </c>
    </row>
    <row r="606" spans="1:2" x14ac:dyDescent="0.25">
      <c r="A606" t="s">
        <v>5528</v>
      </c>
      <c r="B606">
        <v>-2</v>
      </c>
    </row>
    <row r="607" spans="1:2" x14ac:dyDescent="0.25">
      <c r="A607" t="s">
        <v>5529</v>
      </c>
      <c r="B607">
        <v>-2</v>
      </c>
    </row>
    <row r="608" spans="1:2" x14ac:dyDescent="0.25">
      <c r="A608" t="s">
        <v>5530</v>
      </c>
      <c r="B608">
        <v>-2</v>
      </c>
    </row>
    <row r="609" spans="1:2" x14ac:dyDescent="0.25">
      <c r="A609" t="s">
        <v>5531</v>
      </c>
      <c r="B609">
        <v>-2</v>
      </c>
    </row>
    <row r="610" spans="1:2" x14ac:dyDescent="0.25">
      <c r="A610" t="s">
        <v>5532</v>
      </c>
      <c r="B610">
        <v>-2</v>
      </c>
    </row>
    <row r="611" spans="1:2" x14ac:dyDescent="0.25">
      <c r="A611" t="s">
        <v>5533</v>
      </c>
      <c r="B611">
        <v>-2</v>
      </c>
    </row>
    <row r="612" spans="1:2" x14ac:dyDescent="0.25">
      <c r="A612" t="s">
        <v>5534</v>
      </c>
      <c r="B612">
        <v>-2</v>
      </c>
    </row>
    <row r="613" spans="1:2" x14ac:dyDescent="0.25">
      <c r="A613" t="s">
        <v>5535</v>
      </c>
      <c r="B613">
        <v>-2</v>
      </c>
    </row>
    <row r="614" spans="1:2" x14ac:dyDescent="0.25">
      <c r="A614" t="s">
        <v>5536</v>
      </c>
      <c r="B614">
        <v>-2</v>
      </c>
    </row>
    <row r="615" spans="1:2" x14ac:dyDescent="0.25">
      <c r="A615" t="s">
        <v>5537</v>
      </c>
      <c r="B615">
        <v>-2</v>
      </c>
    </row>
    <row r="616" spans="1:2" x14ac:dyDescent="0.25">
      <c r="A616" t="s">
        <v>5538</v>
      </c>
      <c r="B616">
        <v>-2</v>
      </c>
    </row>
    <row r="617" spans="1:2" x14ac:dyDescent="0.25">
      <c r="A617" t="s">
        <v>5539</v>
      </c>
      <c r="B617">
        <v>-2</v>
      </c>
    </row>
    <row r="618" spans="1:2" x14ac:dyDescent="0.25">
      <c r="A618" t="s">
        <v>5540</v>
      </c>
      <c r="B618">
        <v>-2</v>
      </c>
    </row>
    <row r="619" spans="1:2" x14ac:dyDescent="0.25">
      <c r="A619" t="s">
        <v>5541</v>
      </c>
      <c r="B619">
        <v>-2</v>
      </c>
    </row>
    <row r="620" spans="1:2" x14ac:dyDescent="0.25">
      <c r="A620" t="s">
        <v>5542</v>
      </c>
      <c r="B620">
        <v>-2</v>
      </c>
    </row>
    <row r="621" spans="1:2" x14ac:dyDescent="0.25">
      <c r="A621" t="s">
        <v>5543</v>
      </c>
      <c r="B621">
        <v>2</v>
      </c>
    </row>
    <row r="622" spans="1:2" x14ac:dyDescent="0.25">
      <c r="A622" t="s">
        <v>5544</v>
      </c>
      <c r="B622">
        <v>1</v>
      </c>
    </row>
    <row r="623" spans="1:2" x14ac:dyDescent="0.25">
      <c r="A623" t="s">
        <v>5545</v>
      </c>
      <c r="B623">
        <v>2</v>
      </c>
    </row>
    <row r="624" spans="1:2" x14ac:dyDescent="0.25">
      <c r="A624" t="s">
        <v>5546</v>
      </c>
      <c r="B624">
        <v>2</v>
      </c>
    </row>
    <row r="625" spans="1:2" x14ac:dyDescent="0.25">
      <c r="A625" t="s">
        <v>5547</v>
      </c>
      <c r="B625">
        <v>-3</v>
      </c>
    </row>
    <row r="626" spans="1:2" x14ac:dyDescent="0.25">
      <c r="A626" t="s">
        <v>5548</v>
      </c>
      <c r="B626">
        <v>-3</v>
      </c>
    </row>
    <row r="627" spans="1:2" x14ac:dyDescent="0.25">
      <c r="A627" t="s">
        <v>5549</v>
      </c>
      <c r="B627">
        <v>-3</v>
      </c>
    </row>
    <row r="628" spans="1:2" x14ac:dyDescent="0.25">
      <c r="A628" t="s">
        <v>5550</v>
      </c>
      <c r="B628">
        <v>-3</v>
      </c>
    </row>
    <row r="629" spans="1:2" x14ac:dyDescent="0.25">
      <c r="A629" t="s">
        <v>5551</v>
      </c>
      <c r="B629">
        <v>-3</v>
      </c>
    </row>
    <row r="630" spans="1:2" x14ac:dyDescent="0.25">
      <c r="A630" t="s">
        <v>5552</v>
      </c>
      <c r="B630">
        <v>-3</v>
      </c>
    </row>
    <row r="631" spans="1:2" x14ac:dyDescent="0.25">
      <c r="A631" t="s">
        <v>5553</v>
      </c>
      <c r="B631">
        <v>-3</v>
      </c>
    </row>
    <row r="632" spans="1:2" x14ac:dyDescent="0.25">
      <c r="A632" t="s">
        <v>5554</v>
      </c>
      <c r="B632">
        <v>-3</v>
      </c>
    </row>
    <row r="633" spans="1:2" x14ac:dyDescent="0.25">
      <c r="A633" t="s">
        <v>5555</v>
      </c>
      <c r="B633">
        <v>-3</v>
      </c>
    </row>
    <row r="634" spans="1:2" x14ac:dyDescent="0.25">
      <c r="A634" t="s">
        <v>5556</v>
      </c>
      <c r="B634">
        <v>-3</v>
      </c>
    </row>
    <row r="635" spans="1:2" x14ac:dyDescent="0.25">
      <c r="A635" t="s">
        <v>5557</v>
      </c>
      <c r="B635">
        <v>-3</v>
      </c>
    </row>
    <row r="636" spans="1:2" x14ac:dyDescent="0.25">
      <c r="A636" t="s">
        <v>5558</v>
      </c>
      <c r="B636">
        <v>-3</v>
      </c>
    </row>
    <row r="637" spans="1:2" x14ac:dyDescent="0.25">
      <c r="A637" t="s">
        <v>5559</v>
      </c>
      <c r="B637">
        <v>-1</v>
      </c>
    </row>
    <row r="638" spans="1:2" x14ac:dyDescent="0.25">
      <c r="A638" t="s">
        <v>5560</v>
      </c>
      <c r="B638">
        <v>-2</v>
      </c>
    </row>
    <row r="639" spans="1:2" x14ac:dyDescent="0.25">
      <c r="A639" t="s">
        <v>5561</v>
      </c>
      <c r="B639">
        <v>-2</v>
      </c>
    </row>
    <row r="640" spans="1:2" x14ac:dyDescent="0.25">
      <c r="A640" t="s">
        <v>5562</v>
      </c>
      <c r="B640">
        <v>-2</v>
      </c>
    </row>
    <row r="641" spans="1:2" x14ac:dyDescent="0.25">
      <c r="A641" t="s">
        <v>5563</v>
      </c>
      <c r="B641">
        <v>2</v>
      </c>
    </row>
    <row r="642" spans="1:2" x14ac:dyDescent="0.25">
      <c r="A642" t="s">
        <v>5564</v>
      </c>
      <c r="B642">
        <v>-2</v>
      </c>
    </row>
    <row r="643" spans="1:2" x14ac:dyDescent="0.25">
      <c r="A643" t="s">
        <v>5565</v>
      </c>
      <c r="B643">
        <v>-2</v>
      </c>
    </row>
    <row r="644" spans="1:2" x14ac:dyDescent="0.25">
      <c r="A644" t="s">
        <v>5566</v>
      </c>
      <c r="B644">
        <v>-2</v>
      </c>
    </row>
    <row r="645" spans="1:2" x14ac:dyDescent="0.25">
      <c r="A645" t="s">
        <v>5567</v>
      </c>
      <c r="B645">
        <v>3</v>
      </c>
    </row>
    <row r="646" spans="1:2" x14ac:dyDescent="0.25">
      <c r="A646" t="s">
        <v>5568</v>
      </c>
      <c r="B646">
        <v>1</v>
      </c>
    </row>
    <row r="647" spans="1:2" x14ac:dyDescent="0.25">
      <c r="A647" t="s">
        <v>5569</v>
      </c>
      <c r="B647">
        <v>-4</v>
      </c>
    </row>
    <row r="648" spans="1:2" x14ac:dyDescent="0.25">
      <c r="A648" t="s">
        <v>5570</v>
      </c>
      <c r="B648">
        <v>-4</v>
      </c>
    </row>
    <row r="649" spans="1:2" x14ac:dyDescent="0.25">
      <c r="A649" t="s">
        <v>5571</v>
      </c>
      <c r="B649">
        <v>-3</v>
      </c>
    </row>
    <row r="650" spans="1:2" x14ac:dyDescent="0.25">
      <c r="A650" t="s">
        <v>5572</v>
      </c>
      <c r="B650">
        <v>-3</v>
      </c>
    </row>
    <row r="651" spans="1:2" x14ac:dyDescent="0.25">
      <c r="A651" t="s">
        <v>5573</v>
      </c>
      <c r="B651">
        <v>-1</v>
      </c>
    </row>
    <row r="652" spans="1:2" x14ac:dyDescent="0.25">
      <c r="A652" t="s">
        <v>5574</v>
      </c>
      <c r="B652">
        <v>-2</v>
      </c>
    </row>
    <row r="653" spans="1:2" x14ac:dyDescent="0.25">
      <c r="A653" t="s">
        <v>5575</v>
      </c>
      <c r="B653">
        <v>-1</v>
      </c>
    </row>
    <row r="654" spans="1:2" x14ac:dyDescent="0.25">
      <c r="A654" t="s">
        <v>5576</v>
      </c>
      <c r="B654">
        <v>-3</v>
      </c>
    </row>
    <row r="655" spans="1:2" x14ac:dyDescent="0.25">
      <c r="A655" t="s">
        <v>5577</v>
      </c>
      <c r="B655">
        <v>-3</v>
      </c>
    </row>
    <row r="656" spans="1:2" x14ac:dyDescent="0.25">
      <c r="A656" t="s">
        <v>5578</v>
      </c>
      <c r="B656">
        <v>-3</v>
      </c>
    </row>
    <row r="657" spans="1:2" x14ac:dyDescent="0.25">
      <c r="A657" t="s">
        <v>5579</v>
      </c>
      <c r="B657">
        <v>-2</v>
      </c>
    </row>
    <row r="658" spans="1:2" x14ac:dyDescent="0.25">
      <c r="A658" t="s">
        <v>5580</v>
      </c>
      <c r="B658">
        <v>-2</v>
      </c>
    </row>
    <row r="659" spans="1:2" x14ac:dyDescent="0.25">
      <c r="A659" t="s">
        <v>5581</v>
      </c>
      <c r="B659">
        <v>-2</v>
      </c>
    </row>
    <row r="660" spans="1:2" x14ac:dyDescent="0.25">
      <c r="A660" t="s">
        <v>5582</v>
      </c>
      <c r="B660">
        <v>-2</v>
      </c>
    </row>
    <row r="661" spans="1:2" x14ac:dyDescent="0.25">
      <c r="A661" t="s">
        <v>5583</v>
      </c>
      <c r="B661">
        <v>-1</v>
      </c>
    </row>
    <row r="662" spans="1:2" x14ac:dyDescent="0.25">
      <c r="A662" t="s">
        <v>5584</v>
      </c>
      <c r="B662">
        <v>-2</v>
      </c>
    </row>
    <row r="663" spans="1:2" x14ac:dyDescent="0.25">
      <c r="A663" t="s">
        <v>5585</v>
      </c>
      <c r="B663">
        <v>-2</v>
      </c>
    </row>
    <row r="664" spans="1:2" x14ac:dyDescent="0.25">
      <c r="A664" t="s">
        <v>5586</v>
      </c>
      <c r="B664">
        <v>-1</v>
      </c>
    </row>
    <row r="665" spans="1:2" x14ac:dyDescent="0.25">
      <c r="A665" t="s">
        <v>5587</v>
      </c>
      <c r="B665">
        <v>-1</v>
      </c>
    </row>
    <row r="666" spans="1:2" x14ac:dyDescent="0.25">
      <c r="A666" t="s">
        <v>5588</v>
      </c>
      <c r="B666">
        <v>-1</v>
      </c>
    </row>
    <row r="667" spans="1:2" x14ac:dyDescent="0.25">
      <c r="A667" t="s">
        <v>5589</v>
      </c>
      <c r="B667">
        <v>-2</v>
      </c>
    </row>
    <row r="668" spans="1:2" x14ac:dyDescent="0.25">
      <c r="A668" t="s">
        <v>5590</v>
      </c>
      <c r="B668">
        <v>-2</v>
      </c>
    </row>
    <row r="669" spans="1:2" x14ac:dyDescent="0.25">
      <c r="A669" t="s">
        <v>5591</v>
      </c>
      <c r="B669">
        <v>-2</v>
      </c>
    </row>
    <row r="670" spans="1:2" x14ac:dyDescent="0.25">
      <c r="A670" t="s">
        <v>5592</v>
      </c>
      <c r="B670">
        <v>-2</v>
      </c>
    </row>
    <row r="671" spans="1:2" x14ac:dyDescent="0.25">
      <c r="A671" t="s">
        <v>5593</v>
      </c>
      <c r="B671">
        <v>-2</v>
      </c>
    </row>
    <row r="672" spans="1:2" x14ac:dyDescent="0.25">
      <c r="A672" t="s">
        <v>5594</v>
      </c>
      <c r="B672">
        <v>-2</v>
      </c>
    </row>
    <row r="673" spans="1:2" x14ac:dyDescent="0.25">
      <c r="A673" t="s">
        <v>5595</v>
      </c>
      <c r="B673">
        <v>-2</v>
      </c>
    </row>
    <row r="674" spans="1:2" x14ac:dyDescent="0.25">
      <c r="A674" t="s">
        <v>5596</v>
      </c>
      <c r="B674">
        <v>-2</v>
      </c>
    </row>
    <row r="675" spans="1:2" x14ac:dyDescent="0.25">
      <c r="A675" t="s">
        <v>5597</v>
      </c>
      <c r="B675">
        <v>-3</v>
      </c>
    </row>
    <row r="676" spans="1:2" x14ac:dyDescent="0.25">
      <c r="A676" t="s">
        <v>5598</v>
      </c>
      <c r="B676">
        <v>-2</v>
      </c>
    </row>
    <row r="677" spans="1:2" x14ac:dyDescent="0.25">
      <c r="A677" t="s">
        <v>5599</v>
      </c>
      <c r="B677">
        <v>-1</v>
      </c>
    </row>
    <row r="678" spans="1:2" x14ac:dyDescent="0.25">
      <c r="A678" t="s">
        <v>5600</v>
      </c>
      <c r="B678">
        <v>-1</v>
      </c>
    </row>
    <row r="679" spans="1:2" x14ac:dyDescent="0.25">
      <c r="A679" t="s">
        <v>5601</v>
      </c>
      <c r="B679">
        <v>-1</v>
      </c>
    </row>
    <row r="680" spans="1:2" x14ac:dyDescent="0.25">
      <c r="A680" t="s">
        <v>5602</v>
      </c>
      <c r="B680">
        <v>-1</v>
      </c>
    </row>
    <row r="681" spans="1:2" x14ac:dyDescent="0.25">
      <c r="A681" t="s">
        <v>5603</v>
      </c>
      <c r="B681">
        <v>-2</v>
      </c>
    </row>
    <row r="682" spans="1:2" x14ac:dyDescent="0.25">
      <c r="A682" t="s">
        <v>5604</v>
      </c>
      <c r="B682">
        <v>-2</v>
      </c>
    </row>
    <row r="683" spans="1:2" x14ac:dyDescent="0.25">
      <c r="A683" t="s">
        <v>5605</v>
      </c>
      <c r="B683">
        <v>-2</v>
      </c>
    </row>
    <row r="684" spans="1:2" x14ac:dyDescent="0.25">
      <c r="A684" t="s">
        <v>5606</v>
      </c>
      <c r="B684">
        <v>-2</v>
      </c>
    </row>
    <row r="685" spans="1:2" x14ac:dyDescent="0.25">
      <c r="A685" t="s">
        <v>5607</v>
      </c>
      <c r="B685">
        <v>-1</v>
      </c>
    </row>
    <row r="686" spans="1:2" x14ac:dyDescent="0.25">
      <c r="A686" t="s">
        <v>5608</v>
      </c>
      <c r="B686">
        <v>-2</v>
      </c>
    </row>
    <row r="687" spans="1:2" x14ac:dyDescent="0.25">
      <c r="A687" t="s">
        <v>5609</v>
      </c>
      <c r="B687">
        <v>-2</v>
      </c>
    </row>
    <row r="688" spans="1:2" x14ac:dyDescent="0.25">
      <c r="A688" t="s">
        <v>5610</v>
      </c>
      <c r="B688">
        <v>-2</v>
      </c>
    </row>
    <row r="689" spans="1:2" x14ac:dyDescent="0.25">
      <c r="A689" t="s">
        <v>5611</v>
      </c>
      <c r="B689">
        <v>-2</v>
      </c>
    </row>
    <row r="690" spans="1:2" x14ac:dyDescent="0.25">
      <c r="A690" t="s">
        <v>5612</v>
      </c>
      <c r="B690">
        <v>-2</v>
      </c>
    </row>
    <row r="691" spans="1:2" x14ac:dyDescent="0.25">
      <c r="A691" t="s">
        <v>5613</v>
      </c>
      <c r="B691">
        <v>-1</v>
      </c>
    </row>
    <row r="692" spans="1:2" x14ac:dyDescent="0.25">
      <c r="A692" t="s">
        <v>5614</v>
      </c>
      <c r="B692">
        <v>-1</v>
      </c>
    </row>
    <row r="693" spans="1:2" x14ac:dyDescent="0.25">
      <c r="A693" t="s">
        <v>5615</v>
      </c>
      <c r="B693">
        <v>-1</v>
      </c>
    </row>
    <row r="694" spans="1:2" x14ac:dyDescent="0.25">
      <c r="A694" t="s">
        <v>5616</v>
      </c>
      <c r="B694">
        <v>-1</v>
      </c>
    </row>
    <row r="695" spans="1:2" x14ac:dyDescent="0.25">
      <c r="A695" t="s">
        <v>5617</v>
      </c>
      <c r="B695">
        <v>-3</v>
      </c>
    </row>
    <row r="696" spans="1:2" x14ac:dyDescent="0.25">
      <c r="A696" t="s">
        <v>5618</v>
      </c>
      <c r="B696">
        <v>-3</v>
      </c>
    </row>
    <row r="697" spans="1:2" x14ac:dyDescent="0.25">
      <c r="A697" t="s">
        <v>2267</v>
      </c>
      <c r="B697">
        <v>-3</v>
      </c>
    </row>
    <row r="698" spans="1:2" x14ac:dyDescent="0.25">
      <c r="A698" t="s">
        <v>5619</v>
      </c>
      <c r="B698">
        <v>-2</v>
      </c>
    </row>
    <row r="699" spans="1:2" x14ac:dyDescent="0.25">
      <c r="A699" t="s">
        <v>5620</v>
      </c>
      <c r="B699">
        <v>-2</v>
      </c>
    </row>
    <row r="700" spans="1:2" x14ac:dyDescent="0.25">
      <c r="A700" t="s">
        <v>5621</v>
      </c>
      <c r="B700">
        <v>-2</v>
      </c>
    </row>
    <row r="701" spans="1:2" x14ac:dyDescent="0.25">
      <c r="A701" t="s">
        <v>5622</v>
      </c>
      <c r="B701">
        <v>-2</v>
      </c>
    </row>
    <row r="702" spans="1:2" x14ac:dyDescent="0.25">
      <c r="A702" t="s">
        <v>5623</v>
      </c>
      <c r="B702">
        <v>-2</v>
      </c>
    </row>
    <row r="703" spans="1:2" x14ac:dyDescent="0.25">
      <c r="A703" t="s">
        <v>5624</v>
      </c>
      <c r="B703">
        <v>-2</v>
      </c>
    </row>
    <row r="704" spans="1:2" x14ac:dyDescent="0.25">
      <c r="A704" t="s">
        <v>5625</v>
      </c>
      <c r="B704">
        <v>-2</v>
      </c>
    </row>
    <row r="705" spans="1:2" x14ac:dyDescent="0.25">
      <c r="A705" t="s">
        <v>5626</v>
      </c>
      <c r="B705">
        <v>-2</v>
      </c>
    </row>
    <row r="706" spans="1:2" x14ac:dyDescent="0.25">
      <c r="A706" t="s">
        <v>5627</v>
      </c>
      <c r="B706">
        <v>-2</v>
      </c>
    </row>
    <row r="707" spans="1:2" x14ac:dyDescent="0.25">
      <c r="A707" t="s">
        <v>5628</v>
      </c>
      <c r="B707">
        <v>-2</v>
      </c>
    </row>
    <row r="708" spans="1:2" x14ac:dyDescent="0.25">
      <c r="A708" t="s">
        <v>5629</v>
      </c>
      <c r="B708">
        <v>-2</v>
      </c>
    </row>
    <row r="709" spans="1:2" x14ac:dyDescent="0.25">
      <c r="A709" t="s">
        <v>5630</v>
      </c>
      <c r="B709">
        <v>-2</v>
      </c>
    </row>
    <row r="710" spans="1:2" x14ac:dyDescent="0.25">
      <c r="A710" t="s">
        <v>5631</v>
      </c>
      <c r="B710">
        <v>-2</v>
      </c>
    </row>
    <row r="711" spans="1:2" x14ac:dyDescent="0.25">
      <c r="A711" t="s">
        <v>5632</v>
      </c>
      <c r="B711">
        <v>-2</v>
      </c>
    </row>
    <row r="712" spans="1:2" x14ac:dyDescent="0.25">
      <c r="A712" t="s">
        <v>5633</v>
      </c>
      <c r="B712">
        <v>-2</v>
      </c>
    </row>
    <row r="713" spans="1:2" x14ac:dyDescent="0.25">
      <c r="A713" t="s">
        <v>5634</v>
      </c>
      <c r="B713">
        <v>-2</v>
      </c>
    </row>
    <row r="714" spans="1:2" x14ac:dyDescent="0.25">
      <c r="A714" t="s">
        <v>5635</v>
      </c>
      <c r="B714">
        <v>-2</v>
      </c>
    </row>
    <row r="715" spans="1:2" x14ac:dyDescent="0.25">
      <c r="A715" t="s">
        <v>5636</v>
      </c>
      <c r="B715">
        <v>-2</v>
      </c>
    </row>
    <row r="716" spans="1:2" x14ac:dyDescent="0.25">
      <c r="A716" t="s">
        <v>5637</v>
      </c>
      <c r="B716">
        <v>-2</v>
      </c>
    </row>
    <row r="717" spans="1:2" x14ac:dyDescent="0.25">
      <c r="A717" t="s">
        <v>5638</v>
      </c>
      <c r="B717">
        <v>-2</v>
      </c>
    </row>
    <row r="718" spans="1:2" x14ac:dyDescent="0.25">
      <c r="A718" t="s">
        <v>5639</v>
      </c>
      <c r="B718">
        <v>-2</v>
      </c>
    </row>
    <row r="719" spans="1:2" x14ac:dyDescent="0.25">
      <c r="A719" t="s">
        <v>5640</v>
      </c>
      <c r="B719">
        <v>-2</v>
      </c>
    </row>
    <row r="720" spans="1:2" x14ac:dyDescent="0.25">
      <c r="A720" t="s">
        <v>5641</v>
      </c>
      <c r="B720">
        <v>-2</v>
      </c>
    </row>
    <row r="721" spans="1:2" x14ac:dyDescent="0.25">
      <c r="A721" t="s">
        <v>5642</v>
      </c>
      <c r="B721">
        <v>-2</v>
      </c>
    </row>
    <row r="722" spans="1:2" x14ac:dyDescent="0.25">
      <c r="A722" t="s">
        <v>5643</v>
      </c>
      <c r="B722">
        <v>-2</v>
      </c>
    </row>
    <row r="723" spans="1:2" x14ac:dyDescent="0.25">
      <c r="A723" t="s">
        <v>5644</v>
      </c>
      <c r="B723">
        <v>-2</v>
      </c>
    </row>
    <row r="724" spans="1:2" x14ac:dyDescent="0.25">
      <c r="A724" t="s">
        <v>5645</v>
      </c>
      <c r="B724">
        <v>-2</v>
      </c>
    </row>
    <row r="725" spans="1:2" x14ac:dyDescent="0.25">
      <c r="A725" t="s">
        <v>5646</v>
      </c>
      <c r="B725">
        <v>-2</v>
      </c>
    </row>
    <row r="726" spans="1:2" x14ac:dyDescent="0.25">
      <c r="A726" t="s">
        <v>5647</v>
      </c>
      <c r="B726">
        <v>-2</v>
      </c>
    </row>
    <row r="727" spans="1:2" x14ac:dyDescent="0.25">
      <c r="A727" t="s">
        <v>5648</v>
      </c>
      <c r="B727">
        <v>-2</v>
      </c>
    </row>
    <row r="728" spans="1:2" x14ac:dyDescent="0.25">
      <c r="A728" t="s">
        <v>5649</v>
      </c>
      <c r="B728">
        <v>-2</v>
      </c>
    </row>
    <row r="729" spans="1:2" x14ac:dyDescent="0.25">
      <c r="A729" t="s">
        <v>5650</v>
      </c>
      <c r="B729">
        <v>-2</v>
      </c>
    </row>
    <row r="730" spans="1:2" x14ac:dyDescent="0.25">
      <c r="A730" t="s">
        <v>5651</v>
      </c>
      <c r="B730">
        <v>-2</v>
      </c>
    </row>
    <row r="731" spans="1:2" x14ac:dyDescent="0.25">
      <c r="A731" t="s">
        <v>5652</v>
      </c>
      <c r="B731">
        <v>-2</v>
      </c>
    </row>
    <row r="732" spans="1:2" x14ac:dyDescent="0.25">
      <c r="A732" t="s">
        <v>5653</v>
      </c>
      <c r="B732">
        <v>-2</v>
      </c>
    </row>
    <row r="733" spans="1:2" x14ac:dyDescent="0.25">
      <c r="A733" t="s">
        <v>5654</v>
      </c>
      <c r="B733">
        <v>-2</v>
      </c>
    </row>
    <row r="734" spans="1:2" x14ac:dyDescent="0.25">
      <c r="A734" t="s">
        <v>5655</v>
      </c>
      <c r="B734">
        <v>-2</v>
      </c>
    </row>
    <row r="735" spans="1:2" x14ac:dyDescent="0.25">
      <c r="A735" t="s">
        <v>5656</v>
      </c>
      <c r="B735">
        <v>-2</v>
      </c>
    </row>
    <row r="736" spans="1:2" x14ac:dyDescent="0.25">
      <c r="A736" t="s">
        <v>5657</v>
      </c>
      <c r="B736">
        <v>-2</v>
      </c>
    </row>
    <row r="737" spans="1:2" x14ac:dyDescent="0.25">
      <c r="A737" t="s">
        <v>5658</v>
      </c>
      <c r="B737">
        <v>-2</v>
      </c>
    </row>
    <row r="738" spans="1:2" x14ac:dyDescent="0.25">
      <c r="A738" t="s">
        <v>5659</v>
      </c>
      <c r="B738">
        <v>-2</v>
      </c>
    </row>
    <row r="739" spans="1:2" x14ac:dyDescent="0.25">
      <c r="A739" t="s">
        <v>5660</v>
      </c>
      <c r="B739">
        <v>-2</v>
      </c>
    </row>
    <row r="740" spans="1:2" x14ac:dyDescent="0.25">
      <c r="A740" t="s">
        <v>5661</v>
      </c>
      <c r="B740">
        <v>-2</v>
      </c>
    </row>
    <row r="741" spans="1:2" x14ac:dyDescent="0.25">
      <c r="A741" t="s">
        <v>5662</v>
      </c>
      <c r="B741">
        <v>-2</v>
      </c>
    </row>
    <row r="742" spans="1:2" x14ac:dyDescent="0.25">
      <c r="A742" t="s">
        <v>5663</v>
      </c>
      <c r="B742">
        <v>-3</v>
      </c>
    </row>
    <row r="743" spans="1:2" x14ac:dyDescent="0.25">
      <c r="A743" t="s">
        <v>5664</v>
      </c>
      <c r="B743">
        <v>-3</v>
      </c>
    </row>
    <row r="744" spans="1:2" x14ac:dyDescent="0.25">
      <c r="A744" t="s">
        <v>5665</v>
      </c>
      <c r="B744">
        <v>-2</v>
      </c>
    </row>
    <row r="745" spans="1:2" x14ac:dyDescent="0.25">
      <c r="A745" t="s">
        <v>5666</v>
      </c>
      <c r="B745">
        <v>-2</v>
      </c>
    </row>
    <row r="746" spans="1:2" x14ac:dyDescent="0.25">
      <c r="A746" t="s">
        <v>5667</v>
      </c>
      <c r="B746">
        <v>-2</v>
      </c>
    </row>
    <row r="747" spans="1:2" x14ac:dyDescent="0.25">
      <c r="A747" t="s">
        <v>5668</v>
      </c>
      <c r="B747">
        <v>-2</v>
      </c>
    </row>
    <row r="748" spans="1:2" x14ac:dyDescent="0.25">
      <c r="A748" t="s">
        <v>5669</v>
      </c>
      <c r="B748">
        <v>-2</v>
      </c>
    </row>
    <row r="749" spans="1:2" x14ac:dyDescent="0.25">
      <c r="A749" t="s">
        <v>5670</v>
      </c>
      <c r="B749">
        <v>-1</v>
      </c>
    </row>
    <row r="750" spans="1:2" x14ac:dyDescent="0.25">
      <c r="A750" t="s">
        <v>5671</v>
      </c>
      <c r="B750">
        <v>-2</v>
      </c>
    </row>
    <row r="751" spans="1:2" x14ac:dyDescent="0.25">
      <c r="A751" t="s">
        <v>5672</v>
      </c>
      <c r="B751">
        <v>-2</v>
      </c>
    </row>
    <row r="752" spans="1:2" x14ac:dyDescent="0.25">
      <c r="A752" t="s">
        <v>5673</v>
      </c>
      <c r="B752">
        <v>-2</v>
      </c>
    </row>
    <row r="753" spans="1:2" x14ac:dyDescent="0.25">
      <c r="A753" t="s">
        <v>5674</v>
      </c>
      <c r="B753">
        <v>-2</v>
      </c>
    </row>
    <row r="754" spans="1:2" x14ac:dyDescent="0.25">
      <c r="A754" t="s">
        <v>5675</v>
      </c>
      <c r="B754">
        <v>-2</v>
      </c>
    </row>
    <row r="755" spans="1:2" x14ac:dyDescent="0.25">
      <c r="A755" t="s">
        <v>5676</v>
      </c>
      <c r="B755">
        <v>-1</v>
      </c>
    </row>
    <row r="756" spans="1:2" x14ac:dyDescent="0.25">
      <c r="A756" t="s">
        <v>5677</v>
      </c>
      <c r="B756">
        <v>-1</v>
      </c>
    </row>
    <row r="757" spans="1:2" x14ac:dyDescent="0.25">
      <c r="A757" t="s">
        <v>5678</v>
      </c>
      <c r="B757">
        <v>-1</v>
      </c>
    </row>
    <row r="758" spans="1:2" x14ac:dyDescent="0.25">
      <c r="A758" t="s">
        <v>5679</v>
      </c>
      <c r="B758">
        <v>-1</v>
      </c>
    </row>
    <row r="759" spans="1:2" x14ac:dyDescent="0.25">
      <c r="A759" t="s">
        <v>5680</v>
      </c>
      <c r="B759">
        <v>-1</v>
      </c>
    </row>
    <row r="760" spans="1:2" x14ac:dyDescent="0.25">
      <c r="A760" t="s">
        <v>5681</v>
      </c>
      <c r="B760">
        <v>-2</v>
      </c>
    </row>
    <row r="761" spans="1:2" x14ac:dyDescent="0.25">
      <c r="A761" t="s">
        <v>5682</v>
      </c>
      <c r="B761">
        <v>-2</v>
      </c>
    </row>
    <row r="762" spans="1:2" x14ac:dyDescent="0.25">
      <c r="A762" t="s">
        <v>5683</v>
      </c>
      <c r="B762">
        <v>-2</v>
      </c>
    </row>
    <row r="763" spans="1:2" x14ac:dyDescent="0.25">
      <c r="A763" t="s">
        <v>5684</v>
      </c>
      <c r="B763">
        <v>-1</v>
      </c>
    </row>
    <row r="764" spans="1:2" x14ac:dyDescent="0.25">
      <c r="A764" t="s">
        <v>5685</v>
      </c>
      <c r="B764">
        <v>-1</v>
      </c>
    </row>
    <row r="765" spans="1:2" x14ac:dyDescent="0.25">
      <c r="A765" t="s">
        <v>5686</v>
      </c>
      <c r="B765">
        <v>-1</v>
      </c>
    </row>
    <row r="766" spans="1:2" x14ac:dyDescent="0.25">
      <c r="A766" t="s">
        <v>5687</v>
      </c>
      <c r="B766">
        <v>-2</v>
      </c>
    </row>
    <row r="767" spans="1:2" x14ac:dyDescent="0.25">
      <c r="A767" t="s">
        <v>5688</v>
      </c>
      <c r="B767">
        <v>-2</v>
      </c>
    </row>
    <row r="768" spans="1:2" x14ac:dyDescent="0.25">
      <c r="A768" t="s">
        <v>5689</v>
      </c>
      <c r="B768">
        <v>-2</v>
      </c>
    </row>
    <row r="769" spans="1:2" x14ac:dyDescent="0.25">
      <c r="A769" t="s">
        <v>5690</v>
      </c>
      <c r="B769">
        <v>-3</v>
      </c>
    </row>
    <row r="770" spans="1:2" x14ac:dyDescent="0.25">
      <c r="A770" t="s">
        <v>5691</v>
      </c>
      <c r="B770">
        <v>-2</v>
      </c>
    </row>
    <row r="771" spans="1:2" x14ac:dyDescent="0.25">
      <c r="A771" t="s">
        <v>5692</v>
      </c>
      <c r="B771">
        <v>1</v>
      </c>
    </row>
    <row r="772" spans="1:2" x14ac:dyDescent="0.25">
      <c r="A772" t="s">
        <v>5693</v>
      </c>
      <c r="B772">
        <v>1</v>
      </c>
    </row>
    <row r="773" spans="1:2" x14ac:dyDescent="0.25">
      <c r="A773" t="s">
        <v>5694</v>
      </c>
      <c r="B773">
        <v>-2</v>
      </c>
    </row>
    <row r="774" spans="1:2" x14ac:dyDescent="0.25">
      <c r="A774" t="s">
        <v>5695</v>
      </c>
      <c r="B774">
        <v>-2</v>
      </c>
    </row>
    <row r="775" spans="1:2" x14ac:dyDescent="0.25">
      <c r="A775" t="s">
        <v>5696</v>
      </c>
      <c r="B775">
        <v>-1</v>
      </c>
    </row>
    <row r="776" spans="1:2" x14ac:dyDescent="0.25">
      <c r="A776" t="s">
        <v>5697</v>
      </c>
      <c r="B776">
        <v>-2</v>
      </c>
    </row>
    <row r="777" spans="1:2" x14ac:dyDescent="0.25">
      <c r="A777" t="s">
        <v>5698</v>
      </c>
      <c r="B777">
        <v>-2</v>
      </c>
    </row>
    <row r="778" spans="1:2" x14ac:dyDescent="0.25">
      <c r="A778" t="s">
        <v>5699</v>
      </c>
      <c r="B778">
        <v>-2</v>
      </c>
    </row>
    <row r="779" spans="1:2" x14ac:dyDescent="0.25">
      <c r="A779" t="s">
        <v>5700</v>
      </c>
      <c r="B779">
        <v>-2</v>
      </c>
    </row>
    <row r="780" spans="1:2" x14ac:dyDescent="0.25">
      <c r="A780" t="s">
        <v>5701</v>
      </c>
      <c r="B780">
        <v>-2</v>
      </c>
    </row>
    <row r="781" spans="1:2" x14ac:dyDescent="0.25">
      <c r="A781" t="s">
        <v>5702</v>
      </c>
      <c r="B781">
        <v>-2</v>
      </c>
    </row>
    <row r="782" spans="1:2" x14ac:dyDescent="0.25">
      <c r="A782" t="s">
        <v>5703</v>
      </c>
      <c r="B782">
        <v>-2</v>
      </c>
    </row>
    <row r="783" spans="1:2" x14ac:dyDescent="0.25">
      <c r="A783" t="s">
        <v>5704</v>
      </c>
      <c r="B783">
        <v>-3</v>
      </c>
    </row>
    <row r="784" spans="1:2" x14ac:dyDescent="0.25">
      <c r="A784" t="s">
        <v>5705</v>
      </c>
      <c r="B784">
        <v>-3</v>
      </c>
    </row>
    <row r="785" spans="1:2" x14ac:dyDescent="0.25">
      <c r="A785" t="s">
        <v>5706</v>
      </c>
      <c r="B785">
        <v>-1</v>
      </c>
    </row>
    <row r="786" spans="1:2" x14ac:dyDescent="0.25">
      <c r="A786" t="s">
        <v>5707</v>
      </c>
      <c r="B786">
        <v>-2</v>
      </c>
    </row>
    <row r="787" spans="1:2" x14ac:dyDescent="0.25">
      <c r="A787" t="s">
        <v>5708</v>
      </c>
      <c r="B787">
        <v>-1</v>
      </c>
    </row>
    <row r="788" spans="1:2" x14ac:dyDescent="0.25">
      <c r="A788" t="s">
        <v>5709</v>
      </c>
      <c r="B788">
        <v>-2</v>
      </c>
    </row>
    <row r="789" spans="1:2" x14ac:dyDescent="0.25">
      <c r="A789" t="s">
        <v>5710</v>
      </c>
      <c r="B789">
        <v>-2</v>
      </c>
    </row>
    <row r="790" spans="1:2" x14ac:dyDescent="0.25">
      <c r="A790" t="s">
        <v>5711</v>
      </c>
      <c r="B790">
        <v>-2</v>
      </c>
    </row>
    <row r="791" spans="1:2" x14ac:dyDescent="0.25">
      <c r="A791" t="s">
        <v>5712</v>
      </c>
      <c r="B791">
        <v>2</v>
      </c>
    </row>
    <row r="792" spans="1:2" x14ac:dyDescent="0.25">
      <c r="A792" t="s">
        <v>5713</v>
      </c>
      <c r="B792">
        <v>2</v>
      </c>
    </row>
    <row r="793" spans="1:2" x14ac:dyDescent="0.25">
      <c r="A793" t="s">
        <v>5714</v>
      </c>
      <c r="B793">
        <v>2</v>
      </c>
    </row>
    <row r="794" spans="1:2" x14ac:dyDescent="0.25">
      <c r="A794" t="s">
        <v>5715</v>
      </c>
      <c r="B794">
        <v>1</v>
      </c>
    </row>
    <row r="795" spans="1:2" x14ac:dyDescent="0.25">
      <c r="A795" t="s">
        <v>5716</v>
      </c>
      <c r="B795">
        <v>4</v>
      </c>
    </row>
    <row r="796" spans="1:2" x14ac:dyDescent="0.25">
      <c r="A796" t="s">
        <v>5717</v>
      </c>
      <c r="B796">
        <v>-2</v>
      </c>
    </row>
    <row r="797" spans="1:2" x14ac:dyDescent="0.25">
      <c r="A797" t="s">
        <v>5718</v>
      </c>
      <c r="B797">
        <v>-2</v>
      </c>
    </row>
    <row r="798" spans="1:2" x14ac:dyDescent="0.25">
      <c r="A798" t="s">
        <v>5719</v>
      </c>
      <c r="B798">
        <v>2</v>
      </c>
    </row>
    <row r="799" spans="1:2" x14ac:dyDescent="0.25">
      <c r="A799" t="s">
        <v>5720</v>
      </c>
      <c r="B799">
        <v>2</v>
      </c>
    </row>
    <row r="800" spans="1:2" x14ac:dyDescent="0.25">
      <c r="A800" t="s">
        <v>5721</v>
      </c>
      <c r="B800">
        <v>3</v>
      </c>
    </row>
    <row r="801" spans="1:2" x14ac:dyDescent="0.25">
      <c r="A801" t="s">
        <v>5722</v>
      </c>
      <c r="B801">
        <v>3</v>
      </c>
    </row>
    <row r="802" spans="1:2" x14ac:dyDescent="0.25">
      <c r="A802" t="s">
        <v>5723</v>
      </c>
      <c r="B802">
        <v>2</v>
      </c>
    </row>
    <row r="803" spans="1:2" x14ac:dyDescent="0.25">
      <c r="A803" t="s">
        <v>5724</v>
      </c>
      <c r="B803">
        <v>2</v>
      </c>
    </row>
    <row r="804" spans="1:2" x14ac:dyDescent="0.25">
      <c r="A804" t="s">
        <v>5725</v>
      </c>
      <c r="B804">
        <v>-2</v>
      </c>
    </row>
    <row r="805" spans="1:2" x14ac:dyDescent="0.25">
      <c r="A805" t="s">
        <v>5726</v>
      </c>
      <c r="B805">
        <v>-2</v>
      </c>
    </row>
    <row r="806" spans="1:2" x14ac:dyDescent="0.25">
      <c r="A806" t="s">
        <v>5727</v>
      </c>
      <c r="B806">
        <v>-2</v>
      </c>
    </row>
    <row r="807" spans="1:2" x14ac:dyDescent="0.25">
      <c r="A807" t="s">
        <v>5728</v>
      </c>
      <c r="B807">
        <v>-2</v>
      </c>
    </row>
    <row r="808" spans="1:2" x14ac:dyDescent="0.25">
      <c r="A808" t="s">
        <v>5729</v>
      </c>
      <c r="B808">
        <v>-2</v>
      </c>
    </row>
    <row r="809" spans="1:2" x14ac:dyDescent="0.25">
      <c r="A809" t="s">
        <v>5730</v>
      </c>
      <c r="B809">
        <v>-2</v>
      </c>
    </row>
    <row r="810" spans="1:2" x14ac:dyDescent="0.25">
      <c r="A810" t="s">
        <v>5731</v>
      </c>
      <c r="B810">
        <v>1</v>
      </c>
    </row>
    <row r="811" spans="1:2" x14ac:dyDescent="0.25">
      <c r="A811" t="s">
        <v>5732</v>
      </c>
      <c r="B811">
        <v>-2</v>
      </c>
    </row>
    <row r="812" spans="1:2" x14ac:dyDescent="0.25">
      <c r="A812" t="s">
        <v>5733</v>
      </c>
      <c r="B812">
        <v>2</v>
      </c>
    </row>
    <row r="813" spans="1:2" x14ac:dyDescent="0.25">
      <c r="A813" t="s">
        <v>5734</v>
      </c>
      <c r="B813">
        <v>-1</v>
      </c>
    </row>
    <row r="814" spans="1:2" x14ac:dyDescent="0.25">
      <c r="A814" t="s">
        <v>5735</v>
      </c>
      <c r="B814">
        <v>-1</v>
      </c>
    </row>
    <row r="815" spans="1:2" x14ac:dyDescent="0.25">
      <c r="A815" t="s">
        <v>5736</v>
      </c>
      <c r="B815">
        <v>2</v>
      </c>
    </row>
    <row r="816" spans="1:2" x14ac:dyDescent="0.25">
      <c r="A816" t="s">
        <v>5737</v>
      </c>
      <c r="B816">
        <v>2</v>
      </c>
    </row>
    <row r="817" spans="1:2" x14ac:dyDescent="0.25">
      <c r="A817" t="s">
        <v>5738</v>
      </c>
      <c r="B817">
        <v>2</v>
      </c>
    </row>
    <row r="818" spans="1:2" x14ac:dyDescent="0.25">
      <c r="A818" t="s">
        <v>5739</v>
      </c>
      <c r="B818">
        <v>2</v>
      </c>
    </row>
    <row r="819" spans="1:2" x14ac:dyDescent="0.25">
      <c r="A819" t="s">
        <v>5740</v>
      </c>
      <c r="B819">
        <v>2</v>
      </c>
    </row>
    <row r="820" spans="1:2" x14ac:dyDescent="0.25">
      <c r="A820" t="s">
        <v>5741</v>
      </c>
      <c r="B820">
        <v>2</v>
      </c>
    </row>
    <row r="821" spans="1:2" x14ac:dyDescent="0.25">
      <c r="A821" t="s">
        <v>5742</v>
      </c>
      <c r="B821">
        <v>2</v>
      </c>
    </row>
    <row r="822" spans="1:2" x14ac:dyDescent="0.25">
      <c r="A822" t="s">
        <v>5743</v>
      </c>
      <c r="B822">
        <v>2</v>
      </c>
    </row>
    <row r="823" spans="1:2" x14ac:dyDescent="0.25">
      <c r="A823" t="s">
        <v>5744</v>
      </c>
      <c r="B823">
        <v>2</v>
      </c>
    </row>
    <row r="824" spans="1:2" x14ac:dyDescent="0.25">
      <c r="A824" t="s">
        <v>5745</v>
      </c>
      <c r="B824">
        <v>-2</v>
      </c>
    </row>
    <row r="825" spans="1:2" x14ac:dyDescent="0.25">
      <c r="A825" t="s">
        <v>5746</v>
      </c>
      <c r="B825">
        <v>-2</v>
      </c>
    </row>
    <row r="826" spans="1:2" x14ac:dyDescent="0.25">
      <c r="A826" t="s">
        <v>5747</v>
      </c>
      <c r="B826">
        <v>2</v>
      </c>
    </row>
    <row r="827" spans="1:2" x14ac:dyDescent="0.25">
      <c r="A827" t="s">
        <v>5748</v>
      </c>
      <c r="B827">
        <v>1</v>
      </c>
    </row>
    <row r="828" spans="1:2" x14ac:dyDescent="0.25">
      <c r="A828" t="s">
        <v>5749</v>
      </c>
      <c r="B828">
        <v>1</v>
      </c>
    </row>
    <row r="829" spans="1:2" x14ac:dyDescent="0.25">
      <c r="A829" t="s">
        <v>5750</v>
      </c>
      <c r="B829">
        <v>1</v>
      </c>
    </row>
    <row r="830" spans="1:2" x14ac:dyDescent="0.25">
      <c r="A830" t="s">
        <v>5751</v>
      </c>
      <c r="B830">
        <v>2</v>
      </c>
    </row>
    <row r="831" spans="1:2" x14ac:dyDescent="0.25">
      <c r="A831" t="s">
        <v>5752</v>
      </c>
      <c r="B831">
        <v>2</v>
      </c>
    </row>
    <row r="832" spans="1:2" x14ac:dyDescent="0.25">
      <c r="A832" t="s">
        <v>5753</v>
      </c>
      <c r="B832">
        <v>2</v>
      </c>
    </row>
    <row r="833" spans="1:2" x14ac:dyDescent="0.25">
      <c r="A833" t="s">
        <v>5754</v>
      </c>
      <c r="B833">
        <v>2</v>
      </c>
    </row>
    <row r="834" spans="1:2" x14ac:dyDescent="0.25">
      <c r="A834" t="s">
        <v>5755</v>
      </c>
      <c r="B834">
        <v>2</v>
      </c>
    </row>
    <row r="835" spans="1:2" x14ac:dyDescent="0.25">
      <c r="A835" t="s">
        <v>5756</v>
      </c>
      <c r="B835">
        <v>2</v>
      </c>
    </row>
    <row r="836" spans="1:2" x14ac:dyDescent="0.25">
      <c r="A836" t="s">
        <v>5757</v>
      </c>
      <c r="B836">
        <v>2</v>
      </c>
    </row>
    <row r="837" spans="1:2" x14ac:dyDescent="0.25">
      <c r="A837" t="s">
        <v>5758</v>
      </c>
      <c r="B837">
        <v>-2</v>
      </c>
    </row>
    <row r="838" spans="1:2" x14ac:dyDescent="0.25">
      <c r="A838" t="s">
        <v>5759</v>
      </c>
      <c r="B838">
        <v>-2</v>
      </c>
    </row>
    <row r="839" spans="1:2" x14ac:dyDescent="0.25">
      <c r="A839" t="s">
        <v>5760</v>
      </c>
      <c r="B839">
        <v>-2</v>
      </c>
    </row>
    <row r="840" spans="1:2" x14ac:dyDescent="0.25">
      <c r="A840" t="s">
        <v>5761</v>
      </c>
      <c r="B840">
        <v>-2</v>
      </c>
    </row>
    <row r="841" spans="1:2" x14ac:dyDescent="0.25">
      <c r="A841" t="s">
        <v>5762</v>
      </c>
      <c r="B841">
        <v>3</v>
      </c>
    </row>
    <row r="842" spans="1:2" x14ac:dyDescent="0.25">
      <c r="A842" t="s">
        <v>5763</v>
      </c>
      <c r="B842">
        <v>-2</v>
      </c>
    </row>
    <row r="843" spans="1:2" x14ac:dyDescent="0.25">
      <c r="A843" t="s">
        <v>5764</v>
      </c>
      <c r="B843">
        <v>-2</v>
      </c>
    </row>
    <row r="844" spans="1:2" x14ac:dyDescent="0.25">
      <c r="A844" t="s">
        <v>5765</v>
      </c>
      <c r="B844">
        <v>-2</v>
      </c>
    </row>
    <row r="845" spans="1:2" x14ac:dyDescent="0.25">
      <c r="A845" t="s">
        <v>5766</v>
      </c>
      <c r="B845">
        <v>1</v>
      </c>
    </row>
    <row r="846" spans="1:2" x14ac:dyDescent="0.25">
      <c r="A846" t="s">
        <v>5767</v>
      </c>
      <c r="B846">
        <v>1</v>
      </c>
    </row>
    <row r="847" spans="1:2" x14ac:dyDescent="0.25">
      <c r="A847" t="s">
        <v>5768</v>
      </c>
      <c r="B847">
        <v>1</v>
      </c>
    </row>
    <row r="848" spans="1:2" x14ac:dyDescent="0.25">
      <c r="A848" t="s">
        <v>5769</v>
      </c>
      <c r="B848">
        <v>2</v>
      </c>
    </row>
    <row r="849" spans="1:2" x14ac:dyDescent="0.25">
      <c r="A849" t="s">
        <v>5770</v>
      </c>
      <c r="B849">
        <v>3</v>
      </c>
    </row>
    <row r="850" spans="1:2" x14ac:dyDescent="0.25">
      <c r="A850" t="s">
        <v>5771</v>
      </c>
      <c r="B850">
        <v>3</v>
      </c>
    </row>
    <row r="851" spans="1:2" x14ac:dyDescent="0.25">
      <c r="A851" t="s">
        <v>5772</v>
      </c>
      <c r="B851">
        <v>1</v>
      </c>
    </row>
    <row r="852" spans="1:2" x14ac:dyDescent="0.25">
      <c r="A852" t="s">
        <v>5773</v>
      </c>
      <c r="B852">
        <v>2</v>
      </c>
    </row>
    <row r="853" spans="1:2" x14ac:dyDescent="0.25">
      <c r="A853" t="s">
        <v>5774</v>
      </c>
      <c r="B853">
        <v>-1</v>
      </c>
    </row>
    <row r="854" spans="1:2" x14ac:dyDescent="0.25">
      <c r="A854" t="s">
        <v>5775</v>
      </c>
      <c r="B854">
        <v>-2</v>
      </c>
    </row>
    <row r="855" spans="1:2" x14ac:dyDescent="0.25">
      <c r="A855" t="s">
        <v>5776</v>
      </c>
      <c r="B855">
        <v>-1</v>
      </c>
    </row>
    <row r="856" spans="1:2" x14ac:dyDescent="0.25">
      <c r="A856" t="s">
        <v>5777</v>
      </c>
      <c r="B856">
        <v>-1</v>
      </c>
    </row>
    <row r="857" spans="1:2" x14ac:dyDescent="0.25">
      <c r="A857" t="s">
        <v>5778</v>
      </c>
      <c r="B857">
        <v>-2</v>
      </c>
    </row>
    <row r="858" spans="1:2" x14ac:dyDescent="0.25">
      <c r="A858" t="s">
        <v>5779</v>
      </c>
      <c r="B858">
        <v>-2</v>
      </c>
    </row>
    <row r="859" spans="1:2" x14ac:dyDescent="0.25">
      <c r="A859" t="s">
        <v>5780</v>
      </c>
      <c r="B859">
        <v>-2</v>
      </c>
    </row>
    <row r="860" spans="1:2" x14ac:dyDescent="0.25">
      <c r="A860" t="s">
        <v>5781</v>
      </c>
      <c r="B860">
        <v>-1</v>
      </c>
    </row>
    <row r="861" spans="1:2" x14ac:dyDescent="0.25">
      <c r="A861" t="s">
        <v>5782</v>
      </c>
      <c r="B861">
        <v>-1</v>
      </c>
    </row>
    <row r="862" spans="1:2" x14ac:dyDescent="0.25">
      <c r="A862" t="s">
        <v>5783</v>
      </c>
      <c r="B862">
        <v>-1</v>
      </c>
    </row>
    <row r="863" spans="1:2" x14ac:dyDescent="0.25">
      <c r="A863" t="s">
        <v>5784</v>
      </c>
      <c r="B863">
        <v>2</v>
      </c>
    </row>
    <row r="864" spans="1:2" x14ac:dyDescent="0.25">
      <c r="A864" t="s">
        <v>5785</v>
      </c>
      <c r="B864">
        <v>2</v>
      </c>
    </row>
    <row r="865" spans="1:2" x14ac:dyDescent="0.25">
      <c r="A865" t="s">
        <v>5786</v>
      </c>
      <c r="B865">
        <v>3</v>
      </c>
    </row>
    <row r="866" spans="1:2" x14ac:dyDescent="0.25">
      <c r="A866" t="s">
        <v>5787</v>
      </c>
      <c r="B866">
        <v>4</v>
      </c>
    </row>
    <row r="867" spans="1:2" x14ac:dyDescent="0.25">
      <c r="A867" t="s">
        <v>5788</v>
      </c>
      <c r="B867">
        <v>-1</v>
      </c>
    </row>
    <row r="868" spans="1:2" x14ac:dyDescent="0.25">
      <c r="A868" t="s">
        <v>5789</v>
      </c>
      <c r="B868">
        <v>-3</v>
      </c>
    </row>
    <row r="869" spans="1:2" x14ac:dyDescent="0.25">
      <c r="A869" t="s">
        <v>5790</v>
      </c>
      <c r="B869">
        <v>-2</v>
      </c>
    </row>
    <row r="870" spans="1:2" x14ac:dyDescent="0.25">
      <c r="A870" t="s">
        <v>5791</v>
      </c>
      <c r="B870">
        <v>-2</v>
      </c>
    </row>
    <row r="871" spans="1:2" x14ac:dyDescent="0.25">
      <c r="A871" t="s">
        <v>5792</v>
      </c>
      <c r="B871">
        <v>-2</v>
      </c>
    </row>
    <row r="872" spans="1:2" x14ac:dyDescent="0.25">
      <c r="A872" t="s">
        <v>5793</v>
      </c>
      <c r="B872">
        <v>-2</v>
      </c>
    </row>
    <row r="873" spans="1:2" x14ac:dyDescent="0.25">
      <c r="A873" t="s">
        <v>5794</v>
      </c>
      <c r="B873">
        <v>2</v>
      </c>
    </row>
    <row r="874" spans="1:2" x14ac:dyDescent="0.25">
      <c r="A874" t="s">
        <v>5795</v>
      </c>
      <c r="B874">
        <v>3</v>
      </c>
    </row>
    <row r="875" spans="1:2" x14ac:dyDescent="0.25">
      <c r="A875" t="s">
        <v>5796</v>
      </c>
      <c r="B875">
        <v>3</v>
      </c>
    </row>
    <row r="876" spans="1:2" x14ac:dyDescent="0.25">
      <c r="A876" t="s">
        <v>5797</v>
      </c>
      <c r="B876">
        <v>3</v>
      </c>
    </row>
    <row r="877" spans="1:2" x14ac:dyDescent="0.25">
      <c r="A877" t="s">
        <v>5798</v>
      </c>
      <c r="B877">
        <v>3</v>
      </c>
    </row>
    <row r="878" spans="1:2" x14ac:dyDescent="0.25">
      <c r="A878" t="s">
        <v>5799</v>
      </c>
      <c r="B878">
        <v>3</v>
      </c>
    </row>
    <row r="879" spans="1:2" x14ac:dyDescent="0.25">
      <c r="A879" t="s">
        <v>5800</v>
      </c>
      <c r="B879">
        <v>3</v>
      </c>
    </row>
    <row r="880" spans="1:2" x14ac:dyDescent="0.25">
      <c r="A880" t="s">
        <v>5801</v>
      </c>
      <c r="B880">
        <v>-1</v>
      </c>
    </row>
    <row r="881" spans="1:2" x14ac:dyDescent="0.25">
      <c r="A881" t="s">
        <v>5802</v>
      </c>
      <c r="B881">
        <v>-2</v>
      </c>
    </row>
    <row r="882" spans="1:2" x14ac:dyDescent="0.25">
      <c r="A882" t="s">
        <v>5803</v>
      </c>
      <c r="B882">
        <v>-1</v>
      </c>
    </row>
    <row r="883" spans="1:2" x14ac:dyDescent="0.25">
      <c r="A883" t="s">
        <v>5804</v>
      </c>
      <c r="B883">
        <v>2</v>
      </c>
    </row>
    <row r="884" spans="1:2" x14ac:dyDescent="0.25">
      <c r="A884" t="s">
        <v>5805</v>
      </c>
      <c r="B884">
        <v>-1</v>
      </c>
    </row>
    <row r="885" spans="1:2" x14ac:dyDescent="0.25">
      <c r="A885" t="s">
        <v>5806</v>
      </c>
      <c r="B885">
        <v>-1</v>
      </c>
    </row>
    <row r="886" spans="1:2" x14ac:dyDescent="0.25">
      <c r="A886" t="s">
        <v>5807</v>
      </c>
      <c r="B886">
        <v>-2</v>
      </c>
    </row>
    <row r="887" spans="1:2" x14ac:dyDescent="0.25">
      <c r="A887" t="s">
        <v>5808</v>
      </c>
      <c r="B887">
        <v>3</v>
      </c>
    </row>
    <row r="888" spans="1:2" x14ac:dyDescent="0.25">
      <c r="A888" t="s">
        <v>5809</v>
      </c>
      <c r="B888">
        <v>3</v>
      </c>
    </row>
    <row r="889" spans="1:2" x14ac:dyDescent="0.25">
      <c r="A889" t="s">
        <v>5810</v>
      </c>
      <c r="B889">
        <v>3</v>
      </c>
    </row>
    <row r="890" spans="1:2" x14ac:dyDescent="0.25">
      <c r="A890" t="s">
        <v>5811</v>
      </c>
      <c r="B890">
        <v>2</v>
      </c>
    </row>
    <row r="891" spans="1:2" x14ac:dyDescent="0.25">
      <c r="A891" t="s">
        <v>5812</v>
      </c>
      <c r="B891">
        <v>2</v>
      </c>
    </row>
    <row r="892" spans="1:2" x14ac:dyDescent="0.25">
      <c r="A892" t="s">
        <v>5813</v>
      </c>
      <c r="B892">
        <v>2</v>
      </c>
    </row>
    <row r="893" spans="1:2" x14ac:dyDescent="0.25">
      <c r="A893" t="s">
        <v>5814</v>
      </c>
      <c r="B893">
        <v>2</v>
      </c>
    </row>
    <row r="894" spans="1:2" x14ac:dyDescent="0.25">
      <c r="A894" t="s">
        <v>5815</v>
      </c>
      <c r="B894">
        <v>1</v>
      </c>
    </row>
    <row r="895" spans="1:2" x14ac:dyDescent="0.25">
      <c r="A895" t="s">
        <v>5816</v>
      </c>
      <c r="B895">
        <v>1</v>
      </c>
    </row>
    <row r="896" spans="1:2" x14ac:dyDescent="0.25">
      <c r="A896" t="s">
        <v>5817</v>
      </c>
      <c r="B896">
        <v>-2</v>
      </c>
    </row>
    <row r="897" spans="1:2" x14ac:dyDescent="0.25">
      <c r="A897" t="s">
        <v>5818</v>
      </c>
      <c r="B897">
        <v>-2</v>
      </c>
    </row>
    <row r="898" spans="1:2" x14ac:dyDescent="0.25">
      <c r="A898" t="s">
        <v>5819</v>
      </c>
      <c r="B898">
        <v>-2</v>
      </c>
    </row>
    <row r="899" spans="1:2" x14ac:dyDescent="0.25">
      <c r="A899" t="s">
        <v>5820</v>
      </c>
      <c r="B899">
        <v>-2</v>
      </c>
    </row>
    <row r="900" spans="1:2" x14ac:dyDescent="0.25">
      <c r="A900" t="s">
        <v>5821</v>
      </c>
      <c r="B900">
        <v>-2</v>
      </c>
    </row>
    <row r="901" spans="1:2" x14ac:dyDescent="0.25">
      <c r="A901" t="s">
        <v>5822</v>
      </c>
      <c r="B901">
        <v>-2</v>
      </c>
    </row>
    <row r="902" spans="1:2" x14ac:dyDescent="0.25">
      <c r="A902" t="s">
        <v>5823</v>
      </c>
      <c r="B902">
        <v>-2</v>
      </c>
    </row>
    <row r="903" spans="1:2" x14ac:dyDescent="0.25">
      <c r="A903" t="s">
        <v>5824</v>
      </c>
      <c r="B903">
        <v>-2</v>
      </c>
    </row>
    <row r="904" spans="1:2" x14ac:dyDescent="0.25">
      <c r="A904" t="s">
        <v>5825</v>
      </c>
      <c r="B904">
        <v>1</v>
      </c>
    </row>
    <row r="905" spans="1:2" x14ac:dyDescent="0.25">
      <c r="A905" t="s">
        <v>5826</v>
      </c>
      <c r="B905">
        <v>1</v>
      </c>
    </row>
    <row r="906" spans="1:2" x14ac:dyDescent="0.25">
      <c r="A906" t="s">
        <v>5827</v>
      </c>
      <c r="B906">
        <v>-1</v>
      </c>
    </row>
    <row r="907" spans="1:2" x14ac:dyDescent="0.25">
      <c r="A907" t="s">
        <v>5828</v>
      </c>
      <c r="B907">
        <v>-1</v>
      </c>
    </row>
    <row r="908" spans="1:2" x14ac:dyDescent="0.25">
      <c r="A908" t="s">
        <v>5829</v>
      </c>
      <c r="B908">
        <v>-1</v>
      </c>
    </row>
    <row r="909" spans="1:2" x14ac:dyDescent="0.25">
      <c r="A909" t="s">
        <v>5830</v>
      </c>
      <c r="B909">
        <v>-1</v>
      </c>
    </row>
    <row r="910" spans="1:2" x14ac:dyDescent="0.25">
      <c r="A910" t="s">
        <v>5831</v>
      </c>
      <c r="B910">
        <v>1</v>
      </c>
    </row>
    <row r="911" spans="1:2" x14ac:dyDescent="0.25">
      <c r="A911" t="s">
        <v>5832</v>
      </c>
      <c r="B911">
        <v>1</v>
      </c>
    </row>
    <row r="912" spans="1:2" x14ac:dyDescent="0.25">
      <c r="A912" t="s">
        <v>5833</v>
      </c>
      <c r="B912">
        <v>4</v>
      </c>
    </row>
    <row r="913" spans="1:2" x14ac:dyDescent="0.25">
      <c r="A913" t="s">
        <v>5834</v>
      </c>
      <c r="B913">
        <v>3</v>
      </c>
    </row>
    <row r="914" spans="1:2" x14ac:dyDescent="0.25">
      <c r="A914" t="s">
        <v>5835</v>
      </c>
      <c r="B914">
        <v>3</v>
      </c>
    </row>
    <row r="915" spans="1:2" x14ac:dyDescent="0.25">
      <c r="A915" t="s">
        <v>5836</v>
      </c>
      <c r="B915">
        <v>4</v>
      </c>
    </row>
    <row r="916" spans="1:2" x14ac:dyDescent="0.25">
      <c r="A916" t="s">
        <v>5837</v>
      </c>
      <c r="B916">
        <v>-2</v>
      </c>
    </row>
    <row r="917" spans="1:2" x14ac:dyDescent="0.25">
      <c r="A917" t="s">
        <v>5838</v>
      </c>
      <c r="B917">
        <v>-2</v>
      </c>
    </row>
    <row r="918" spans="1:2" x14ac:dyDescent="0.25">
      <c r="A918" t="s">
        <v>5839</v>
      </c>
      <c r="B918">
        <v>-2</v>
      </c>
    </row>
    <row r="919" spans="1:2" x14ac:dyDescent="0.25">
      <c r="A919" t="s">
        <v>5840</v>
      </c>
      <c r="B919">
        <v>-2</v>
      </c>
    </row>
    <row r="920" spans="1:2" x14ac:dyDescent="0.25">
      <c r="A920" t="s">
        <v>5841</v>
      </c>
      <c r="B920">
        <v>-2</v>
      </c>
    </row>
    <row r="921" spans="1:2" x14ac:dyDescent="0.25">
      <c r="A921" t="s">
        <v>5842</v>
      </c>
      <c r="B921">
        <v>-2</v>
      </c>
    </row>
    <row r="922" spans="1:2" x14ac:dyDescent="0.25">
      <c r="A922" t="s">
        <v>5843</v>
      </c>
      <c r="B922">
        <v>-2</v>
      </c>
    </row>
    <row r="923" spans="1:2" x14ac:dyDescent="0.25">
      <c r="A923" t="s">
        <v>5844</v>
      </c>
      <c r="B923">
        <v>-2</v>
      </c>
    </row>
    <row r="924" spans="1:2" x14ac:dyDescent="0.25">
      <c r="A924" t="s">
        <v>5845</v>
      </c>
      <c r="B924">
        <v>2</v>
      </c>
    </row>
    <row r="925" spans="1:2" x14ac:dyDescent="0.25">
      <c r="A925" t="s">
        <v>5846</v>
      </c>
      <c r="B925">
        <v>1</v>
      </c>
    </row>
    <row r="926" spans="1:2" x14ac:dyDescent="0.25">
      <c r="A926" t="s">
        <v>5847</v>
      </c>
      <c r="B926">
        <v>3</v>
      </c>
    </row>
    <row r="927" spans="1:2" x14ac:dyDescent="0.25">
      <c r="A927" t="s">
        <v>5848</v>
      </c>
      <c r="B927">
        <v>-3</v>
      </c>
    </row>
    <row r="928" spans="1:2" x14ac:dyDescent="0.25">
      <c r="A928" t="s">
        <v>5849</v>
      </c>
      <c r="B928">
        <v>-3</v>
      </c>
    </row>
    <row r="929" spans="1:2" x14ac:dyDescent="0.25">
      <c r="A929" t="s">
        <v>5850</v>
      </c>
      <c r="B929">
        <v>-3</v>
      </c>
    </row>
    <row r="930" spans="1:2" x14ac:dyDescent="0.25">
      <c r="A930" t="s">
        <v>5851</v>
      </c>
      <c r="B930">
        <v>-2</v>
      </c>
    </row>
    <row r="931" spans="1:2" x14ac:dyDescent="0.25">
      <c r="A931" t="s">
        <v>5852</v>
      </c>
      <c r="B931">
        <v>-1</v>
      </c>
    </row>
    <row r="932" spans="1:2" x14ac:dyDescent="0.25">
      <c r="A932" t="s">
        <v>5853</v>
      </c>
      <c r="B932">
        <v>-3</v>
      </c>
    </row>
    <row r="933" spans="1:2" x14ac:dyDescent="0.25">
      <c r="A933" t="s">
        <v>5854</v>
      </c>
      <c r="B933">
        <v>-3</v>
      </c>
    </row>
    <row r="934" spans="1:2" x14ac:dyDescent="0.25">
      <c r="A934" t="s">
        <v>5855</v>
      </c>
      <c r="B934">
        <v>1</v>
      </c>
    </row>
    <row r="935" spans="1:2" x14ac:dyDescent="0.25">
      <c r="A935" t="s">
        <v>5856</v>
      </c>
      <c r="B935">
        <v>3</v>
      </c>
    </row>
    <row r="936" spans="1:2" x14ac:dyDescent="0.25">
      <c r="A936" t="s">
        <v>5857</v>
      </c>
      <c r="B936">
        <v>4</v>
      </c>
    </row>
    <row r="937" spans="1:2" x14ac:dyDescent="0.25">
      <c r="A937" t="s">
        <v>5858</v>
      </c>
      <c r="B937">
        <v>-1</v>
      </c>
    </row>
    <row r="938" spans="1:2" x14ac:dyDescent="0.25">
      <c r="A938" t="s">
        <v>5859</v>
      </c>
      <c r="B938">
        <v>3</v>
      </c>
    </row>
    <row r="939" spans="1:2" x14ac:dyDescent="0.25">
      <c r="A939" t="s">
        <v>5860</v>
      </c>
      <c r="B939">
        <v>3</v>
      </c>
    </row>
    <row r="940" spans="1:2" x14ac:dyDescent="0.25">
      <c r="A940" t="s">
        <v>5861</v>
      </c>
      <c r="B940">
        <v>3</v>
      </c>
    </row>
    <row r="941" spans="1:2" x14ac:dyDescent="0.25">
      <c r="A941" t="s">
        <v>5862</v>
      </c>
      <c r="B941">
        <v>3</v>
      </c>
    </row>
    <row r="942" spans="1:2" x14ac:dyDescent="0.25">
      <c r="A942" t="s">
        <v>5863</v>
      </c>
      <c r="B942">
        <v>-2</v>
      </c>
    </row>
    <row r="943" spans="1:2" x14ac:dyDescent="0.25">
      <c r="A943" t="s">
        <v>5864</v>
      </c>
      <c r="B943">
        <v>-2</v>
      </c>
    </row>
    <row r="944" spans="1:2" x14ac:dyDescent="0.25">
      <c r="A944" t="s">
        <v>5865</v>
      </c>
      <c r="B944">
        <v>-3</v>
      </c>
    </row>
    <row r="945" spans="1:2" x14ac:dyDescent="0.25">
      <c r="A945" t="s">
        <v>5866</v>
      </c>
      <c r="B945">
        <v>-3</v>
      </c>
    </row>
    <row r="946" spans="1:2" x14ac:dyDescent="0.25">
      <c r="A946" t="s">
        <v>5867</v>
      </c>
      <c r="B946">
        <v>-2</v>
      </c>
    </row>
    <row r="947" spans="1:2" x14ac:dyDescent="0.25">
      <c r="A947" t="s">
        <v>5868</v>
      </c>
      <c r="B947">
        <v>-2</v>
      </c>
    </row>
    <row r="948" spans="1:2" x14ac:dyDescent="0.25">
      <c r="A948" t="s">
        <v>5869</v>
      </c>
      <c r="B948">
        <v>-2</v>
      </c>
    </row>
    <row r="949" spans="1:2" x14ac:dyDescent="0.25">
      <c r="A949" t="s">
        <v>5870</v>
      </c>
      <c r="B949">
        <v>-2</v>
      </c>
    </row>
    <row r="950" spans="1:2" x14ac:dyDescent="0.25">
      <c r="A950" t="s">
        <v>5871</v>
      </c>
      <c r="B950">
        <v>2</v>
      </c>
    </row>
    <row r="951" spans="1:2" x14ac:dyDescent="0.25">
      <c r="A951" t="s">
        <v>5872</v>
      </c>
      <c r="B951">
        <v>2</v>
      </c>
    </row>
    <row r="952" spans="1:2" x14ac:dyDescent="0.25">
      <c r="A952" t="s">
        <v>5873</v>
      </c>
      <c r="B952">
        <v>2</v>
      </c>
    </row>
    <row r="953" spans="1:2" x14ac:dyDescent="0.25">
      <c r="A953" t="s">
        <v>5874</v>
      </c>
      <c r="B953">
        <v>2</v>
      </c>
    </row>
    <row r="954" spans="1:2" x14ac:dyDescent="0.25">
      <c r="A954" t="s">
        <v>5875</v>
      </c>
      <c r="B954">
        <v>2</v>
      </c>
    </row>
    <row r="955" spans="1:2" x14ac:dyDescent="0.25">
      <c r="A955" t="s">
        <v>5876</v>
      </c>
      <c r="B955">
        <v>2</v>
      </c>
    </row>
    <row r="956" spans="1:2" x14ac:dyDescent="0.25">
      <c r="A956" t="s">
        <v>5877</v>
      </c>
      <c r="B956">
        <v>-2</v>
      </c>
    </row>
    <row r="957" spans="1:2" x14ac:dyDescent="0.25">
      <c r="A957" t="s">
        <v>5878</v>
      </c>
      <c r="B957">
        <v>-2</v>
      </c>
    </row>
    <row r="958" spans="1:2" x14ac:dyDescent="0.25">
      <c r="A958" t="s">
        <v>5879</v>
      </c>
      <c r="B958">
        <v>-2</v>
      </c>
    </row>
    <row r="959" spans="1:2" x14ac:dyDescent="0.25">
      <c r="A959" t="s">
        <v>5880</v>
      </c>
      <c r="B959">
        <v>2</v>
      </c>
    </row>
    <row r="960" spans="1:2" x14ac:dyDescent="0.25">
      <c r="A960" t="s">
        <v>5881</v>
      </c>
      <c r="B960">
        <v>-2</v>
      </c>
    </row>
    <row r="961" spans="1:2" x14ac:dyDescent="0.25">
      <c r="A961" t="s">
        <v>5882</v>
      </c>
      <c r="B961">
        <v>-2</v>
      </c>
    </row>
    <row r="962" spans="1:2" x14ac:dyDescent="0.25">
      <c r="A962" t="s">
        <v>5883</v>
      </c>
      <c r="B962">
        <v>1</v>
      </c>
    </row>
    <row r="963" spans="1:2" x14ac:dyDescent="0.25">
      <c r="A963" t="s">
        <v>5884</v>
      </c>
      <c r="B963">
        <v>-3</v>
      </c>
    </row>
    <row r="964" spans="1:2" x14ac:dyDescent="0.25">
      <c r="A964" t="s">
        <v>5885</v>
      </c>
      <c r="B964">
        <v>-3</v>
      </c>
    </row>
    <row r="965" spans="1:2" x14ac:dyDescent="0.25">
      <c r="A965" t="s">
        <v>5886</v>
      </c>
      <c r="B965">
        <v>2</v>
      </c>
    </row>
    <row r="966" spans="1:2" x14ac:dyDescent="0.25">
      <c r="A966" t="s">
        <v>5887</v>
      </c>
      <c r="B966">
        <v>2</v>
      </c>
    </row>
    <row r="967" spans="1:2" x14ac:dyDescent="0.25">
      <c r="A967" t="s">
        <v>5888</v>
      </c>
      <c r="B967">
        <v>2</v>
      </c>
    </row>
    <row r="968" spans="1:2" x14ac:dyDescent="0.25">
      <c r="A968" t="s">
        <v>5889</v>
      </c>
      <c r="B968">
        <v>-3</v>
      </c>
    </row>
    <row r="969" spans="1:2" x14ac:dyDescent="0.25">
      <c r="A969" t="s">
        <v>5890</v>
      </c>
      <c r="B969">
        <v>-2</v>
      </c>
    </row>
    <row r="970" spans="1:2" x14ac:dyDescent="0.25">
      <c r="A970" t="s">
        <v>5891</v>
      </c>
      <c r="B970">
        <v>-1</v>
      </c>
    </row>
    <row r="971" spans="1:2" x14ac:dyDescent="0.25">
      <c r="A971" t="s">
        <v>5892</v>
      </c>
      <c r="B971">
        <v>2</v>
      </c>
    </row>
    <row r="972" spans="1:2" x14ac:dyDescent="0.25">
      <c r="A972" t="s">
        <v>5893</v>
      </c>
      <c r="B972">
        <v>-2</v>
      </c>
    </row>
    <row r="973" spans="1:2" x14ac:dyDescent="0.25">
      <c r="A973" t="s">
        <v>5894</v>
      </c>
      <c r="B973">
        <v>-2</v>
      </c>
    </row>
    <row r="974" spans="1:2" x14ac:dyDescent="0.25">
      <c r="A974" t="s">
        <v>5895</v>
      </c>
      <c r="B974">
        <v>-2</v>
      </c>
    </row>
    <row r="975" spans="1:2" x14ac:dyDescent="0.25">
      <c r="A975" t="s">
        <v>5896</v>
      </c>
      <c r="B975">
        <v>1</v>
      </c>
    </row>
    <row r="976" spans="1:2" x14ac:dyDescent="0.25">
      <c r="A976" t="s">
        <v>5897</v>
      </c>
      <c r="B976">
        <v>1</v>
      </c>
    </row>
    <row r="977" spans="1:2" x14ac:dyDescent="0.25">
      <c r="A977" t="s">
        <v>5898</v>
      </c>
      <c r="B977">
        <v>2</v>
      </c>
    </row>
    <row r="978" spans="1:2" x14ac:dyDescent="0.25">
      <c r="A978" t="s">
        <v>5899</v>
      </c>
      <c r="B978">
        <v>-1</v>
      </c>
    </row>
    <row r="979" spans="1:2" x14ac:dyDescent="0.25">
      <c r="A979" t="s">
        <v>5900</v>
      </c>
      <c r="B979">
        <v>-2</v>
      </c>
    </row>
    <row r="980" spans="1:2" x14ac:dyDescent="0.25">
      <c r="A980" t="s">
        <v>5901</v>
      </c>
      <c r="B980">
        <v>-2</v>
      </c>
    </row>
    <row r="981" spans="1:2" x14ac:dyDescent="0.25">
      <c r="A981" t="s">
        <v>5902</v>
      </c>
      <c r="B981">
        <v>-2</v>
      </c>
    </row>
    <row r="982" spans="1:2" x14ac:dyDescent="0.25">
      <c r="A982" t="s">
        <v>5903</v>
      </c>
      <c r="B982">
        <v>-2</v>
      </c>
    </row>
    <row r="983" spans="1:2" x14ac:dyDescent="0.25">
      <c r="A983" t="s">
        <v>5904</v>
      </c>
      <c r="B983">
        <v>2</v>
      </c>
    </row>
    <row r="984" spans="1:2" x14ac:dyDescent="0.25">
      <c r="A984" t="s">
        <v>5905</v>
      </c>
      <c r="B984">
        <v>2</v>
      </c>
    </row>
    <row r="985" spans="1:2" x14ac:dyDescent="0.25">
      <c r="A985" t="s">
        <v>5906</v>
      </c>
      <c r="B985">
        <v>2</v>
      </c>
    </row>
    <row r="986" spans="1:2" x14ac:dyDescent="0.25">
      <c r="A986" t="s">
        <v>5907</v>
      </c>
      <c r="B986">
        <v>-2</v>
      </c>
    </row>
    <row r="987" spans="1:2" x14ac:dyDescent="0.25">
      <c r="A987" t="s">
        <v>5908</v>
      </c>
      <c r="B987">
        <v>-2</v>
      </c>
    </row>
    <row r="988" spans="1:2" x14ac:dyDescent="0.25">
      <c r="A988" t="s">
        <v>5909</v>
      </c>
      <c r="B988">
        <v>-2</v>
      </c>
    </row>
    <row r="989" spans="1:2" x14ac:dyDescent="0.25">
      <c r="A989" t="s">
        <v>5910</v>
      </c>
      <c r="B989">
        <v>-1</v>
      </c>
    </row>
    <row r="990" spans="1:2" x14ac:dyDescent="0.25">
      <c r="A990" t="s">
        <v>5911</v>
      </c>
      <c r="B990">
        <v>-2</v>
      </c>
    </row>
    <row r="991" spans="1:2" x14ac:dyDescent="0.25">
      <c r="A991" t="s">
        <v>5912</v>
      </c>
      <c r="B991">
        <v>-2</v>
      </c>
    </row>
    <row r="992" spans="1:2" x14ac:dyDescent="0.25">
      <c r="A992" t="s">
        <v>5913</v>
      </c>
      <c r="B992">
        <v>-1</v>
      </c>
    </row>
    <row r="993" spans="1:2" x14ac:dyDescent="0.25">
      <c r="A993" t="s">
        <v>5914</v>
      </c>
      <c r="B993">
        <v>-2</v>
      </c>
    </row>
    <row r="994" spans="1:2" x14ac:dyDescent="0.25">
      <c r="A994" t="s">
        <v>5915</v>
      </c>
      <c r="B994">
        <v>1</v>
      </c>
    </row>
    <row r="995" spans="1:2" x14ac:dyDescent="0.25">
      <c r="A995" t="s">
        <v>5916</v>
      </c>
      <c r="B995">
        <v>1</v>
      </c>
    </row>
    <row r="996" spans="1:2" x14ac:dyDescent="0.25">
      <c r="A996" t="s">
        <v>5917</v>
      </c>
      <c r="B996">
        <v>-1</v>
      </c>
    </row>
    <row r="997" spans="1:2" x14ac:dyDescent="0.25">
      <c r="A997" t="s">
        <v>5918</v>
      </c>
      <c r="B997">
        <v>2</v>
      </c>
    </row>
    <row r="998" spans="1:2" x14ac:dyDescent="0.25">
      <c r="A998" t="s">
        <v>5919</v>
      </c>
      <c r="B998">
        <v>-1</v>
      </c>
    </row>
    <row r="999" spans="1:2" x14ac:dyDescent="0.25">
      <c r="A999" t="s">
        <v>5920</v>
      </c>
      <c r="B999">
        <v>-4</v>
      </c>
    </row>
    <row r="1000" spans="1:2" x14ac:dyDescent="0.25">
      <c r="A1000" t="s">
        <v>5921</v>
      </c>
      <c r="B1000">
        <v>-4</v>
      </c>
    </row>
    <row r="1001" spans="1:2" x14ac:dyDescent="0.25">
      <c r="A1001" t="s">
        <v>5922</v>
      </c>
      <c r="B1001">
        <v>-4</v>
      </c>
    </row>
    <row r="1002" spans="1:2" x14ac:dyDescent="0.25">
      <c r="A1002" t="s">
        <v>5923</v>
      </c>
      <c r="B1002">
        <v>-4</v>
      </c>
    </row>
    <row r="1003" spans="1:2" x14ac:dyDescent="0.25">
      <c r="A1003" t="s">
        <v>5924</v>
      </c>
      <c r="B1003">
        <v>-4</v>
      </c>
    </row>
    <row r="1004" spans="1:2" x14ac:dyDescent="0.25">
      <c r="A1004" t="s">
        <v>5925</v>
      </c>
      <c r="B1004">
        <v>-4</v>
      </c>
    </row>
    <row r="1005" spans="1:2" x14ac:dyDescent="0.25">
      <c r="A1005" t="s">
        <v>5926</v>
      </c>
      <c r="B1005">
        <v>1</v>
      </c>
    </row>
    <row r="1006" spans="1:2" x14ac:dyDescent="0.25">
      <c r="A1006" t="s">
        <v>5927</v>
      </c>
      <c r="B1006">
        <v>2</v>
      </c>
    </row>
    <row r="1007" spans="1:2" x14ac:dyDescent="0.25">
      <c r="A1007" t="s">
        <v>5928</v>
      </c>
      <c r="B1007">
        <v>-3</v>
      </c>
    </row>
    <row r="1008" spans="1:2" x14ac:dyDescent="0.25">
      <c r="A1008" t="s">
        <v>5929</v>
      </c>
      <c r="B1008">
        <v>1</v>
      </c>
    </row>
    <row r="1009" spans="1:2" x14ac:dyDescent="0.25">
      <c r="A1009" t="s">
        <v>5930</v>
      </c>
      <c r="B1009">
        <v>2</v>
      </c>
    </row>
    <row r="1010" spans="1:2" x14ac:dyDescent="0.25">
      <c r="A1010" t="s">
        <v>5931</v>
      </c>
      <c r="B1010">
        <v>-2</v>
      </c>
    </row>
    <row r="1011" spans="1:2" x14ac:dyDescent="0.25">
      <c r="A1011" t="s">
        <v>5932</v>
      </c>
      <c r="B1011">
        <v>-2</v>
      </c>
    </row>
    <row r="1012" spans="1:2" x14ac:dyDescent="0.25">
      <c r="A1012" t="s">
        <v>5933</v>
      </c>
      <c r="B1012">
        <v>-3</v>
      </c>
    </row>
    <row r="1013" spans="1:2" x14ac:dyDescent="0.25">
      <c r="A1013" t="s">
        <v>5934</v>
      </c>
      <c r="B1013">
        <v>-2</v>
      </c>
    </row>
    <row r="1014" spans="1:2" x14ac:dyDescent="0.25">
      <c r="A1014" t="s">
        <v>5935</v>
      </c>
      <c r="B1014">
        <v>2</v>
      </c>
    </row>
    <row r="1015" spans="1:2" x14ac:dyDescent="0.25">
      <c r="A1015" t="s">
        <v>5936</v>
      </c>
      <c r="B1015">
        <v>-1</v>
      </c>
    </row>
    <row r="1016" spans="1:2" x14ac:dyDescent="0.25">
      <c r="A1016" t="s">
        <v>5937</v>
      </c>
      <c r="B1016">
        <v>-2</v>
      </c>
    </row>
    <row r="1017" spans="1:2" x14ac:dyDescent="0.25">
      <c r="A1017" t="s">
        <v>5938</v>
      </c>
      <c r="B1017">
        <v>-2</v>
      </c>
    </row>
    <row r="1018" spans="1:2" x14ac:dyDescent="0.25">
      <c r="A1018" t="s">
        <v>5939</v>
      </c>
      <c r="B1018">
        <v>-2</v>
      </c>
    </row>
    <row r="1019" spans="1:2" x14ac:dyDescent="0.25">
      <c r="A1019" t="s">
        <v>5940</v>
      </c>
      <c r="B1019">
        <v>-2</v>
      </c>
    </row>
    <row r="1020" spans="1:2" x14ac:dyDescent="0.25">
      <c r="A1020" t="s">
        <v>5941</v>
      </c>
      <c r="B1020">
        <v>-2</v>
      </c>
    </row>
    <row r="1021" spans="1:2" x14ac:dyDescent="0.25">
      <c r="A1021" t="s">
        <v>5942</v>
      </c>
      <c r="B1021">
        <v>3</v>
      </c>
    </row>
    <row r="1022" spans="1:2" x14ac:dyDescent="0.25">
      <c r="A1022" t="s">
        <v>5943</v>
      </c>
      <c r="B1022">
        <v>-3</v>
      </c>
    </row>
    <row r="1023" spans="1:2" x14ac:dyDescent="0.25">
      <c r="A1023" t="s">
        <v>5944</v>
      </c>
      <c r="B1023">
        <v>-4</v>
      </c>
    </row>
    <row r="1024" spans="1:2" x14ac:dyDescent="0.25">
      <c r="A1024" t="s">
        <v>5945</v>
      </c>
      <c r="B1024">
        <v>2</v>
      </c>
    </row>
    <row r="1025" spans="1:2" x14ac:dyDescent="0.25">
      <c r="A1025" t="s">
        <v>5946</v>
      </c>
      <c r="B1025">
        <v>2</v>
      </c>
    </row>
    <row r="1026" spans="1:2" x14ac:dyDescent="0.25">
      <c r="A1026" t="s">
        <v>5947</v>
      </c>
      <c r="B1026">
        <v>2</v>
      </c>
    </row>
    <row r="1027" spans="1:2" x14ac:dyDescent="0.25">
      <c r="A1027" t="s">
        <v>5948</v>
      </c>
      <c r="B1027">
        <v>-2</v>
      </c>
    </row>
    <row r="1028" spans="1:2" x14ac:dyDescent="0.25">
      <c r="A1028" t="s">
        <v>5949</v>
      </c>
      <c r="B1028">
        <v>4</v>
      </c>
    </row>
    <row r="1029" spans="1:2" x14ac:dyDescent="0.25">
      <c r="A1029" t="s">
        <v>5950</v>
      </c>
      <c r="B1029">
        <v>-1</v>
      </c>
    </row>
    <row r="1030" spans="1:2" x14ac:dyDescent="0.25">
      <c r="A1030" t="s">
        <v>5951</v>
      </c>
      <c r="B1030">
        <v>-1</v>
      </c>
    </row>
    <row r="1031" spans="1:2" x14ac:dyDescent="0.25">
      <c r="A1031" t="s">
        <v>5952</v>
      </c>
      <c r="B1031">
        <v>2</v>
      </c>
    </row>
    <row r="1032" spans="1:2" x14ac:dyDescent="0.25">
      <c r="A1032" t="s">
        <v>5953</v>
      </c>
      <c r="B1032">
        <v>4</v>
      </c>
    </row>
    <row r="1033" spans="1:2" x14ac:dyDescent="0.25">
      <c r="A1033" t="s">
        <v>5954</v>
      </c>
      <c r="B1033">
        <v>4</v>
      </c>
    </row>
    <row r="1034" spans="1:2" x14ac:dyDescent="0.25">
      <c r="A1034" t="s">
        <v>5955</v>
      </c>
      <c r="B1034">
        <v>-3</v>
      </c>
    </row>
    <row r="1035" spans="1:2" x14ac:dyDescent="0.25">
      <c r="A1035" t="s">
        <v>5956</v>
      </c>
      <c r="B1035">
        <v>2</v>
      </c>
    </row>
    <row r="1036" spans="1:2" x14ac:dyDescent="0.25">
      <c r="A1036" t="s">
        <v>5957</v>
      </c>
      <c r="B1036">
        <v>-2</v>
      </c>
    </row>
    <row r="1037" spans="1:2" x14ac:dyDescent="0.25">
      <c r="A1037" t="s">
        <v>5958</v>
      </c>
      <c r="B1037">
        <v>-2</v>
      </c>
    </row>
    <row r="1038" spans="1:2" x14ac:dyDescent="0.25">
      <c r="A1038" t="s">
        <v>5959</v>
      </c>
      <c r="B1038">
        <v>2</v>
      </c>
    </row>
    <row r="1039" spans="1:2" x14ac:dyDescent="0.25">
      <c r="A1039" t="s">
        <v>5960</v>
      </c>
      <c r="B1039">
        <v>2</v>
      </c>
    </row>
    <row r="1040" spans="1:2" x14ac:dyDescent="0.25">
      <c r="A1040" t="s">
        <v>5961</v>
      </c>
      <c r="B1040">
        <v>2</v>
      </c>
    </row>
    <row r="1041" spans="1:2" x14ac:dyDescent="0.25">
      <c r="A1041" t="s">
        <v>5962</v>
      </c>
      <c r="B1041">
        <v>2</v>
      </c>
    </row>
    <row r="1042" spans="1:2" x14ac:dyDescent="0.25">
      <c r="A1042" t="s">
        <v>5963</v>
      </c>
      <c r="B1042">
        <v>3</v>
      </c>
    </row>
    <row r="1043" spans="1:2" x14ac:dyDescent="0.25">
      <c r="A1043" t="s">
        <v>5964</v>
      </c>
      <c r="B1043">
        <v>3</v>
      </c>
    </row>
    <row r="1044" spans="1:2" x14ac:dyDescent="0.25">
      <c r="A1044" t="s">
        <v>5965</v>
      </c>
      <c r="B1044">
        <v>3</v>
      </c>
    </row>
    <row r="1045" spans="1:2" x14ac:dyDescent="0.25">
      <c r="A1045" t="s">
        <v>5966</v>
      </c>
      <c r="B1045">
        <v>2</v>
      </c>
    </row>
    <row r="1046" spans="1:2" x14ac:dyDescent="0.25">
      <c r="A1046" t="s">
        <v>5967</v>
      </c>
      <c r="B1046">
        <v>3</v>
      </c>
    </row>
    <row r="1047" spans="1:2" x14ac:dyDescent="0.25">
      <c r="A1047" t="s">
        <v>5968</v>
      </c>
      <c r="B1047">
        <v>-1</v>
      </c>
    </row>
    <row r="1048" spans="1:2" x14ac:dyDescent="0.25">
      <c r="A1048" t="s">
        <v>5969</v>
      </c>
      <c r="B1048">
        <v>-2</v>
      </c>
    </row>
    <row r="1049" spans="1:2" x14ac:dyDescent="0.25">
      <c r="A1049" t="s">
        <v>5970</v>
      </c>
      <c r="B1049">
        <v>2</v>
      </c>
    </row>
    <row r="1050" spans="1:2" x14ac:dyDescent="0.25">
      <c r="A1050" t="s">
        <v>5971</v>
      </c>
      <c r="B1050">
        <v>3</v>
      </c>
    </row>
    <row r="1051" spans="1:2" x14ac:dyDescent="0.25">
      <c r="A1051" t="s">
        <v>5972</v>
      </c>
      <c r="B1051">
        <v>3</v>
      </c>
    </row>
    <row r="1052" spans="1:2" x14ac:dyDescent="0.25">
      <c r="A1052" t="s">
        <v>5973</v>
      </c>
      <c r="B1052">
        <v>3</v>
      </c>
    </row>
    <row r="1053" spans="1:2" x14ac:dyDescent="0.25">
      <c r="A1053" t="s">
        <v>5974</v>
      </c>
      <c r="B1053">
        <v>3</v>
      </c>
    </row>
    <row r="1054" spans="1:2" x14ac:dyDescent="0.25">
      <c r="A1054" t="s">
        <v>5975</v>
      </c>
      <c r="B1054">
        <v>3</v>
      </c>
    </row>
    <row r="1055" spans="1:2" x14ac:dyDescent="0.25">
      <c r="A1055" t="s">
        <v>5976</v>
      </c>
      <c r="B1055">
        <v>-1</v>
      </c>
    </row>
    <row r="1056" spans="1:2" x14ac:dyDescent="0.25">
      <c r="A1056" t="s">
        <v>5977</v>
      </c>
      <c r="B1056">
        <v>-2</v>
      </c>
    </row>
    <row r="1057" spans="1:2" x14ac:dyDescent="0.25">
      <c r="A1057" t="s">
        <v>5978</v>
      </c>
      <c r="B1057">
        <v>2</v>
      </c>
    </row>
    <row r="1058" spans="1:2" x14ac:dyDescent="0.25">
      <c r="A1058" t="s">
        <v>5979</v>
      </c>
      <c r="B1058">
        <v>2</v>
      </c>
    </row>
    <row r="1059" spans="1:2" x14ac:dyDescent="0.25">
      <c r="A1059" t="s">
        <v>5980</v>
      </c>
      <c r="B1059">
        <v>-2</v>
      </c>
    </row>
    <row r="1060" spans="1:2" x14ac:dyDescent="0.25">
      <c r="A1060" t="s">
        <v>5981</v>
      </c>
      <c r="B1060">
        <v>1</v>
      </c>
    </row>
    <row r="1061" spans="1:2" x14ac:dyDescent="0.25">
      <c r="A1061" t="s">
        <v>5982</v>
      </c>
      <c r="B1061">
        <v>-3</v>
      </c>
    </row>
    <row r="1062" spans="1:2" x14ac:dyDescent="0.25">
      <c r="A1062" t="s">
        <v>5983</v>
      </c>
      <c r="B1062">
        <v>4</v>
      </c>
    </row>
    <row r="1063" spans="1:2" x14ac:dyDescent="0.25">
      <c r="A1063" t="s">
        <v>5984</v>
      </c>
      <c r="B1063">
        <v>3</v>
      </c>
    </row>
    <row r="1064" spans="1:2" x14ac:dyDescent="0.25">
      <c r="A1064" t="s">
        <v>5985</v>
      </c>
      <c r="B1064">
        <v>3</v>
      </c>
    </row>
    <row r="1065" spans="1:2" x14ac:dyDescent="0.25">
      <c r="A1065" t="s">
        <v>5986</v>
      </c>
      <c r="B1065">
        <v>1</v>
      </c>
    </row>
    <row r="1066" spans="1:2" x14ac:dyDescent="0.25">
      <c r="A1066" t="s">
        <v>5987</v>
      </c>
      <c r="B1066">
        <v>3</v>
      </c>
    </row>
    <row r="1067" spans="1:2" x14ac:dyDescent="0.25">
      <c r="A1067" t="s">
        <v>5988</v>
      </c>
      <c r="B1067">
        <v>3</v>
      </c>
    </row>
    <row r="1068" spans="1:2" x14ac:dyDescent="0.25">
      <c r="A1068" t="s">
        <v>5989</v>
      </c>
      <c r="B1068">
        <v>1</v>
      </c>
    </row>
    <row r="1069" spans="1:2" x14ac:dyDescent="0.25">
      <c r="A1069" t="s">
        <v>5990</v>
      </c>
      <c r="B1069">
        <v>1</v>
      </c>
    </row>
    <row r="1070" spans="1:2" x14ac:dyDescent="0.25">
      <c r="A1070" t="s">
        <v>5991</v>
      </c>
      <c r="B1070">
        <v>1</v>
      </c>
    </row>
    <row r="1071" spans="1:2" x14ac:dyDescent="0.25">
      <c r="A1071" t="s">
        <v>5992</v>
      </c>
      <c r="B1071">
        <v>1</v>
      </c>
    </row>
    <row r="1072" spans="1:2" x14ac:dyDescent="0.25">
      <c r="A1072" t="s">
        <v>5993</v>
      </c>
      <c r="B1072">
        <v>3</v>
      </c>
    </row>
    <row r="1073" spans="1:2" x14ac:dyDescent="0.25">
      <c r="A1073" t="s">
        <v>5994</v>
      </c>
      <c r="B1073">
        <v>2</v>
      </c>
    </row>
    <row r="1074" spans="1:2" x14ac:dyDescent="0.25">
      <c r="A1074" t="s">
        <v>5995</v>
      </c>
      <c r="B1074">
        <v>-2</v>
      </c>
    </row>
    <row r="1075" spans="1:2" x14ac:dyDescent="0.25">
      <c r="A1075" t="s">
        <v>5996</v>
      </c>
      <c r="B1075">
        <v>-1</v>
      </c>
    </row>
    <row r="1076" spans="1:2" x14ac:dyDescent="0.25">
      <c r="A1076" t="s">
        <v>5997</v>
      </c>
      <c r="B1076">
        <v>3</v>
      </c>
    </row>
    <row r="1077" spans="1:2" x14ac:dyDescent="0.25">
      <c r="A1077" t="s">
        <v>5998</v>
      </c>
      <c r="B1077">
        <v>3</v>
      </c>
    </row>
    <row r="1078" spans="1:2" x14ac:dyDescent="0.25">
      <c r="A1078" t="s">
        <v>5999</v>
      </c>
      <c r="B1078">
        <v>3</v>
      </c>
    </row>
    <row r="1079" spans="1:2" x14ac:dyDescent="0.25">
      <c r="A1079" t="s">
        <v>6000</v>
      </c>
      <c r="B1079">
        <v>-3</v>
      </c>
    </row>
    <row r="1080" spans="1:2" x14ac:dyDescent="0.25">
      <c r="A1080" t="s">
        <v>6001</v>
      </c>
      <c r="B1080">
        <v>-2</v>
      </c>
    </row>
    <row r="1081" spans="1:2" x14ac:dyDescent="0.25">
      <c r="A1081" t="s">
        <v>6002</v>
      </c>
      <c r="B1081">
        <v>-3</v>
      </c>
    </row>
    <row r="1082" spans="1:2" x14ac:dyDescent="0.25">
      <c r="A1082" t="s">
        <v>6003</v>
      </c>
      <c r="B1082">
        <v>-3</v>
      </c>
    </row>
    <row r="1083" spans="1:2" x14ac:dyDescent="0.25">
      <c r="A1083" t="s">
        <v>6004</v>
      </c>
      <c r="B1083">
        <v>-3</v>
      </c>
    </row>
    <row r="1084" spans="1:2" x14ac:dyDescent="0.25">
      <c r="A1084" t="s">
        <v>6005</v>
      </c>
      <c r="B1084">
        <v>-3</v>
      </c>
    </row>
    <row r="1085" spans="1:2" x14ac:dyDescent="0.25">
      <c r="A1085" t="s">
        <v>6006</v>
      </c>
      <c r="B1085">
        <v>1</v>
      </c>
    </row>
    <row r="1086" spans="1:2" x14ac:dyDescent="0.25">
      <c r="A1086" t="s">
        <v>6007</v>
      </c>
      <c r="B1086">
        <v>1</v>
      </c>
    </row>
    <row r="1087" spans="1:2" x14ac:dyDescent="0.25">
      <c r="A1087" t="s">
        <v>6008</v>
      </c>
      <c r="B1087">
        <v>1</v>
      </c>
    </row>
    <row r="1088" spans="1:2" x14ac:dyDescent="0.25">
      <c r="A1088" t="s">
        <v>6009</v>
      </c>
      <c r="B1088">
        <v>2</v>
      </c>
    </row>
    <row r="1089" spans="1:2" x14ac:dyDescent="0.25">
      <c r="A1089" t="s">
        <v>6010</v>
      </c>
      <c r="B1089">
        <v>1</v>
      </c>
    </row>
    <row r="1090" spans="1:2" x14ac:dyDescent="0.25">
      <c r="A1090" t="s">
        <v>6011</v>
      </c>
      <c r="B1090">
        <v>-1</v>
      </c>
    </row>
    <row r="1091" spans="1:2" x14ac:dyDescent="0.25">
      <c r="A1091" t="s">
        <v>6012</v>
      </c>
      <c r="B1091">
        <v>-2</v>
      </c>
    </row>
    <row r="1092" spans="1:2" x14ac:dyDescent="0.25">
      <c r="A1092" t="s">
        <v>6013</v>
      </c>
      <c r="B1092">
        <v>-2</v>
      </c>
    </row>
    <row r="1093" spans="1:2" x14ac:dyDescent="0.25">
      <c r="A1093" t="s">
        <v>6014</v>
      </c>
      <c r="B1093">
        <v>-2</v>
      </c>
    </row>
    <row r="1094" spans="1:2" x14ac:dyDescent="0.25">
      <c r="A1094" t="s">
        <v>6015</v>
      </c>
      <c r="B1094">
        <v>1</v>
      </c>
    </row>
    <row r="1095" spans="1:2" x14ac:dyDescent="0.25">
      <c r="A1095" t="s">
        <v>6016</v>
      </c>
      <c r="B1095">
        <v>2</v>
      </c>
    </row>
    <row r="1096" spans="1:2" x14ac:dyDescent="0.25">
      <c r="A1096" t="s">
        <v>6017</v>
      </c>
      <c r="B1096">
        <v>1</v>
      </c>
    </row>
    <row r="1097" spans="1:2" x14ac:dyDescent="0.25">
      <c r="A1097" t="s">
        <v>6018</v>
      </c>
      <c r="B1097">
        <v>-3</v>
      </c>
    </row>
    <row r="1098" spans="1:2" x14ac:dyDescent="0.25">
      <c r="A1098" t="s">
        <v>6019</v>
      </c>
      <c r="B1098">
        <v>-3</v>
      </c>
    </row>
    <row r="1099" spans="1:2" x14ac:dyDescent="0.25">
      <c r="A1099" t="s">
        <v>6020</v>
      </c>
      <c r="B1099">
        <v>-2</v>
      </c>
    </row>
    <row r="1100" spans="1:2" x14ac:dyDescent="0.25">
      <c r="A1100" t="s">
        <v>6021</v>
      </c>
      <c r="B1100">
        <v>-2</v>
      </c>
    </row>
    <row r="1101" spans="1:2" x14ac:dyDescent="0.25">
      <c r="A1101" t="s">
        <v>6022</v>
      </c>
      <c r="B1101">
        <v>-1</v>
      </c>
    </row>
    <row r="1102" spans="1:2" x14ac:dyDescent="0.25">
      <c r="A1102" t="s">
        <v>6023</v>
      </c>
      <c r="B1102">
        <v>-1</v>
      </c>
    </row>
    <row r="1103" spans="1:2" x14ac:dyDescent="0.25">
      <c r="A1103" t="s">
        <v>6024</v>
      </c>
      <c r="B1103">
        <v>2</v>
      </c>
    </row>
    <row r="1104" spans="1:2" x14ac:dyDescent="0.25">
      <c r="A1104" t="s">
        <v>6025</v>
      </c>
      <c r="B1104">
        <v>2</v>
      </c>
    </row>
    <row r="1105" spans="1:2" x14ac:dyDescent="0.25">
      <c r="A1105" t="s">
        <v>6026</v>
      </c>
      <c r="B1105">
        <v>-2</v>
      </c>
    </row>
    <row r="1106" spans="1:2" x14ac:dyDescent="0.25">
      <c r="A1106" t="s">
        <v>6027</v>
      </c>
      <c r="B1106">
        <v>-2</v>
      </c>
    </row>
    <row r="1107" spans="1:2" x14ac:dyDescent="0.25">
      <c r="A1107" t="s">
        <v>6028</v>
      </c>
      <c r="B1107">
        <v>3</v>
      </c>
    </row>
    <row r="1108" spans="1:2" x14ac:dyDescent="0.25">
      <c r="A1108" t="s">
        <v>6029</v>
      </c>
      <c r="B1108">
        <v>3</v>
      </c>
    </row>
    <row r="1109" spans="1:2" x14ac:dyDescent="0.25">
      <c r="A1109" t="s">
        <v>6030</v>
      </c>
      <c r="B1109">
        <v>-1</v>
      </c>
    </row>
    <row r="1110" spans="1:2" x14ac:dyDescent="0.25">
      <c r="A1110" t="s">
        <v>6031</v>
      </c>
      <c r="B1110">
        <v>2</v>
      </c>
    </row>
    <row r="1111" spans="1:2" x14ac:dyDescent="0.25">
      <c r="A1111" t="s">
        <v>6032</v>
      </c>
      <c r="B1111">
        <v>-2</v>
      </c>
    </row>
    <row r="1112" spans="1:2" x14ac:dyDescent="0.25">
      <c r="A1112" t="s">
        <v>6033</v>
      </c>
      <c r="B1112">
        <v>2</v>
      </c>
    </row>
    <row r="1113" spans="1:2" x14ac:dyDescent="0.25">
      <c r="A1113" t="s">
        <v>6034</v>
      </c>
      <c r="B1113">
        <v>-2</v>
      </c>
    </row>
    <row r="1114" spans="1:2" x14ac:dyDescent="0.25">
      <c r="A1114" t="s">
        <v>6035</v>
      </c>
      <c r="B1114">
        <v>-2</v>
      </c>
    </row>
    <row r="1115" spans="1:2" x14ac:dyDescent="0.25">
      <c r="A1115" t="s">
        <v>6036</v>
      </c>
      <c r="B1115">
        <v>-2</v>
      </c>
    </row>
    <row r="1116" spans="1:2" x14ac:dyDescent="0.25">
      <c r="A1116" t="s">
        <v>6037</v>
      </c>
      <c r="B1116">
        <v>-2</v>
      </c>
    </row>
    <row r="1117" spans="1:2" x14ac:dyDescent="0.25">
      <c r="A1117" t="s">
        <v>6038</v>
      </c>
      <c r="B1117">
        <v>-2</v>
      </c>
    </row>
    <row r="1118" spans="1:2" x14ac:dyDescent="0.25">
      <c r="A1118" t="s">
        <v>6039</v>
      </c>
      <c r="B1118">
        <v>-2</v>
      </c>
    </row>
    <row r="1119" spans="1:2" x14ac:dyDescent="0.25">
      <c r="A1119" t="s">
        <v>6040</v>
      </c>
      <c r="B1119">
        <v>-2</v>
      </c>
    </row>
    <row r="1120" spans="1:2" x14ac:dyDescent="0.25">
      <c r="A1120" t="s">
        <v>6041</v>
      </c>
      <c r="B1120">
        <v>-2</v>
      </c>
    </row>
    <row r="1121" spans="1:2" x14ac:dyDescent="0.25">
      <c r="A1121" t="s">
        <v>6042</v>
      </c>
      <c r="B1121">
        <v>-2</v>
      </c>
    </row>
    <row r="1122" spans="1:2" x14ac:dyDescent="0.25">
      <c r="A1122" t="s">
        <v>6043</v>
      </c>
      <c r="B1122">
        <v>-3</v>
      </c>
    </row>
    <row r="1123" spans="1:2" x14ac:dyDescent="0.25">
      <c r="A1123" t="s">
        <v>6044</v>
      </c>
      <c r="B1123">
        <v>-3</v>
      </c>
    </row>
    <row r="1124" spans="1:2" x14ac:dyDescent="0.25">
      <c r="A1124" t="s">
        <v>6045</v>
      </c>
      <c r="B1124">
        <v>-3</v>
      </c>
    </row>
    <row r="1125" spans="1:2" x14ac:dyDescent="0.25">
      <c r="A1125" t="s">
        <v>6046</v>
      </c>
      <c r="B1125">
        <v>-3</v>
      </c>
    </row>
    <row r="1126" spans="1:2" x14ac:dyDescent="0.25">
      <c r="A1126" t="s">
        <v>6047</v>
      </c>
      <c r="B1126">
        <v>-3</v>
      </c>
    </row>
    <row r="1127" spans="1:2" x14ac:dyDescent="0.25">
      <c r="A1127" t="s">
        <v>6048</v>
      </c>
      <c r="B1127">
        <v>-1</v>
      </c>
    </row>
    <row r="1128" spans="1:2" x14ac:dyDescent="0.25">
      <c r="A1128" t="s">
        <v>6049</v>
      </c>
      <c r="B1128">
        <v>-2</v>
      </c>
    </row>
    <row r="1129" spans="1:2" x14ac:dyDescent="0.25">
      <c r="A1129" t="s">
        <v>6050</v>
      </c>
      <c r="B1129">
        <v>1</v>
      </c>
    </row>
    <row r="1130" spans="1:2" x14ac:dyDescent="0.25">
      <c r="A1130" t="s">
        <v>6051</v>
      </c>
      <c r="B1130">
        <v>-1</v>
      </c>
    </row>
    <row r="1131" spans="1:2" x14ac:dyDescent="0.25">
      <c r="A1131" t="s">
        <v>6052</v>
      </c>
      <c r="B1131">
        <v>-2</v>
      </c>
    </row>
    <row r="1132" spans="1:2" x14ac:dyDescent="0.25">
      <c r="A1132" t="s">
        <v>6053</v>
      </c>
      <c r="B1132">
        <v>2</v>
      </c>
    </row>
    <row r="1133" spans="1:2" x14ac:dyDescent="0.25">
      <c r="A1133" t="s">
        <v>6054</v>
      </c>
      <c r="B1133">
        <v>-3</v>
      </c>
    </row>
    <row r="1134" spans="1:2" x14ac:dyDescent="0.25">
      <c r="A1134" t="s">
        <v>6055</v>
      </c>
      <c r="B1134">
        <v>-3</v>
      </c>
    </row>
    <row r="1135" spans="1:2" x14ac:dyDescent="0.25">
      <c r="A1135" t="s">
        <v>6056</v>
      </c>
      <c r="B1135">
        <v>3</v>
      </c>
    </row>
    <row r="1136" spans="1:2" x14ac:dyDescent="0.25">
      <c r="A1136" t="s">
        <v>6057</v>
      </c>
      <c r="B1136">
        <v>2</v>
      </c>
    </row>
    <row r="1137" spans="1:2" x14ac:dyDescent="0.25">
      <c r="A1137" t="s">
        <v>6058</v>
      </c>
      <c r="B1137">
        <v>4</v>
      </c>
    </row>
    <row r="1138" spans="1:2" x14ac:dyDescent="0.25">
      <c r="A1138" t="s">
        <v>6059</v>
      </c>
      <c r="B1138">
        <v>-2</v>
      </c>
    </row>
    <row r="1139" spans="1:2" x14ac:dyDescent="0.25">
      <c r="A1139" t="s">
        <v>6060</v>
      </c>
      <c r="B1139">
        <v>-4</v>
      </c>
    </row>
    <row r="1140" spans="1:2" x14ac:dyDescent="0.25">
      <c r="A1140" t="s">
        <v>6061</v>
      </c>
      <c r="B1140">
        <v>2</v>
      </c>
    </row>
    <row r="1141" spans="1:2" x14ac:dyDescent="0.25">
      <c r="A1141" t="s">
        <v>6062</v>
      </c>
      <c r="B1141">
        <v>2</v>
      </c>
    </row>
    <row r="1142" spans="1:2" x14ac:dyDescent="0.25">
      <c r="A1142" t="s">
        <v>6063</v>
      </c>
      <c r="B1142">
        <v>2</v>
      </c>
    </row>
    <row r="1143" spans="1:2" x14ac:dyDescent="0.25">
      <c r="A1143" t="s">
        <v>6064</v>
      </c>
      <c r="B1143">
        <v>-2</v>
      </c>
    </row>
    <row r="1144" spans="1:2" x14ac:dyDescent="0.25">
      <c r="A1144" t="s">
        <v>6065</v>
      </c>
      <c r="B1144">
        <v>2</v>
      </c>
    </row>
    <row r="1145" spans="1:2" x14ac:dyDescent="0.25">
      <c r="A1145" t="s">
        <v>6066</v>
      </c>
      <c r="B1145">
        <v>2</v>
      </c>
    </row>
    <row r="1146" spans="1:2" x14ac:dyDescent="0.25">
      <c r="A1146" t="s">
        <v>6067</v>
      </c>
      <c r="B1146">
        <v>2</v>
      </c>
    </row>
    <row r="1147" spans="1:2" x14ac:dyDescent="0.25">
      <c r="A1147" t="s">
        <v>6068</v>
      </c>
      <c r="B1147">
        <v>3</v>
      </c>
    </row>
    <row r="1148" spans="1:2" x14ac:dyDescent="0.25">
      <c r="A1148" t="s">
        <v>6069</v>
      </c>
      <c r="B1148">
        <v>-2</v>
      </c>
    </row>
    <row r="1149" spans="1:2" x14ac:dyDescent="0.25">
      <c r="A1149" t="s">
        <v>6070</v>
      </c>
      <c r="B1149">
        <v>-2</v>
      </c>
    </row>
    <row r="1150" spans="1:2" x14ac:dyDescent="0.25">
      <c r="A1150" t="s">
        <v>6071</v>
      </c>
      <c r="B1150">
        <v>-1</v>
      </c>
    </row>
    <row r="1151" spans="1:2" x14ac:dyDescent="0.25">
      <c r="A1151" t="s">
        <v>6072</v>
      </c>
      <c r="B1151">
        <v>-1</v>
      </c>
    </row>
    <row r="1152" spans="1:2" x14ac:dyDescent="0.25">
      <c r="A1152" t="s">
        <v>6073</v>
      </c>
      <c r="B1152">
        <v>-1</v>
      </c>
    </row>
    <row r="1153" spans="1:2" x14ac:dyDescent="0.25">
      <c r="A1153" t="s">
        <v>6074</v>
      </c>
      <c r="B1153">
        <v>-1</v>
      </c>
    </row>
    <row r="1154" spans="1:2" x14ac:dyDescent="0.25">
      <c r="A1154" t="s">
        <v>6075</v>
      </c>
      <c r="B1154">
        <v>2</v>
      </c>
    </row>
    <row r="1155" spans="1:2" x14ac:dyDescent="0.25">
      <c r="A1155" t="s">
        <v>6076</v>
      </c>
      <c r="B1155">
        <v>2</v>
      </c>
    </row>
    <row r="1156" spans="1:2" x14ac:dyDescent="0.25">
      <c r="A1156" t="s">
        <v>6077</v>
      </c>
      <c r="B1156">
        <v>-2</v>
      </c>
    </row>
    <row r="1157" spans="1:2" x14ac:dyDescent="0.25">
      <c r="A1157" t="s">
        <v>6078</v>
      </c>
      <c r="B1157">
        <v>-2</v>
      </c>
    </row>
    <row r="1158" spans="1:2" x14ac:dyDescent="0.25">
      <c r="A1158" t="s">
        <v>6079</v>
      </c>
      <c r="B1158">
        <v>-2</v>
      </c>
    </row>
    <row r="1159" spans="1:2" x14ac:dyDescent="0.25">
      <c r="A1159" t="s">
        <v>6080</v>
      </c>
      <c r="B1159">
        <v>2</v>
      </c>
    </row>
    <row r="1160" spans="1:2" x14ac:dyDescent="0.25">
      <c r="A1160" t="s">
        <v>6081</v>
      </c>
      <c r="B1160">
        <v>2</v>
      </c>
    </row>
    <row r="1161" spans="1:2" x14ac:dyDescent="0.25">
      <c r="A1161" t="s">
        <v>6082</v>
      </c>
      <c r="B1161">
        <v>2</v>
      </c>
    </row>
    <row r="1162" spans="1:2" x14ac:dyDescent="0.25">
      <c r="A1162" t="s">
        <v>6083</v>
      </c>
      <c r="B1162">
        <v>2</v>
      </c>
    </row>
    <row r="1163" spans="1:2" x14ac:dyDescent="0.25">
      <c r="A1163" t="s">
        <v>6084</v>
      </c>
      <c r="B1163">
        <v>2</v>
      </c>
    </row>
    <row r="1164" spans="1:2" x14ac:dyDescent="0.25">
      <c r="A1164" t="s">
        <v>6085</v>
      </c>
      <c r="B1164">
        <v>2</v>
      </c>
    </row>
    <row r="1165" spans="1:2" x14ac:dyDescent="0.25">
      <c r="A1165" t="s">
        <v>6086</v>
      </c>
      <c r="B1165">
        <v>2</v>
      </c>
    </row>
    <row r="1166" spans="1:2" x14ac:dyDescent="0.25">
      <c r="A1166" t="s">
        <v>6087</v>
      </c>
      <c r="B1166">
        <v>-2</v>
      </c>
    </row>
    <row r="1167" spans="1:2" x14ac:dyDescent="0.25">
      <c r="A1167" t="s">
        <v>6088</v>
      </c>
      <c r="B1167">
        <v>-2</v>
      </c>
    </row>
    <row r="1168" spans="1:2" x14ac:dyDescent="0.25">
      <c r="A1168" t="s">
        <v>6089</v>
      </c>
      <c r="B1168">
        <v>-2</v>
      </c>
    </row>
    <row r="1169" spans="1:2" x14ac:dyDescent="0.25">
      <c r="A1169" t="s">
        <v>6090</v>
      </c>
      <c r="B1169">
        <v>2</v>
      </c>
    </row>
    <row r="1170" spans="1:2" x14ac:dyDescent="0.25">
      <c r="A1170" t="s">
        <v>6091</v>
      </c>
      <c r="B1170">
        <v>2</v>
      </c>
    </row>
    <row r="1171" spans="1:2" x14ac:dyDescent="0.25">
      <c r="A1171" t="s">
        <v>6092</v>
      </c>
      <c r="B1171">
        <v>2</v>
      </c>
    </row>
    <row r="1172" spans="1:2" x14ac:dyDescent="0.25">
      <c r="A1172" t="s">
        <v>6093</v>
      </c>
      <c r="B1172">
        <v>-2</v>
      </c>
    </row>
    <row r="1173" spans="1:2" x14ac:dyDescent="0.25">
      <c r="A1173" t="s">
        <v>6094</v>
      </c>
      <c r="B1173">
        <v>-2</v>
      </c>
    </row>
    <row r="1174" spans="1:2" x14ac:dyDescent="0.25">
      <c r="A1174" t="s">
        <v>6095</v>
      </c>
      <c r="B1174">
        <v>2</v>
      </c>
    </row>
    <row r="1175" spans="1:2" x14ac:dyDescent="0.25">
      <c r="A1175" t="s">
        <v>6096</v>
      </c>
      <c r="B1175">
        <v>2</v>
      </c>
    </row>
    <row r="1176" spans="1:2" x14ac:dyDescent="0.25">
      <c r="A1176" t="s">
        <v>6097</v>
      </c>
      <c r="B1176">
        <v>-3</v>
      </c>
    </row>
    <row r="1177" spans="1:2" x14ac:dyDescent="0.25">
      <c r="A1177" t="s">
        <v>6098</v>
      </c>
      <c r="B1177">
        <v>-3</v>
      </c>
    </row>
    <row r="1178" spans="1:2" x14ac:dyDescent="0.25">
      <c r="A1178" t="s">
        <v>6099</v>
      </c>
      <c r="B1178">
        <v>-3</v>
      </c>
    </row>
    <row r="1179" spans="1:2" x14ac:dyDescent="0.25">
      <c r="A1179" t="s">
        <v>6100</v>
      </c>
      <c r="B1179">
        <v>-3</v>
      </c>
    </row>
    <row r="1180" spans="1:2" x14ac:dyDescent="0.25">
      <c r="A1180" t="s">
        <v>6101</v>
      </c>
      <c r="B1180">
        <v>-2</v>
      </c>
    </row>
    <row r="1181" spans="1:2" x14ac:dyDescent="0.25">
      <c r="A1181" t="s">
        <v>6102</v>
      </c>
      <c r="B1181">
        <v>-2</v>
      </c>
    </row>
    <row r="1182" spans="1:2" x14ac:dyDescent="0.25">
      <c r="A1182" t="s">
        <v>6103</v>
      </c>
      <c r="B1182">
        <v>2</v>
      </c>
    </row>
    <row r="1183" spans="1:2" x14ac:dyDescent="0.25">
      <c r="A1183" t="s">
        <v>6104</v>
      </c>
      <c r="B1183">
        <v>1</v>
      </c>
    </row>
    <row r="1184" spans="1:2" x14ac:dyDescent="0.25">
      <c r="A1184" t="s">
        <v>6105</v>
      </c>
      <c r="B1184">
        <v>2</v>
      </c>
    </row>
    <row r="1185" spans="1:2" x14ac:dyDescent="0.25">
      <c r="A1185" t="s">
        <v>6106</v>
      </c>
      <c r="B1185">
        <v>3</v>
      </c>
    </row>
    <row r="1186" spans="1:2" x14ac:dyDescent="0.25">
      <c r="A1186" t="s">
        <v>6107</v>
      </c>
      <c r="B1186">
        <v>-3</v>
      </c>
    </row>
    <row r="1187" spans="1:2" x14ac:dyDescent="0.25">
      <c r="A1187" t="s">
        <v>6108</v>
      </c>
      <c r="B1187">
        <v>-3</v>
      </c>
    </row>
    <row r="1188" spans="1:2" x14ac:dyDescent="0.25">
      <c r="A1188" t="s">
        <v>6109</v>
      </c>
      <c r="B1188">
        <v>2</v>
      </c>
    </row>
    <row r="1189" spans="1:2" x14ac:dyDescent="0.25">
      <c r="A1189" t="s">
        <v>6110</v>
      </c>
      <c r="B1189">
        <v>2</v>
      </c>
    </row>
    <row r="1190" spans="1:2" x14ac:dyDescent="0.25">
      <c r="A1190" t="s">
        <v>6111</v>
      </c>
      <c r="B1190">
        <v>2</v>
      </c>
    </row>
    <row r="1191" spans="1:2" x14ac:dyDescent="0.25">
      <c r="A1191" t="s">
        <v>6112</v>
      </c>
      <c r="B1191">
        <v>2</v>
      </c>
    </row>
    <row r="1192" spans="1:2" x14ac:dyDescent="0.25">
      <c r="A1192" t="s">
        <v>6113</v>
      </c>
      <c r="B1192">
        <v>-2</v>
      </c>
    </row>
    <row r="1193" spans="1:2" x14ac:dyDescent="0.25">
      <c r="A1193" t="s">
        <v>6114</v>
      </c>
      <c r="B1193">
        <v>5</v>
      </c>
    </row>
    <row r="1194" spans="1:2" x14ac:dyDescent="0.25">
      <c r="A1194" t="s">
        <v>6115</v>
      </c>
      <c r="B1194">
        <v>-2</v>
      </c>
    </row>
    <row r="1195" spans="1:2" x14ac:dyDescent="0.25">
      <c r="A1195" t="s">
        <v>6116</v>
      </c>
      <c r="B1195">
        <v>-2</v>
      </c>
    </row>
    <row r="1196" spans="1:2" x14ac:dyDescent="0.25">
      <c r="A1196" t="s">
        <v>6117</v>
      </c>
      <c r="B1196">
        <v>-2</v>
      </c>
    </row>
    <row r="1197" spans="1:2" x14ac:dyDescent="0.25">
      <c r="A1197" t="s">
        <v>6118</v>
      </c>
      <c r="B1197">
        <v>-2</v>
      </c>
    </row>
    <row r="1198" spans="1:2" x14ac:dyDescent="0.25">
      <c r="A1198" t="s">
        <v>6119</v>
      </c>
      <c r="B1198">
        <v>-3</v>
      </c>
    </row>
    <row r="1199" spans="1:2" x14ac:dyDescent="0.25">
      <c r="A1199" t="s">
        <v>6120</v>
      </c>
      <c r="B1199">
        <v>-3</v>
      </c>
    </row>
    <row r="1200" spans="1:2" x14ac:dyDescent="0.25">
      <c r="A1200" t="s">
        <v>6121</v>
      </c>
      <c r="B1200">
        <v>-3</v>
      </c>
    </row>
    <row r="1201" spans="1:2" x14ac:dyDescent="0.25">
      <c r="A1201" t="s">
        <v>6122</v>
      </c>
      <c r="B1201">
        <v>-3</v>
      </c>
    </row>
    <row r="1202" spans="1:2" x14ac:dyDescent="0.25">
      <c r="A1202" t="s">
        <v>6123</v>
      </c>
      <c r="B1202">
        <v>-3</v>
      </c>
    </row>
    <row r="1203" spans="1:2" x14ac:dyDescent="0.25">
      <c r="A1203" t="s">
        <v>6124</v>
      </c>
      <c r="B1203">
        <v>-2</v>
      </c>
    </row>
    <row r="1204" spans="1:2" x14ac:dyDescent="0.25">
      <c r="A1204" t="s">
        <v>6125</v>
      </c>
      <c r="B1204">
        <v>-2</v>
      </c>
    </row>
    <row r="1205" spans="1:2" x14ac:dyDescent="0.25">
      <c r="A1205" t="s">
        <v>6126</v>
      </c>
      <c r="B1205">
        <v>-1</v>
      </c>
    </row>
    <row r="1206" spans="1:2" x14ac:dyDescent="0.25">
      <c r="A1206" t="s">
        <v>6127</v>
      </c>
      <c r="B1206">
        <v>-2</v>
      </c>
    </row>
    <row r="1207" spans="1:2" x14ac:dyDescent="0.25">
      <c r="A1207" t="s">
        <v>6128</v>
      </c>
      <c r="B1207">
        <v>-1</v>
      </c>
    </row>
    <row r="1208" spans="1:2" x14ac:dyDescent="0.25">
      <c r="A1208" t="s">
        <v>6129</v>
      </c>
      <c r="B1208">
        <v>-2</v>
      </c>
    </row>
    <row r="1209" spans="1:2" x14ac:dyDescent="0.25">
      <c r="A1209" t="s">
        <v>6130</v>
      </c>
      <c r="B1209">
        <v>-3</v>
      </c>
    </row>
    <row r="1210" spans="1:2" x14ac:dyDescent="0.25">
      <c r="A1210" t="s">
        <v>6131</v>
      </c>
      <c r="B1210">
        <v>-2</v>
      </c>
    </row>
    <row r="1211" spans="1:2" x14ac:dyDescent="0.25">
      <c r="A1211" t="s">
        <v>6132</v>
      </c>
      <c r="B1211">
        <v>-2</v>
      </c>
    </row>
    <row r="1212" spans="1:2" x14ac:dyDescent="0.25">
      <c r="A1212" t="s">
        <v>6133</v>
      </c>
      <c r="B1212">
        <v>-2</v>
      </c>
    </row>
    <row r="1213" spans="1:2" x14ac:dyDescent="0.25">
      <c r="A1213" t="s">
        <v>6134</v>
      </c>
      <c r="B1213">
        <v>-3</v>
      </c>
    </row>
    <row r="1214" spans="1:2" x14ac:dyDescent="0.25">
      <c r="A1214" t="s">
        <v>6135</v>
      </c>
      <c r="B1214">
        <v>-1</v>
      </c>
    </row>
    <row r="1215" spans="1:2" x14ac:dyDescent="0.25">
      <c r="A1215" t="s">
        <v>6136</v>
      </c>
      <c r="B1215">
        <v>2</v>
      </c>
    </row>
    <row r="1216" spans="1:2" x14ac:dyDescent="0.25">
      <c r="A1216" t="s">
        <v>6137</v>
      </c>
      <c r="B1216">
        <v>1</v>
      </c>
    </row>
    <row r="1217" spans="1:2" x14ac:dyDescent="0.25">
      <c r="A1217" t="s">
        <v>6138</v>
      </c>
      <c r="B1217">
        <v>-2</v>
      </c>
    </row>
    <row r="1218" spans="1:2" x14ac:dyDescent="0.25">
      <c r="A1218" t="s">
        <v>6139</v>
      </c>
      <c r="B1218">
        <v>-2</v>
      </c>
    </row>
    <row r="1219" spans="1:2" x14ac:dyDescent="0.25">
      <c r="A1219" t="s">
        <v>6140</v>
      </c>
      <c r="B1219">
        <v>2</v>
      </c>
    </row>
    <row r="1220" spans="1:2" x14ac:dyDescent="0.25">
      <c r="A1220" t="s">
        <v>6141</v>
      </c>
      <c r="B1220">
        <v>2</v>
      </c>
    </row>
    <row r="1221" spans="1:2" x14ac:dyDescent="0.25">
      <c r="A1221" t="s">
        <v>6142</v>
      </c>
      <c r="B1221">
        <v>-1</v>
      </c>
    </row>
    <row r="1222" spans="1:2" x14ac:dyDescent="0.25">
      <c r="A1222" t="s">
        <v>6143</v>
      </c>
      <c r="B1222">
        <v>-1</v>
      </c>
    </row>
    <row r="1223" spans="1:2" x14ac:dyDescent="0.25">
      <c r="A1223" t="s">
        <v>6144</v>
      </c>
      <c r="B1223">
        <v>-1</v>
      </c>
    </row>
    <row r="1224" spans="1:2" x14ac:dyDescent="0.25">
      <c r="A1224" t="s">
        <v>6145</v>
      </c>
      <c r="B1224">
        <v>-1</v>
      </c>
    </row>
    <row r="1225" spans="1:2" x14ac:dyDescent="0.25">
      <c r="A1225" t="s">
        <v>6146</v>
      </c>
      <c r="B1225">
        <v>-2</v>
      </c>
    </row>
    <row r="1226" spans="1:2" x14ac:dyDescent="0.25">
      <c r="A1226" t="s">
        <v>6147</v>
      </c>
      <c r="B1226">
        <v>3</v>
      </c>
    </row>
    <row r="1227" spans="1:2" x14ac:dyDescent="0.25">
      <c r="A1227" t="s">
        <v>6148</v>
      </c>
      <c r="B1227">
        <v>3</v>
      </c>
    </row>
    <row r="1228" spans="1:2" x14ac:dyDescent="0.25">
      <c r="A1228" t="s">
        <v>6149</v>
      </c>
      <c r="B1228">
        <v>3</v>
      </c>
    </row>
    <row r="1229" spans="1:2" x14ac:dyDescent="0.25">
      <c r="A1229" t="s">
        <v>6150</v>
      </c>
      <c r="B1229">
        <v>3</v>
      </c>
    </row>
    <row r="1230" spans="1:2" x14ac:dyDescent="0.25">
      <c r="A1230" t="s">
        <v>6151</v>
      </c>
      <c r="B1230">
        <v>-2</v>
      </c>
    </row>
    <row r="1231" spans="1:2" x14ac:dyDescent="0.25">
      <c r="A1231" t="s">
        <v>6152</v>
      </c>
      <c r="B1231">
        <v>2</v>
      </c>
    </row>
    <row r="1232" spans="1:2" x14ac:dyDescent="0.25">
      <c r="A1232" t="s">
        <v>6153</v>
      </c>
      <c r="B1232">
        <v>2</v>
      </c>
    </row>
    <row r="1233" spans="1:2" x14ac:dyDescent="0.25">
      <c r="A1233" t="s">
        <v>6154</v>
      </c>
      <c r="B1233">
        <v>2</v>
      </c>
    </row>
    <row r="1234" spans="1:2" x14ac:dyDescent="0.25">
      <c r="A1234" t="s">
        <v>6155</v>
      </c>
      <c r="B1234">
        <v>2</v>
      </c>
    </row>
    <row r="1235" spans="1:2" x14ac:dyDescent="0.25">
      <c r="A1235" t="s">
        <v>6156</v>
      </c>
      <c r="B1235">
        <v>2</v>
      </c>
    </row>
    <row r="1236" spans="1:2" x14ac:dyDescent="0.25">
      <c r="A1236" t="s">
        <v>6157</v>
      </c>
      <c r="B1236">
        <v>-2</v>
      </c>
    </row>
    <row r="1237" spans="1:2" x14ac:dyDescent="0.25">
      <c r="A1237" t="s">
        <v>6158</v>
      </c>
      <c r="B1237">
        <v>-2</v>
      </c>
    </row>
    <row r="1238" spans="1:2" x14ac:dyDescent="0.25">
      <c r="A1238" t="s">
        <v>6159</v>
      </c>
      <c r="B1238">
        <v>-2</v>
      </c>
    </row>
    <row r="1239" spans="1:2" x14ac:dyDescent="0.25">
      <c r="A1239" t="s">
        <v>6160</v>
      </c>
      <c r="B1239">
        <v>-2</v>
      </c>
    </row>
    <row r="1240" spans="1:2" x14ac:dyDescent="0.25">
      <c r="A1240" t="s">
        <v>6161</v>
      </c>
      <c r="B1240">
        <v>-2</v>
      </c>
    </row>
    <row r="1241" spans="1:2" x14ac:dyDescent="0.25">
      <c r="A1241" t="s">
        <v>6162</v>
      </c>
      <c r="B1241">
        <v>-2</v>
      </c>
    </row>
    <row r="1242" spans="1:2" x14ac:dyDescent="0.25">
      <c r="A1242" t="s">
        <v>6163</v>
      </c>
      <c r="B1242">
        <v>-2</v>
      </c>
    </row>
    <row r="1243" spans="1:2" x14ac:dyDescent="0.25">
      <c r="A1243" t="s">
        <v>6164</v>
      </c>
      <c r="B1243">
        <v>-2</v>
      </c>
    </row>
    <row r="1244" spans="1:2" x14ac:dyDescent="0.25">
      <c r="A1244" t="s">
        <v>6165</v>
      </c>
      <c r="B1244">
        <v>-2</v>
      </c>
    </row>
    <row r="1245" spans="1:2" x14ac:dyDescent="0.25">
      <c r="A1245" t="s">
        <v>6166</v>
      </c>
      <c r="B1245">
        <v>-2</v>
      </c>
    </row>
    <row r="1246" spans="1:2" x14ac:dyDescent="0.25">
      <c r="A1246" t="s">
        <v>6167</v>
      </c>
      <c r="B1246">
        <v>-2</v>
      </c>
    </row>
    <row r="1247" spans="1:2" x14ac:dyDescent="0.25">
      <c r="A1247" t="s">
        <v>6168</v>
      </c>
      <c r="B1247">
        <v>1</v>
      </c>
    </row>
    <row r="1248" spans="1:2" x14ac:dyDescent="0.25">
      <c r="A1248" t="s">
        <v>6169</v>
      </c>
      <c r="B1248">
        <v>1</v>
      </c>
    </row>
    <row r="1249" spans="1:2" x14ac:dyDescent="0.25">
      <c r="A1249" t="s">
        <v>6170</v>
      </c>
      <c r="B1249">
        <v>-2</v>
      </c>
    </row>
    <row r="1250" spans="1:2" x14ac:dyDescent="0.25">
      <c r="A1250" t="s">
        <v>6171</v>
      </c>
      <c r="B1250">
        <v>2</v>
      </c>
    </row>
    <row r="1251" spans="1:2" x14ac:dyDescent="0.25">
      <c r="A1251" t="s">
        <v>6172</v>
      </c>
      <c r="B1251">
        <v>-2</v>
      </c>
    </row>
    <row r="1252" spans="1:2" x14ac:dyDescent="0.25">
      <c r="A1252" t="s">
        <v>6173</v>
      </c>
      <c r="B1252">
        <v>-2</v>
      </c>
    </row>
    <row r="1253" spans="1:2" x14ac:dyDescent="0.25">
      <c r="A1253" t="s">
        <v>6174</v>
      </c>
      <c r="B1253">
        <v>-2</v>
      </c>
    </row>
    <row r="1254" spans="1:2" x14ac:dyDescent="0.25">
      <c r="A1254" t="s">
        <v>6175</v>
      </c>
      <c r="B1254">
        <v>-2</v>
      </c>
    </row>
    <row r="1255" spans="1:2" x14ac:dyDescent="0.25">
      <c r="A1255" t="s">
        <v>6176</v>
      </c>
      <c r="B1255">
        <v>-2</v>
      </c>
    </row>
    <row r="1256" spans="1:2" x14ac:dyDescent="0.25">
      <c r="A1256" t="s">
        <v>6177</v>
      </c>
      <c r="B1256">
        <v>-2</v>
      </c>
    </row>
    <row r="1257" spans="1:2" x14ac:dyDescent="0.25">
      <c r="A1257" t="s">
        <v>6178</v>
      </c>
      <c r="B1257">
        <v>-2</v>
      </c>
    </row>
    <row r="1258" spans="1:2" x14ac:dyDescent="0.25">
      <c r="A1258" t="s">
        <v>6179</v>
      </c>
      <c r="B1258">
        <v>-2</v>
      </c>
    </row>
    <row r="1259" spans="1:2" x14ac:dyDescent="0.25">
      <c r="A1259" t="s">
        <v>6180</v>
      </c>
      <c r="B1259">
        <v>-2</v>
      </c>
    </row>
    <row r="1260" spans="1:2" x14ac:dyDescent="0.25">
      <c r="A1260" t="s">
        <v>6181</v>
      </c>
      <c r="B1260">
        <v>-2</v>
      </c>
    </row>
    <row r="1261" spans="1:2" x14ac:dyDescent="0.25">
      <c r="A1261" t="s">
        <v>6182</v>
      </c>
      <c r="B1261">
        <v>2</v>
      </c>
    </row>
    <row r="1262" spans="1:2" x14ac:dyDescent="0.25">
      <c r="A1262" t="s">
        <v>6183</v>
      </c>
      <c r="B1262">
        <v>2</v>
      </c>
    </row>
    <row r="1263" spans="1:2" x14ac:dyDescent="0.25">
      <c r="A1263" t="s">
        <v>6184</v>
      </c>
      <c r="B1263">
        <v>-2</v>
      </c>
    </row>
    <row r="1264" spans="1:2" x14ac:dyDescent="0.25">
      <c r="A1264" t="s">
        <v>6185</v>
      </c>
      <c r="B1264">
        <v>-2</v>
      </c>
    </row>
    <row r="1265" spans="1:2" x14ac:dyDescent="0.25">
      <c r="A1265" t="s">
        <v>6186</v>
      </c>
      <c r="B1265">
        <v>-2</v>
      </c>
    </row>
    <row r="1266" spans="1:2" x14ac:dyDescent="0.25">
      <c r="A1266" t="s">
        <v>6187</v>
      </c>
      <c r="B1266">
        <v>2</v>
      </c>
    </row>
    <row r="1267" spans="1:2" x14ac:dyDescent="0.25">
      <c r="A1267" t="s">
        <v>6188</v>
      </c>
      <c r="B1267">
        <v>-2</v>
      </c>
    </row>
    <row r="1268" spans="1:2" x14ac:dyDescent="0.25">
      <c r="A1268" t="s">
        <v>6189</v>
      </c>
      <c r="B1268">
        <v>-2</v>
      </c>
    </row>
    <row r="1269" spans="1:2" x14ac:dyDescent="0.25">
      <c r="A1269" t="s">
        <v>6190</v>
      </c>
      <c r="B1269">
        <v>-2</v>
      </c>
    </row>
    <row r="1270" spans="1:2" x14ac:dyDescent="0.25">
      <c r="A1270" t="s">
        <v>6191</v>
      </c>
      <c r="B1270">
        <v>-2</v>
      </c>
    </row>
    <row r="1271" spans="1:2" x14ac:dyDescent="0.25">
      <c r="A1271" t="s">
        <v>6192</v>
      </c>
      <c r="B1271">
        <v>-2</v>
      </c>
    </row>
    <row r="1272" spans="1:2" x14ac:dyDescent="0.25">
      <c r="A1272" t="s">
        <v>6193</v>
      </c>
      <c r="B1272">
        <v>-1</v>
      </c>
    </row>
    <row r="1273" spans="1:2" x14ac:dyDescent="0.25">
      <c r="A1273" t="s">
        <v>6194</v>
      </c>
      <c r="B1273">
        <v>-2</v>
      </c>
    </row>
    <row r="1274" spans="1:2" x14ac:dyDescent="0.25">
      <c r="A1274" t="s">
        <v>6195</v>
      </c>
      <c r="B1274">
        <v>-2</v>
      </c>
    </row>
    <row r="1275" spans="1:2" x14ac:dyDescent="0.25">
      <c r="A1275" t="s">
        <v>6196</v>
      </c>
      <c r="B1275">
        <v>-2</v>
      </c>
    </row>
    <row r="1276" spans="1:2" x14ac:dyDescent="0.25">
      <c r="A1276" t="s">
        <v>6197</v>
      </c>
      <c r="B1276">
        <v>1</v>
      </c>
    </row>
    <row r="1277" spans="1:2" x14ac:dyDescent="0.25">
      <c r="A1277" t="s">
        <v>6198</v>
      </c>
      <c r="B1277">
        <v>1</v>
      </c>
    </row>
    <row r="1278" spans="1:2" x14ac:dyDescent="0.25">
      <c r="A1278" t="s">
        <v>6199</v>
      </c>
      <c r="B1278">
        <v>1</v>
      </c>
    </row>
    <row r="1279" spans="1:2" x14ac:dyDescent="0.25">
      <c r="A1279" t="s">
        <v>6200</v>
      </c>
      <c r="B1279">
        <v>2</v>
      </c>
    </row>
    <row r="1280" spans="1:2" x14ac:dyDescent="0.25">
      <c r="A1280" t="s">
        <v>6201</v>
      </c>
      <c r="B1280">
        <v>-2</v>
      </c>
    </row>
    <row r="1281" spans="1:2" x14ac:dyDescent="0.25">
      <c r="A1281" t="s">
        <v>6202</v>
      </c>
      <c r="B1281">
        <v>2</v>
      </c>
    </row>
    <row r="1282" spans="1:2" x14ac:dyDescent="0.25">
      <c r="A1282" t="s">
        <v>6203</v>
      </c>
      <c r="B1282">
        <v>-2</v>
      </c>
    </row>
    <row r="1283" spans="1:2" x14ac:dyDescent="0.25">
      <c r="A1283" t="s">
        <v>6204</v>
      </c>
      <c r="B1283">
        <v>-2</v>
      </c>
    </row>
    <row r="1284" spans="1:2" x14ac:dyDescent="0.25">
      <c r="A1284" t="s">
        <v>6205</v>
      </c>
      <c r="B1284">
        <v>-2</v>
      </c>
    </row>
    <row r="1285" spans="1:2" x14ac:dyDescent="0.25">
      <c r="A1285" t="s">
        <v>6206</v>
      </c>
      <c r="B1285">
        <v>-2</v>
      </c>
    </row>
    <row r="1286" spans="1:2" x14ac:dyDescent="0.25">
      <c r="A1286" t="s">
        <v>6207</v>
      </c>
      <c r="B1286">
        <v>-2</v>
      </c>
    </row>
    <row r="1287" spans="1:2" x14ac:dyDescent="0.25">
      <c r="A1287" t="s">
        <v>6208</v>
      </c>
      <c r="B1287">
        <v>-2</v>
      </c>
    </row>
    <row r="1288" spans="1:2" x14ac:dyDescent="0.25">
      <c r="A1288" t="s">
        <v>6209</v>
      </c>
      <c r="B1288">
        <v>-2</v>
      </c>
    </row>
    <row r="1289" spans="1:2" x14ac:dyDescent="0.25">
      <c r="A1289" t="s">
        <v>6210</v>
      </c>
      <c r="B1289">
        <v>2</v>
      </c>
    </row>
    <row r="1290" spans="1:2" x14ac:dyDescent="0.25">
      <c r="A1290" t="s">
        <v>6211</v>
      </c>
      <c r="B1290">
        <v>2</v>
      </c>
    </row>
    <row r="1291" spans="1:2" x14ac:dyDescent="0.25">
      <c r="A1291" t="s">
        <v>6212</v>
      </c>
      <c r="B1291">
        <v>2</v>
      </c>
    </row>
    <row r="1292" spans="1:2" x14ac:dyDescent="0.25">
      <c r="A1292" t="s">
        <v>6213</v>
      </c>
      <c r="B1292">
        <v>2</v>
      </c>
    </row>
    <row r="1293" spans="1:2" x14ac:dyDescent="0.25">
      <c r="A1293" t="s">
        <v>6214</v>
      </c>
      <c r="B1293">
        <v>2</v>
      </c>
    </row>
    <row r="1294" spans="1:2" x14ac:dyDescent="0.25">
      <c r="A1294" t="s">
        <v>6215</v>
      </c>
      <c r="B1294">
        <v>3</v>
      </c>
    </row>
    <row r="1295" spans="1:2" x14ac:dyDescent="0.25">
      <c r="A1295" t="s">
        <v>6216</v>
      </c>
      <c r="B1295">
        <v>-2</v>
      </c>
    </row>
    <row r="1296" spans="1:2" x14ac:dyDescent="0.25">
      <c r="A1296" t="s">
        <v>6217</v>
      </c>
      <c r="B1296">
        <v>-2</v>
      </c>
    </row>
    <row r="1297" spans="1:2" x14ac:dyDescent="0.25">
      <c r="A1297" t="s">
        <v>6218</v>
      </c>
      <c r="B1297">
        <v>-2</v>
      </c>
    </row>
    <row r="1298" spans="1:2" x14ac:dyDescent="0.25">
      <c r="A1298" t="s">
        <v>6219</v>
      </c>
      <c r="B1298">
        <v>-2</v>
      </c>
    </row>
    <row r="1299" spans="1:2" x14ac:dyDescent="0.25">
      <c r="A1299" t="s">
        <v>6220</v>
      </c>
      <c r="B1299">
        <v>2</v>
      </c>
    </row>
    <row r="1300" spans="1:2" x14ac:dyDescent="0.25">
      <c r="A1300" t="s">
        <v>6221</v>
      </c>
      <c r="B1300">
        <v>2</v>
      </c>
    </row>
    <row r="1301" spans="1:2" x14ac:dyDescent="0.25">
      <c r="A1301" t="s">
        <v>6222</v>
      </c>
      <c r="B1301">
        <v>2</v>
      </c>
    </row>
    <row r="1302" spans="1:2" x14ac:dyDescent="0.25">
      <c r="A1302" t="s">
        <v>6223</v>
      </c>
      <c r="B1302">
        <v>1</v>
      </c>
    </row>
    <row r="1303" spans="1:2" x14ac:dyDescent="0.25">
      <c r="A1303" t="s">
        <v>6224</v>
      </c>
      <c r="B1303">
        <v>1</v>
      </c>
    </row>
    <row r="1304" spans="1:2" x14ac:dyDescent="0.25">
      <c r="A1304" t="s">
        <v>6225</v>
      </c>
      <c r="B1304">
        <v>2</v>
      </c>
    </row>
    <row r="1305" spans="1:2" x14ac:dyDescent="0.25">
      <c r="A1305" t="s">
        <v>6226</v>
      </c>
      <c r="B1305">
        <v>2</v>
      </c>
    </row>
    <row r="1306" spans="1:2" x14ac:dyDescent="0.25">
      <c r="A1306" t="s">
        <v>6227</v>
      </c>
      <c r="B1306">
        <v>1</v>
      </c>
    </row>
    <row r="1307" spans="1:2" x14ac:dyDescent="0.25">
      <c r="A1307" t="s">
        <v>6228</v>
      </c>
      <c r="B1307">
        <v>-2</v>
      </c>
    </row>
    <row r="1308" spans="1:2" x14ac:dyDescent="0.25">
      <c r="A1308" t="s">
        <v>6229</v>
      </c>
      <c r="B1308">
        <v>-2</v>
      </c>
    </row>
    <row r="1309" spans="1:2" x14ac:dyDescent="0.25">
      <c r="A1309" t="s">
        <v>6230</v>
      </c>
      <c r="B1309">
        <v>-2</v>
      </c>
    </row>
    <row r="1310" spans="1:2" x14ac:dyDescent="0.25">
      <c r="A1310" t="s">
        <v>6231</v>
      </c>
      <c r="B1310">
        <v>-2</v>
      </c>
    </row>
    <row r="1311" spans="1:2" x14ac:dyDescent="0.25">
      <c r="A1311" t="s">
        <v>6232</v>
      </c>
      <c r="B1311">
        <v>-2</v>
      </c>
    </row>
    <row r="1312" spans="1:2" x14ac:dyDescent="0.25">
      <c r="A1312" t="s">
        <v>6233</v>
      </c>
      <c r="B1312">
        <v>-2</v>
      </c>
    </row>
    <row r="1313" spans="1:2" x14ac:dyDescent="0.25">
      <c r="A1313" t="s">
        <v>6234</v>
      </c>
      <c r="B1313">
        <v>-2</v>
      </c>
    </row>
    <row r="1314" spans="1:2" x14ac:dyDescent="0.25">
      <c r="A1314" t="s">
        <v>6235</v>
      </c>
      <c r="B1314">
        <v>-2</v>
      </c>
    </row>
    <row r="1315" spans="1:2" x14ac:dyDescent="0.25">
      <c r="A1315" t="s">
        <v>6236</v>
      </c>
      <c r="B1315">
        <v>-2</v>
      </c>
    </row>
    <row r="1316" spans="1:2" x14ac:dyDescent="0.25">
      <c r="A1316" t="s">
        <v>6237</v>
      </c>
      <c r="B1316">
        <v>-2</v>
      </c>
    </row>
    <row r="1317" spans="1:2" x14ac:dyDescent="0.25">
      <c r="A1317" t="s">
        <v>6238</v>
      </c>
      <c r="B1317">
        <v>-2</v>
      </c>
    </row>
    <row r="1318" spans="1:2" x14ac:dyDescent="0.25">
      <c r="A1318" t="s">
        <v>6239</v>
      </c>
      <c r="B1318">
        <v>2</v>
      </c>
    </row>
    <row r="1319" spans="1:2" x14ac:dyDescent="0.25">
      <c r="A1319" t="s">
        <v>6240</v>
      </c>
      <c r="B1319">
        <v>1</v>
      </c>
    </row>
    <row r="1320" spans="1:2" x14ac:dyDescent="0.25">
      <c r="A1320" t="s">
        <v>6241</v>
      </c>
      <c r="B1320">
        <v>2</v>
      </c>
    </row>
    <row r="1321" spans="1:2" x14ac:dyDescent="0.25">
      <c r="A1321" t="s">
        <v>6242</v>
      </c>
      <c r="B1321">
        <v>1</v>
      </c>
    </row>
    <row r="1322" spans="1:2" x14ac:dyDescent="0.25">
      <c r="A1322" t="s">
        <v>6243</v>
      </c>
      <c r="B1322">
        <v>1</v>
      </c>
    </row>
    <row r="1323" spans="1:2" x14ac:dyDescent="0.25">
      <c r="A1323" t="s">
        <v>6244</v>
      </c>
      <c r="B1323">
        <v>2</v>
      </c>
    </row>
    <row r="1324" spans="1:2" x14ac:dyDescent="0.25">
      <c r="A1324" t="s">
        <v>6245</v>
      </c>
      <c r="B1324">
        <v>-3</v>
      </c>
    </row>
    <row r="1325" spans="1:2" x14ac:dyDescent="0.25">
      <c r="A1325" t="s">
        <v>6246</v>
      </c>
      <c r="B1325">
        <v>-1</v>
      </c>
    </row>
    <row r="1326" spans="1:2" x14ac:dyDescent="0.25">
      <c r="A1326" t="s">
        <v>6247</v>
      </c>
      <c r="B1326">
        <v>-1</v>
      </c>
    </row>
    <row r="1327" spans="1:2" x14ac:dyDescent="0.25">
      <c r="A1327" t="s">
        <v>6248</v>
      </c>
      <c r="B1327">
        <v>-1</v>
      </c>
    </row>
    <row r="1328" spans="1:2" x14ac:dyDescent="0.25">
      <c r="A1328" t="s">
        <v>6249</v>
      </c>
      <c r="B1328">
        <v>2</v>
      </c>
    </row>
    <row r="1329" spans="1:2" x14ac:dyDescent="0.25">
      <c r="A1329" t="s">
        <v>6250</v>
      </c>
      <c r="B1329">
        <v>-2</v>
      </c>
    </row>
    <row r="1330" spans="1:2" x14ac:dyDescent="0.25">
      <c r="A1330" t="s">
        <v>6251</v>
      </c>
      <c r="B1330">
        <v>2</v>
      </c>
    </row>
    <row r="1331" spans="1:2" x14ac:dyDescent="0.25">
      <c r="A1331" t="s">
        <v>6252</v>
      </c>
      <c r="B1331">
        <v>-1</v>
      </c>
    </row>
    <row r="1332" spans="1:2" x14ac:dyDescent="0.25">
      <c r="A1332" t="s">
        <v>6253</v>
      </c>
      <c r="B1332">
        <v>-3</v>
      </c>
    </row>
    <row r="1333" spans="1:2" x14ac:dyDescent="0.25">
      <c r="A1333" t="s">
        <v>6254</v>
      </c>
      <c r="B1333">
        <v>-3</v>
      </c>
    </row>
    <row r="1334" spans="1:2" x14ac:dyDescent="0.25">
      <c r="A1334" t="s">
        <v>6255</v>
      </c>
      <c r="B1334">
        <v>-3</v>
      </c>
    </row>
    <row r="1335" spans="1:2" x14ac:dyDescent="0.25">
      <c r="A1335" t="s">
        <v>6256</v>
      </c>
      <c r="B1335">
        <v>-1</v>
      </c>
    </row>
    <row r="1336" spans="1:2" x14ac:dyDescent="0.25">
      <c r="A1336" t="s">
        <v>6257</v>
      </c>
      <c r="B1336">
        <v>-2</v>
      </c>
    </row>
    <row r="1337" spans="1:2" x14ac:dyDescent="0.25">
      <c r="A1337" t="s">
        <v>6258</v>
      </c>
      <c r="B1337">
        <v>-2</v>
      </c>
    </row>
    <row r="1338" spans="1:2" x14ac:dyDescent="0.25">
      <c r="A1338" t="s">
        <v>6259</v>
      </c>
      <c r="B1338">
        <v>2</v>
      </c>
    </row>
    <row r="1339" spans="1:2" x14ac:dyDescent="0.25">
      <c r="A1339" t="s">
        <v>6260</v>
      </c>
      <c r="B1339">
        <v>-2</v>
      </c>
    </row>
    <row r="1340" spans="1:2" x14ac:dyDescent="0.25">
      <c r="A1340" t="s">
        <v>6261</v>
      </c>
      <c r="B1340">
        <v>-2</v>
      </c>
    </row>
    <row r="1341" spans="1:2" x14ac:dyDescent="0.25">
      <c r="A1341" t="s">
        <v>6262</v>
      </c>
      <c r="B1341">
        <v>-3</v>
      </c>
    </row>
    <row r="1342" spans="1:2" x14ac:dyDescent="0.25">
      <c r="A1342" t="s">
        <v>6263</v>
      </c>
      <c r="B1342">
        <v>1</v>
      </c>
    </row>
    <row r="1343" spans="1:2" x14ac:dyDescent="0.25">
      <c r="A1343" t="s">
        <v>6264</v>
      </c>
      <c r="B1343">
        <v>1</v>
      </c>
    </row>
    <row r="1344" spans="1:2" x14ac:dyDescent="0.25">
      <c r="A1344" t="s">
        <v>6265</v>
      </c>
      <c r="B1344">
        <v>1</v>
      </c>
    </row>
    <row r="1345" spans="1:2" x14ac:dyDescent="0.25">
      <c r="A1345" t="s">
        <v>6266</v>
      </c>
      <c r="B1345">
        <v>2</v>
      </c>
    </row>
    <row r="1346" spans="1:2" x14ac:dyDescent="0.25">
      <c r="A1346" t="s">
        <v>6267</v>
      </c>
      <c r="B1346">
        <v>1</v>
      </c>
    </row>
    <row r="1347" spans="1:2" x14ac:dyDescent="0.25">
      <c r="A1347" t="s">
        <v>6268</v>
      </c>
      <c r="B1347">
        <v>2</v>
      </c>
    </row>
    <row r="1348" spans="1:2" x14ac:dyDescent="0.25">
      <c r="A1348" t="s">
        <v>6269</v>
      </c>
      <c r="B1348">
        <v>2</v>
      </c>
    </row>
    <row r="1349" spans="1:2" x14ac:dyDescent="0.25">
      <c r="A1349" t="s">
        <v>6270</v>
      </c>
      <c r="B1349">
        <v>2</v>
      </c>
    </row>
    <row r="1350" spans="1:2" x14ac:dyDescent="0.25">
      <c r="A1350" t="s">
        <v>6271</v>
      </c>
      <c r="B1350">
        <v>2</v>
      </c>
    </row>
    <row r="1351" spans="1:2" x14ac:dyDescent="0.25">
      <c r="A1351" t="s">
        <v>6272</v>
      </c>
      <c r="B1351">
        <v>3</v>
      </c>
    </row>
    <row r="1352" spans="1:2" x14ac:dyDescent="0.25">
      <c r="A1352" t="s">
        <v>6273</v>
      </c>
      <c r="B1352">
        <v>3</v>
      </c>
    </row>
    <row r="1353" spans="1:2" x14ac:dyDescent="0.25">
      <c r="A1353" t="s">
        <v>6274</v>
      </c>
      <c r="B1353">
        <v>3</v>
      </c>
    </row>
    <row r="1354" spans="1:2" x14ac:dyDescent="0.25">
      <c r="A1354" t="s">
        <v>6275</v>
      </c>
      <c r="B1354">
        <v>-2</v>
      </c>
    </row>
    <row r="1355" spans="1:2" x14ac:dyDescent="0.25">
      <c r="A1355" t="s">
        <v>6276</v>
      </c>
      <c r="B1355">
        <v>3</v>
      </c>
    </row>
    <row r="1356" spans="1:2" x14ac:dyDescent="0.25">
      <c r="A1356" t="s">
        <v>6277</v>
      </c>
      <c r="B1356">
        <v>3</v>
      </c>
    </row>
    <row r="1357" spans="1:2" x14ac:dyDescent="0.25">
      <c r="A1357" t="s">
        <v>6278</v>
      </c>
      <c r="B1357">
        <v>-1</v>
      </c>
    </row>
    <row r="1358" spans="1:2" x14ac:dyDescent="0.25">
      <c r="A1358" t="s">
        <v>6279</v>
      </c>
      <c r="B1358">
        <v>2</v>
      </c>
    </row>
    <row r="1359" spans="1:2" x14ac:dyDescent="0.25">
      <c r="A1359" t="s">
        <v>6280</v>
      </c>
      <c r="B1359">
        <v>2</v>
      </c>
    </row>
    <row r="1360" spans="1:2" x14ac:dyDescent="0.25">
      <c r="A1360" t="s">
        <v>6281</v>
      </c>
      <c r="B1360">
        <v>2</v>
      </c>
    </row>
    <row r="1361" spans="1:2" x14ac:dyDescent="0.25">
      <c r="A1361" t="s">
        <v>6282</v>
      </c>
      <c r="B1361">
        <v>1</v>
      </c>
    </row>
    <row r="1362" spans="1:2" x14ac:dyDescent="0.25">
      <c r="A1362" t="s">
        <v>6283</v>
      </c>
      <c r="B1362">
        <v>-3</v>
      </c>
    </row>
    <row r="1363" spans="1:2" x14ac:dyDescent="0.25">
      <c r="A1363" t="s">
        <v>6284</v>
      </c>
      <c r="B1363">
        <v>-3</v>
      </c>
    </row>
    <row r="1364" spans="1:2" x14ac:dyDescent="0.25">
      <c r="A1364" t="s">
        <v>6285</v>
      </c>
      <c r="B1364">
        <v>-3</v>
      </c>
    </row>
    <row r="1365" spans="1:2" x14ac:dyDescent="0.25">
      <c r="A1365" t="s">
        <v>6286</v>
      </c>
      <c r="B1365">
        <v>-3</v>
      </c>
    </row>
    <row r="1366" spans="1:2" x14ac:dyDescent="0.25">
      <c r="A1366" t="s">
        <v>6287</v>
      </c>
      <c r="B1366">
        <v>2</v>
      </c>
    </row>
    <row r="1367" spans="1:2" x14ac:dyDescent="0.25">
      <c r="A1367" t="s">
        <v>6288</v>
      </c>
      <c r="B1367">
        <v>2</v>
      </c>
    </row>
    <row r="1368" spans="1:2" x14ac:dyDescent="0.25">
      <c r="A1368" t="s">
        <v>6289</v>
      </c>
      <c r="B1368">
        <v>2</v>
      </c>
    </row>
    <row r="1369" spans="1:2" x14ac:dyDescent="0.25">
      <c r="A1369" t="s">
        <v>6290</v>
      </c>
      <c r="B1369">
        <v>3</v>
      </c>
    </row>
    <row r="1370" spans="1:2" x14ac:dyDescent="0.25">
      <c r="A1370" t="s">
        <v>6291</v>
      </c>
      <c r="B1370">
        <v>-2</v>
      </c>
    </row>
    <row r="1371" spans="1:2" x14ac:dyDescent="0.25">
      <c r="A1371" t="s">
        <v>6292</v>
      </c>
      <c r="B1371">
        <v>-2</v>
      </c>
    </row>
    <row r="1372" spans="1:2" x14ac:dyDescent="0.25">
      <c r="A1372" t="s">
        <v>6293</v>
      </c>
      <c r="B1372">
        <v>-1</v>
      </c>
    </row>
    <row r="1373" spans="1:2" x14ac:dyDescent="0.25">
      <c r="A1373" t="s">
        <v>6294</v>
      </c>
      <c r="B1373">
        <v>-2</v>
      </c>
    </row>
    <row r="1374" spans="1:2" x14ac:dyDescent="0.25">
      <c r="A1374" t="s">
        <v>6295</v>
      </c>
      <c r="B1374">
        <v>-2</v>
      </c>
    </row>
    <row r="1375" spans="1:2" x14ac:dyDescent="0.25">
      <c r="A1375" t="s">
        <v>6296</v>
      </c>
      <c r="B1375">
        <v>-2</v>
      </c>
    </row>
    <row r="1376" spans="1:2" x14ac:dyDescent="0.25">
      <c r="A1376" t="s">
        <v>6297</v>
      </c>
      <c r="B1376">
        <v>-2</v>
      </c>
    </row>
    <row r="1377" spans="1:2" x14ac:dyDescent="0.25">
      <c r="A1377" t="s">
        <v>6298</v>
      </c>
      <c r="B1377">
        <v>2</v>
      </c>
    </row>
    <row r="1378" spans="1:2" x14ac:dyDescent="0.25">
      <c r="A1378" t="s">
        <v>6299</v>
      </c>
      <c r="B1378">
        <v>1</v>
      </c>
    </row>
    <row r="1379" spans="1:2" x14ac:dyDescent="0.25">
      <c r="A1379" t="s">
        <v>6300</v>
      </c>
      <c r="B1379">
        <v>1</v>
      </c>
    </row>
    <row r="1380" spans="1:2" x14ac:dyDescent="0.25">
      <c r="A1380" t="s">
        <v>6301</v>
      </c>
      <c r="B1380">
        <v>1</v>
      </c>
    </row>
    <row r="1381" spans="1:2" x14ac:dyDescent="0.25">
      <c r="A1381" t="s">
        <v>6302</v>
      </c>
      <c r="B1381">
        <v>1</v>
      </c>
    </row>
    <row r="1382" spans="1:2" x14ac:dyDescent="0.25">
      <c r="A1382" t="s">
        <v>6303</v>
      </c>
      <c r="B1382">
        <v>1</v>
      </c>
    </row>
    <row r="1383" spans="1:2" x14ac:dyDescent="0.25">
      <c r="A1383" t="s">
        <v>6304</v>
      </c>
      <c r="B1383">
        <v>1</v>
      </c>
    </row>
    <row r="1384" spans="1:2" x14ac:dyDescent="0.25">
      <c r="A1384" t="s">
        <v>6305</v>
      </c>
      <c r="B1384">
        <v>3</v>
      </c>
    </row>
    <row r="1385" spans="1:2" x14ac:dyDescent="0.25">
      <c r="A1385" t="s">
        <v>6306</v>
      </c>
      <c r="B1385">
        <v>-2</v>
      </c>
    </row>
    <row r="1386" spans="1:2" x14ac:dyDescent="0.25">
      <c r="A1386" t="s">
        <v>6307</v>
      </c>
      <c r="B1386">
        <v>-2</v>
      </c>
    </row>
    <row r="1387" spans="1:2" x14ac:dyDescent="0.25">
      <c r="A1387" t="s">
        <v>6308</v>
      </c>
      <c r="B1387">
        <v>-1</v>
      </c>
    </row>
    <row r="1388" spans="1:2" x14ac:dyDescent="0.25">
      <c r="A1388" t="s">
        <v>6309</v>
      </c>
      <c r="B1388">
        <v>-1</v>
      </c>
    </row>
    <row r="1389" spans="1:2" x14ac:dyDescent="0.25">
      <c r="A1389" t="s">
        <v>6310</v>
      </c>
      <c r="B1389">
        <v>-1</v>
      </c>
    </row>
    <row r="1390" spans="1:2" x14ac:dyDescent="0.25">
      <c r="A1390" t="s">
        <v>6311</v>
      </c>
      <c r="B1390">
        <v>-1</v>
      </c>
    </row>
    <row r="1391" spans="1:2" x14ac:dyDescent="0.25">
      <c r="A1391" t="s">
        <v>6312</v>
      </c>
      <c r="B1391">
        <v>1</v>
      </c>
    </row>
    <row r="1392" spans="1:2" x14ac:dyDescent="0.25">
      <c r="A1392" t="s">
        <v>6313</v>
      </c>
      <c r="B1392">
        <v>1</v>
      </c>
    </row>
    <row r="1393" spans="1:2" x14ac:dyDescent="0.25">
      <c r="A1393" t="s">
        <v>6314</v>
      </c>
      <c r="B1393">
        <v>1</v>
      </c>
    </row>
    <row r="1394" spans="1:2" x14ac:dyDescent="0.25">
      <c r="A1394" t="s">
        <v>6315</v>
      </c>
      <c r="B1394">
        <v>-2</v>
      </c>
    </row>
    <row r="1395" spans="1:2" x14ac:dyDescent="0.25">
      <c r="A1395" t="s">
        <v>6316</v>
      </c>
      <c r="B1395">
        <v>-2</v>
      </c>
    </row>
    <row r="1396" spans="1:2" x14ac:dyDescent="0.25">
      <c r="A1396" t="s">
        <v>6317</v>
      </c>
      <c r="B1396">
        <v>-3</v>
      </c>
    </row>
    <row r="1397" spans="1:2" x14ac:dyDescent="0.25">
      <c r="A1397" t="s">
        <v>6318</v>
      </c>
      <c r="B1397">
        <v>-3</v>
      </c>
    </row>
    <row r="1398" spans="1:2" x14ac:dyDescent="0.25">
      <c r="A1398" t="s">
        <v>6319</v>
      </c>
      <c r="B1398">
        <v>-2</v>
      </c>
    </row>
    <row r="1399" spans="1:2" x14ac:dyDescent="0.25">
      <c r="A1399" t="s">
        <v>6320</v>
      </c>
      <c r="B1399">
        <v>-2</v>
      </c>
    </row>
    <row r="1400" spans="1:2" x14ac:dyDescent="0.25">
      <c r="A1400" t="s">
        <v>6321</v>
      </c>
      <c r="B1400">
        <v>4</v>
      </c>
    </row>
    <row r="1401" spans="1:2" x14ac:dyDescent="0.25">
      <c r="A1401" t="s">
        <v>6322</v>
      </c>
      <c r="B1401">
        <v>1</v>
      </c>
    </row>
    <row r="1402" spans="1:2" x14ac:dyDescent="0.25">
      <c r="A1402" t="s">
        <v>6323</v>
      </c>
      <c r="B1402">
        <v>2</v>
      </c>
    </row>
    <row r="1403" spans="1:2" x14ac:dyDescent="0.25">
      <c r="A1403" t="s">
        <v>6324</v>
      </c>
      <c r="B1403">
        <v>2</v>
      </c>
    </row>
    <row r="1404" spans="1:2" x14ac:dyDescent="0.25">
      <c r="A1404" t="s">
        <v>6325</v>
      </c>
      <c r="B1404">
        <v>2</v>
      </c>
    </row>
    <row r="1405" spans="1:2" x14ac:dyDescent="0.25">
      <c r="A1405" t="s">
        <v>6326</v>
      </c>
      <c r="B1405">
        <v>-1</v>
      </c>
    </row>
    <row r="1406" spans="1:2" x14ac:dyDescent="0.25">
      <c r="A1406" t="s">
        <v>6327</v>
      </c>
      <c r="B1406">
        <v>-1</v>
      </c>
    </row>
    <row r="1407" spans="1:2" x14ac:dyDescent="0.25">
      <c r="A1407" t="s">
        <v>6328</v>
      </c>
      <c r="B1407">
        <v>-1</v>
      </c>
    </row>
    <row r="1408" spans="1:2" x14ac:dyDescent="0.25">
      <c r="A1408" t="s">
        <v>6329</v>
      </c>
      <c r="B1408">
        <v>-1</v>
      </c>
    </row>
    <row r="1409" spans="1:2" x14ac:dyDescent="0.25">
      <c r="A1409" t="s">
        <v>6330</v>
      </c>
      <c r="B1409">
        <v>-2</v>
      </c>
    </row>
    <row r="1410" spans="1:2" x14ac:dyDescent="0.25">
      <c r="A1410" t="s">
        <v>6331</v>
      </c>
      <c r="B1410">
        <v>2</v>
      </c>
    </row>
    <row r="1411" spans="1:2" x14ac:dyDescent="0.25">
      <c r="A1411" t="s">
        <v>6332</v>
      </c>
      <c r="B1411">
        <v>-2</v>
      </c>
    </row>
    <row r="1412" spans="1:2" x14ac:dyDescent="0.25">
      <c r="A1412" t="s">
        <v>6333</v>
      </c>
      <c r="B1412">
        <v>-3</v>
      </c>
    </row>
    <row r="1413" spans="1:2" x14ac:dyDescent="0.25">
      <c r="A1413" t="s">
        <v>6334</v>
      </c>
      <c r="B1413">
        <v>-3</v>
      </c>
    </row>
    <row r="1414" spans="1:2" x14ac:dyDescent="0.25">
      <c r="A1414" t="s">
        <v>6335</v>
      </c>
      <c r="B1414">
        <v>-3</v>
      </c>
    </row>
    <row r="1415" spans="1:2" x14ac:dyDescent="0.25">
      <c r="A1415" t="s">
        <v>6336</v>
      </c>
      <c r="B1415">
        <v>-3</v>
      </c>
    </row>
    <row r="1416" spans="1:2" x14ac:dyDescent="0.25">
      <c r="A1416" t="s">
        <v>6337</v>
      </c>
      <c r="B1416">
        <v>-2</v>
      </c>
    </row>
    <row r="1417" spans="1:2" x14ac:dyDescent="0.25">
      <c r="A1417" t="s">
        <v>6338</v>
      </c>
      <c r="B1417">
        <v>-2</v>
      </c>
    </row>
    <row r="1418" spans="1:2" x14ac:dyDescent="0.25">
      <c r="A1418" t="s">
        <v>6339</v>
      </c>
      <c r="B1418">
        <v>-2</v>
      </c>
    </row>
    <row r="1419" spans="1:2" x14ac:dyDescent="0.25">
      <c r="A1419" t="s">
        <v>6340</v>
      </c>
      <c r="B1419">
        <v>-2</v>
      </c>
    </row>
    <row r="1420" spans="1:2" x14ac:dyDescent="0.25">
      <c r="A1420" t="s">
        <v>6341</v>
      </c>
      <c r="B1420">
        <v>-1</v>
      </c>
    </row>
    <row r="1421" spans="1:2" x14ac:dyDescent="0.25">
      <c r="A1421" t="s">
        <v>6342</v>
      </c>
      <c r="B1421">
        <v>-1</v>
      </c>
    </row>
    <row r="1422" spans="1:2" x14ac:dyDescent="0.25">
      <c r="A1422" t="s">
        <v>6343</v>
      </c>
      <c r="B1422">
        <v>-1</v>
      </c>
    </row>
    <row r="1423" spans="1:2" x14ac:dyDescent="0.25">
      <c r="A1423" t="s">
        <v>6344</v>
      </c>
      <c r="B1423">
        <v>-1</v>
      </c>
    </row>
    <row r="1424" spans="1:2" x14ac:dyDescent="0.25">
      <c r="A1424" t="s">
        <v>6345</v>
      </c>
      <c r="B1424">
        <v>-1</v>
      </c>
    </row>
    <row r="1425" spans="1:2" x14ac:dyDescent="0.25">
      <c r="A1425" t="s">
        <v>6346</v>
      </c>
      <c r="B1425">
        <v>-3</v>
      </c>
    </row>
    <row r="1426" spans="1:2" x14ac:dyDescent="0.25">
      <c r="A1426" t="s">
        <v>6347</v>
      </c>
      <c r="B1426">
        <v>-3</v>
      </c>
    </row>
    <row r="1427" spans="1:2" x14ac:dyDescent="0.25">
      <c r="A1427" t="s">
        <v>6348</v>
      </c>
      <c r="B1427">
        <v>-3</v>
      </c>
    </row>
    <row r="1428" spans="1:2" x14ac:dyDescent="0.25">
      <c r="A1428" t="s">
        <v>6349</v>
      </c>
      <c r="B1428">
        <v>-3</v>
      </c>
    </row>
    <row r="1429" spans="1:2" x14ac:dyDescent="0.25">
      <c r="A1429" t="s">
        <v>6350</v>
      </c>
      <c r="B1429">
        <v>-3</v>
      </c>
    </row>
    <row r="1430" spans="1:2" x14ac:dyDescent="0.25">
      <c r="A1430" t="s">
        <v>6351</v>
      </c>
      <c r="B1430">
        <v>-3</v>
      </c>
    </row>
    <row r="1431" spans="1:2" x14ac:dyDescent="0.25">
      <c r="A1431" t="s">
        <v>6352</v>
      </c>
      <c r="B1431">
        <v>3</v>
      </c>
    </row>
    <row r="1432" spans="1:2" x14ac:dyDescent="0.25">
      <c r="A1432" t="s">
        <v>6353</v>
      </c>
      <c r="B1432">
        <v>3</v>
      </c>
    </row>
    <row r="1433" spans="1:2" x14ac:dyDescent="0.25">
      <c r="A1433" t="s">
        <v>6354</v>
      </c>
      <c r="B1433">
        <v>3</v>
      </c>
    </row>
    <row r="1434" spans="1:2" x14ac:dyDescent="0.25">
      <c r="A1434" t="s">
        <v>6355</v>
      </c>
      <c r="B1434">
        <v>3</v>
      </c>
    </row>
    <row r="1435" spans="1:2" x14ac:dyDescent="0.25">
      <c r="A1435" t="s">
        <v>6356</v>
      </c>
      <c r="B1435">
        <v>3</v>
      </c>
    </row>
    <row r="1436" spans="1:2" x14ac:dyDescent="0.25">
      <c r="A1436" t="s">
        <v>6357</v>
      </c>
      <c r="B1436">
        <v>2</v>
      </c>
    </row>
    <row r="1437" spans="1:2" x14ac:dyDescent="0.25">
      <c r="A1437" t="s">
        <v>6358</v>
      </c>
      <c r="B1437">
        <v>-1</v>
      </c>
    </row>
    <row r="1438" spans="1:2" x14ac:dyDescent="0.25">
      <c r="A1438" t="s">
        <v>6359</v>
      </c>
      <c r="B1438">
        <v>3</v>
      </c>
    </row>
    <row r="1439" spans="1:2" x14ac:dyDescent="0.25">
      <c r="A1439" t="s">
        <v>6360</v>
      </c>
      <c r="B1439">
        <v>3</v>
      </c>
    </row>
    <row r="1440" spans="1:2" x14ac:dyDescent="0.25">
      <c r="A1440" t="s">
        <v>6361</v>
      </c>
      <c r="B1440">
        <v>3</v>
      </c>
    </row>
    <row r="1441" spans="1:2" x14ac:dyDescent="0.25">
      <c r="A1441" t="s">
        <v>6362</v>
      </c>
      <c r="B1441">
        <v>3</v>
      </c>
    </row>
    <row r="1442" spans="1:2" x14ac:dyDescent="0.25">
      <c r="A1442" t="s">
        <v>6363</v>
      </c>
      <c r="B1442">
        <v>3</v>
      </c>
    </row>
    <row r="1443" spans="1:2" x14ac:dyDescent="0.25">
      <c r="A1443" t="s">
        <v>6364</v>
      </c>
      <c r="B1443">
        <v>-2</v>
      </c>
    </row>
    <row r="1444" spans="1:2" x14ac:dyDescent="0.25">
      <c r="A1444" t="s">
        <v>6365</v>
      </c>
      <c r="B1444">
        <v>-3</v>
      </c>
    </row>
    <row r="1445" spans="1:2" x14ac:dyDescent="0.25">
      <c r="A1445" t="s">
        <v>6366</v>
      </c>
      <c r="B1445">
        <v>-3</v>
      </c>
    </row>
    <row r="1446" spans="1:2" x14ac:dyDescent="0.25">
      <c r="A1446" t="s">
        <v>6367</v>
      </c>
      <c r="B1446">
        <v>-1</v>
      </c>
    </row>
    <row r="1447" spans="1:2" x14ac:dyDescent="0.25">
      <c r="A1447" t="s">
        <v>6368</v>
      </c>
      <c r="B1447">
        <v>-1</v>
      </c>
    </row>
    <row r="1448" spans="1:2" x14ac:dyDescent="0.25">
      <c r="A1448" t="s">
        <v>6369</v>
      </c>
      <c r="B1448">
        <v>-1</v>
      </c>
    </row>
    <row r="1449" spans="1:2" x14ac:dyDescent="0.25">
      <c r="A1449" t="s">
        <v>6370</v>
      </c>
      <c r="B1449">
        <v>-3</v>
      </c>
    </row>
    <row r="1450" spans="1:2" x14ac:dyDescent="0.25">
      <c r="A1450" t="s">
        <v>6371</v>
      </c>
      <c r="B1450">
        <v>-3</v>
      </c>
    </row>
    <row r="1451" spans="1:2" x14ac:dyDescent="0.25">
      <c r="A1451" t="s">
        <v>6372</v>
      </c>
      <c r="B1451">
        <v>-3</v>
      </c>
    </row>
    <row r="1452" spans="1:2" x14ac:dyDescent="0.25">
      <c r="A1452" t="s">
        <v>6373</v>
      </c>
      <c r="B1452">
        <v>-3</v>
      </c>
    </row>
    <row r="1453" spans="1:2" x14ac:dyDescent="0.25">
      <c r="A1453" t="s">
        <v>6374</v>
      </c>
      <c r="B1453">
        <v>-1</v>
      </c>
    </row>
    <row r="1454" spans="1:2" x14ac:dyDescent="0.25">
      <c r="A1454" t="s">
        <v>6375</v>
      </c>
      <c r="B1454">
        <v>-1</v>
      </c>
    </row>
    <row r="1455" spans="1:2" x14ac:dyDescent="0.25">
      <c r="A1455" t="s">
        <v>6376</v>
      </c>
      <c r="B1455">
        <v>-1</v>
      </c>
    </row>
    <row r="1456" spans="1:2" x14ac:dyDescent="0.25">
      <c r="A1456" t="s">
        <v>6377</v>
      </c>
      <c r="B1456">
        <v>-1</v>
      </c>
    </row>
    <row r="1457" spans="1:2" x14ac:dyDescent="0.25">
      <c r="A1457" t="s">
        <v>6378</v>
      </c>
      <c r="B1457">
        <v>3</v>
      </c>
    </row>
    <row r="1458" spans="1:2" x14ac:dyDescent="0.25">
      <c r="A1458" t="s">
        <v>6379</v>
      </c>
      <c r="B1458">
        <v>3</v>
      </c>
    </row>
    <row r="1459" spans="1:2" x14ac:dyDescent="0.25">
      <c r="A1459" t="s">
        <v>6380</v>
      </c>
      <c r="B1459">
        <v>3</v>
      </c>
    </row>
    <row r="1460" spans="1:2" x14ac:dyDescent="0.25">
      <c r="A1460" t="s">
        <v>6381</v>
      </c>
      <c r="B1460">
        <v>4</v>
      </c>
    </row>
    <row r="1461" spans="1:2" x14ac:dyDescent="0.25">
      <c r="A1461" t="s">
        <v>6382</v>
      </c>
      <c r="B1461">
        <v>4</v>
      </c>
    </row>
    <row r="1462" spans="1:2" x14ac:dyDescent="0.25">
      <c r="A1462" t="s">
        <v>6383</v>
      </c>
      <c r="B1462">
        <v>1</v>
      </c>
    </row>
    <row r="1463" spans="1:2" x14ac:dyDescent="0.25">
      <c r="A1463" t="s">
        <v>6384</v>
      </c>
      <c r="B1463">
        <v>1</v>
      </c>
    </row>
    <row r="1464" spans="1:2" x14ac:dyDescent="0.25">
      <c r="A1464" t="s">
        <v>6385</v>
      </c>
      <c r="B1464">
        <v>2</v>
      </c>
    </row>
    <row r="1465" spans="1:2" x14ac:dyDescent="0.25">
      <c r="A1465" t="s">
        <v>6386</v>
      </c>
      <c r="B1465">
        <v>2</v>
      </c>
    </row>
    <row r="1466" spans="1:2" x14ac:dyDescent="0.25">
      <c r="A1466" t="s">
        <v>6387</v>
      </c>
      <c r="B1466">
        <v>-2</v>
      </c>
    </row>
    <row r="1467" spans="1:2" x14ac:dyDescent="0.25">
      <c r="A1467" t="s">
        <v>6388</v>
      </c>
      <c r="B1467">
        <v>3</v>
      </c>
    </row>
    <row r="1468" spans="1:2" x14ac:dyDescent="0.25">
      <c r="A1468" t="s">
        <v>6389</v>
      </c>
      <c r="B1468">
        <v>-3</v>
      </c>
    </row>
    <row r="1469" spans="1:2" x14ac:dyDescent="0.25">
      <c r="A1469" t="s">
        <v>6390</v>
      </c>
      <c r="B1469">
        <v>1</v>
      </c>
    </row>
    <row r="1470" spans="1:2" x14ac:dyDescent="0.25">
      <c r="A1470" t="s">
        <v>6391</v>
      </c>
      <c r="B1470">
        <v>-2</v>
      </c>
    </row>
    <row r="1471" spans="1:2" x14ac:dyDescent="0.25">
      <c r="A1471" t="s">
        <v>6392</v>
      </c>
      <c r="B1471">
        <v>-2</v>
      </c>
    </row>
    <row r="1472" spans="1:2" x14ac:dyDescent="0.25">
      <c r="A1472" t="s">
        <v>6393</v>
      </c>
      <c r="B1472">
        <v>-2</v>
      </c>
    </row>
    <row r="1473" spans="1:2" x14ac:dyDescent="0.25">
      <c r="A1473" t="s">
        <v>6394</v>
      </c>
      <c r="B1473">
        <v>2</v>
      </c>
    </row>
    <row r="1474" spans="1:2" x14ac:dyDescent="0.25">
      <c r="A1474" t="s">
        <v>6395</v>
      </c>
      <c r="B1474">
        <v>3</v>
      </c>
    </row>
    <row r="1475" spans="1:2" x14ac:dyDescent="0.25">
      <c r="A1475" t="s">
        <v>6396</v>
      </c>
      <c r="B1475">
        <v>-2</v>
      </c>
    </row>
    <row r="1476" spans="1:2" x14ac:dyDescent="0.25">
      <c r="A1476" t="s">
        <v>6397</v>
      </c>
      <c r="B1476">
        <v>-2</v>
      </c>
    </row>
    <row r="1477" spans="1:2" x14ac:dyDescent="0.25">
      <c r="A1477" t="s">
        <v>6398</v>
      </c>
      <c r="B1477">
        <v>2</v>
      </c>
    </row>
    <row r="1478" spans="1:2" x14ac:dyDescent="0.25">
      <c r="A1478" t="s">
        <v>6399</v>
      </c>
      <c r="B1478">
        <v>-2</v>
      </c>
    </row>
    <row r="1479" spans="1:2" x14ac:dyDescent="0.25">
      <c r="A1479" t="s">
        <v>6400</v>
      </c>
      <c r="B1479">
        <v>4</v>
      </c>
    </row>
    <row r="1480" spans="1:2" x14ac:dyDescent="0.25">
      <c r="A1480" t="s">
        <v>6401</v>
      </c>
      <c r="B1480">
        <v>3</v>
      </c>
    </row>
    <row r="1481" spans="1:2" x14ac:dyDescent="0.25">
      <c r="A1481" t="s">
        <v>6402</v>
      </c>
      <c r="B1481">
        <v>3</v>
      </c>
    </row>
    <row r="1482" spans="1:2" x14ac:dyDescent="0.25">
      <c r="A1482" t="s">
        <v>6403</v>
      </c>
      <c r="B1482">
        <v>3</v>
      </c>
    </row>
    <row r="1483" spans="1:2" x14ac:dyDescent="0.25">
      <c r="A1483" t="s">
        <v>6404</v>
      </c>
      <c r="B1483">
        <v>-2</v>
      </c>
    </row>
    <row r="1484" spans="1:2" x14ac:dyDescent="0.25">
      <c r="A1484" t="s">
        <v>6405</v>
      </c>
      <c r="B1484">
        <v>-2</v>
      </c>
    </row>
    <row r="1485" spans="1:2" x14ac:dyDescent="0.25">
      <c r="A1485" t="s">
        <v>6406</v>
      </c>
      <c r="B1485">
        <v>-2</v>
      </c>
    </row>
    <row r="1486" spans="1:2" x14ac:dyDescent="0.25">
      <c r="A1486" t="s">
        <v>6407</v>
      </c>
      <c r="B1486">
        <v>-2</v>
      </c>
    </row>
    <row r="1487" spans="1:2" x14ac:dyDescent="0.25">
      <c r="A1487" t="s">
        <v>6408</v>
      </c>
      <c r="B1487">
        <v>-1</v>
      </c>
    </row>
    <row r="1488" spans="1:2" x14ac:dyDescent="0.25">
      <c r="A1488" t="s">
        <v>6409</v>
      </c>
      <c r="B1488">
        <v>-1</v>
      </c>
    </row>
    <row r="1489" spans="1:2" x14ac:dyDescent="0.25">
      <c r="A1489" t="s">
        <v>6410</v>
      </c>
      <c r="B1489">
        <v>-3</v>
      </c>
    </row>
    <row r="1490" spans="1:2" x14ac:dyDescent="0.25">
      <c r="A1490" t="s">
        <v>6411</v>
      </c>
      <c r="B1490">
        <v>-2</v>
      </c>
    </row>
    <row r="1491" spans="1:2" x14ac:dyDescent="0.25">
      <c r="A1491" t="s">
        <v>6412</v>
      </c>
      <c r="B1491">
        <v>-2</v>
      </c>
    </row>
    <row r="1492" spans="1:2" x14ac:dyDescent="0.25">
      <c r="A1492" t="s">
        <v>6413</v>
      </c>
      <c r="B1492">
        <v>-2</v>
      </c>
    </row>
    <row r="1493" spans="1:2" x14ac:dyDescent="0.25">
      <c r="A1493" t="s">
        <v>6414</v>
      </c>
      <c r="B1493">
        <v>-2</v>
      </c>
    </row>
    <row r="1494" spans="1:2" x14ac:dyDescent="0.25">
      <c r="A1494" t="s">
        <v>6415</v>
      </c>
      <c r="B1494">
        <v>-2</v>
      </c>
    </row>
    <row r="1495" spans="1:2" x14ac:dyDescent="0.25">
      <c r="A1495" t="s">
        <v>6416</v>
      </c>
      <c r="B1495">
        <v>-3</v>
      </c>
    </row>
    <row r="1496" spans="1:2" x14ac:dyDescent="0.25">
      <c r="A1496" t="s">
        <v>6417</v>
      </c>
      <c r="B1496">
        <v>-1</v>
      </c>
    </row>
    <row r="1497" spans="1:2" x14ac:dyDescent="0.25">
      <c r="A1497" t="s">
        <v>6418</v>
      </c>
      <c r="B1497">
        <v>-2</v>
      </c>
    </row>
    <row r="1498" spans="1:2" x14ac:dyDescent="0.25">
      <c r="A1498" t="s">
        <v>6419</v>
      </c>
      <c r="B1498">
        <v>-2</v>
      </c>
    </row>
    <row r="1499" spans="1:2" x14ac:dyDescent="0.25">
      <c r="A1499" t="s">
        <v>6420</v>
      </c>
      <c r="B1499">
        <v>-2</v>
      </c>
    </row>
    <row r="1500" spans="1:2" x14ac:dyDescent="0.25">
      <c r="A1500" t="s">
        <v>6421</v>
      </c>
      <c r="B1500">
        <v>-2</v>
      </c>
    </row>
    <row r="1501" spans="1:2" x14ac:dyDescent="0.25">
      <c r="A1501" t="s">
        <v>6422</v>
      </c>
      <c r="B1501">
        <v>-2</v>
      </c>
    </row>
    <row r="1502" spans="1:2" x14ac:dyDescent="0.25">
      <c r="A1502" t="s">
        <v>6423</v>
      </c>
      <c r="B1502">
        <v>-2</v>
      </c>
    </row>
    <row r="1503" spans="1:2" x14ac:dyDescent="0.25">
      <c r="A1503" t="s">
        <v>6424</v>
      </c>
      <c r="B1503">
        <v>-2</v>
      </c>
    </row>
    <row r="1504" spans="1:2" x14ac:dyDescent="0.25">
      <c r="A1504" t="s">
        <v>6425</v>
      </c>
      <c r="B1504">
        <v>-2</v>
      </c>
    </row>
    <row r="1505" spans="1:2" x14ac:dyDescent="0.25">
      <c r="A1505" t="s">
        <v>6426</v>
      </c>
      <c r="B1505">
        <v>-2</v>
      </c>
    </row>
    <row r="1506" spans="1:2" x14ac:dyDescent="0.25">
      <c r="A1506" t="s">
        <v>6427</v>
      </c>
      <c r="B1506">
        <v>-2</v>
      </c>
    </row>
    <row r="1507" spans="1:2" x14ac:dyDescent="0.25">
      <c r="A1507" t="s">
        <v>6428</v>
      </c>
      <c r="B1507">
        <v>-2</v>
      </c>
    </row>
    <row r="1508" spans="1:2" x14ac:dyDescent="0.25">
      <c r="A1508" t="s">
        <v>6429</v>
      </c>
      <c r="B1508">
        <v>-2</v>
      </c>
    </row>
    <row r="1509" spans="1:2" x14ac:dyDescent="0.25">
      <c r="A1509" t="s">
        <v>6430</v>
      </c>
      <c r="B1509">
        <v>-2</v>
      </c>
    </row>
    <row r="1510" spans="1:2" x14ac:dyDescent="0.25">
      <c r="A1510" t="s">
        <v>6431</v>
      </c>
      <c r="B1510">
        <v>-2</v>
      </c>
    </row>
    <row r="1511" spans="1:2" x14ac:dyDescent="0.25">
      <c r="A1511" t="s">
        <v>6432</v>
      </c>
      <c r="B1511">
        <v>-2</v>
      </c>
    </row>
    <row r="1512" spans="1:2" x14ac:dyDescent="0.25">
      <c r="A1512" t="s">
        <v>6433</v>
      </c>
      <c r="B1512">
        <v>-2</v>
      </c>
    </row>
    <row r="1513" spans="1:2" x14ac:dyDescent="0.25">
      <c r="A1513" t="s">
        <v>6434</v>
      </c>
      <c r="B1513">
        <v>-2</v>
      </c>
    </row>
    <row r="1514" spans="1:2" x14ac:dyDescent="0.25">
      <c r="A1514" t="s">
        <v>6435</v>
      </c>
      <c r="B1514">
        <v>-2</v>
      </c>
    </row>
    <row r="1515" spans="1:2" x14ac:dyDescent="0.25">
      <c r="A1515" t="s">
        <v>6436</v>
      </c>
      <c r="B1515">
        <v>-2</v>
      </c>
    </row>
    <row r="1516" spans="1:2" x14ac:dyDescent="0.25">
      <c r="A1516" t="s">
        <v>6437</v>
      </c>
      <c r="B1516">
        <v>-2</v>
      </c>
    </row>
    <row r="1517" spans="1:2" x14ac:dyDescent="0.25">
      <c r="A1517" t="s">
        <v>6438</v>
      </c>
      <c r="B1517">
        <v>-2</v>
      </c>
    </row>
    <row r="1518" spans="1:2" x14ac:dyDescent="0.25">
      <c r="A1518" t="s">
        <v>6439</v>
      </c>
      <c r="B1518">
        <v>-2</v>
      </c>
    </row>
    <row r="1519" spans="1:2" x14ac:dyDescent="0.25">
      <c r="A1519" t="s">
        <v>6440</v>
      </c>
      <c r="B1519">
        <v>-2</v>
      </c>
    </row>
    <row r="1520" spans="1:2" x14ac:dyDescent="0.25">
      <c r="A1520" t="s">
        <v>6441</v>
      </c>
      <c r="B1520">
        <v>-2</v>
      </c>
    </row>
    <row r="1521" spans="1:2" x14ac:dyDescent="0.25">
      <c r="A1521" t="s">
        <v>6442</v>
      </c>
      <c r="B1521">
        <v>-2</v>
      </c>
    </row>
    <row r="1522" spans="1:2" x14ac:dyDescent="0.25">
      <c r="A1522" t="s">
        <v>6443</v>
      </c>
      <c r="B1522">
        <v>-2</v>
      </c>
    </row>
    <row r="1523" spans="1:2" x14ac:dyDescent="0.25">
      <c r="A1523" t="s">
        <v>6444</v>
      </c>
      <c r="B1523">
        <v>-1</v>
      </c>
    </row>
    <row r="1524" spans="1:2" x14ac:dyDescent="0.25">
      <c r="A1524" t="s">
        <v>6445</v>
      </c>
      <c r="B1524">
        <v>-1</v>
      </c>
    </row>
    <row r="1525" spans="1:2" x14ac:dyDescent="0.25">
      <c r="A1525" t="s">
        <v>6446</v>
      </c>
      <c r="B1525">
        <v>-1</v>
      </c>
    </row>
    <row r="1526" spans="1:2" x14ac:dyDescent="0.25">
      <c r="A1526" t="s">
        <v>6447</v>
      </c>
      <c r="B1526">
        <v>-3</v>
      </c>
    </row>
    <row r="1527" spans="1:2" x14ac:dyDescent="0.25">
      <c r="A1527" t="s">
        <v>6448</v>
      </c>
      <c r="B1527">
        <v>-5</v>
      </c>
    </row>
    <row r="1528" spans="1:2" x14ac:dyDescent="0.25">
      <c r="A1528" t="s">
        <v>6449</v>
      </c>
      <c r="B1528">
        <v>-5</v>
      </c>
    </row>
    <row r="1529" spans="1:2" x14ac:dyDescent="0.25">
      <c r="A1529" t="s">
        <v>6450</v>
      </c>
      <c r="B1529">
        <v>1</v>
      </c>
    </row>
    <row r="1530" spans="1:2" x14ac:dyDescent="0.25">
      <c r="A1530" t="s">
        <v>6451</v>
      </c>
      <c r="B1530">
        <v>2</v>
      </c>
    </row>
    <row r="1531" spans="1:2" x14ac:dyDescent="0.25">
      <c r="A1531" t="s">
        <v>6452</v>
      </c>
      <c r="B1531">
        <v>2</v>
      </c>
    </row>
    <row r="1532" spans="1:2" x14ac:dyDescent="0.25">
      <c r="A1532" t="s">
        <v>6453</v>
      </c>
      <c r="B1532">
        <v>1</v>
      </c>
    </row>
    <row r="1533" spans="1:2" x14ac:dyDescent="0.25">
      <c r="A1533" t="s">
        <v>6454</v>
      </c>
      <c r="B1533">
        <v>-2</v>
      </c>
    </row>
    <row r="1534" spans="1:2" x14ac:dyDescent="0.25">
      <c r="A1534" t="s">
        <v>6455</v>
      </c>
      <c r="B1534">
        <v>-2</v>
      </c>
    </row>
    <row r="1535" spans="1:2" x14ac:dyDescent="0.25">
      <c r="A1535" t="s">
        <v>6456</v>
      </c>
      <c r="B1535">
        <v>-2</v>
      </c>
    </row>
    <row r="1536" spans="1:2" x14ac:dyDescent="0.25">
      <c r="A1536" t="s">
        <v>6457</v>
      </c>
      <c r="B1536">
        <v>-2</v>
      </c>
    </row>
    <row r="1537" spans="1:2" x14ac:dyDescent="0.25">
      <c r="A1537" t="s">
        <v>6458</v>
      </c>
      <c r="B1537">
        <v>-2</v>
      </c>
    </row>
    <row r="1538" spans="1:2" x14ac:dyDescent="0.25">
      <c r="A1538" t="s">
        <v>6459</v>
      </c>
      <c r="B1538">
        <v>-2</v>
      </c>
    </row>
    <row r="1539" spans="1:2" x14ac:dyDescent="0.25">
      <c r="A1539" t="s">
        <v>6460</v>
      </c>
      <c r="B1539">
        <v>-2</v>
      </c>
    </row>
    <row r="1540" spans="1:2" x14ac:dyDescent="0.25">
      <c r="A1540" t="s">
        <v>6461</v>
      </c>
      <c r="B1540">
        <v>-2</v>
      </c>
    </row>
    <row r="1541" spans="1:2" x14ac:dyDescent="0.25">
      <c r="A1541" t="s">
        <v>6462</v>
      </c>
      <c r="B1541">
        <v>-3</v>
      </c>
    </row>
    <row r="1542" spans="1:2" x14ac:dyDescent="0.25">
      <c r="A1542" t="s">
        <v>6463</v>
      </c>
      <c r="B1542">
        <v>-3</v>
      </c>
    </row>
    <row r="1543" spans="1:2" x14ac:dyDescent="0.25">
      <c r="A1543" t="s">
        <v>6464</v>
      </c>
      <c r="B1543">
        <v>-2</v>
      </c>
    </row>
    <row r="1544" spans="1:2" x14ac:dyDescent="0.25">
      <c r="A1544" t="s">
        <v>6465</v>
      </c>
      <c r="B1544">
        <v>-1</v>
      </c>
    </row>
    <row r="1545" spans="1:2" x14ac:dyDescent="0.25">
      <c r="A1545" t="s">
        <v>6466</v>
      </c>
      <c r="B1545">
        <v>-2</v>
      </c>
    </row>
    <row r="1546" spans="1:2" x14ac:dyDescent="0.25">
      <c r="A1546" t="s">
        <v>6467</v>
      </c>
      <c r="B1546">
        <v>-3</v>
      </c>
    </row>
    <row r="1547" spans="1:2" x14ac:dyDescent="0.25">
      <c r="A1547" t="s">
        <v>6468</v>
      </c>
      <c r="B1547">
        <v>1</v>
      </c>
    </row>
    <row r="1548" spans="1:2" x14ac:dyDescent="0.25">
      <c r="A1548" t="s">
        <v>6469</v>
      </c>
      <c r="B1548">
        <v>-2</v>
      </c>
    </row>
    <row r="1549" spans="1:2" x14ac:dyDescent="0.25">
      <c r="A1549" t="s">
        <v>6470</v>
      </c>
      <c r="B1549">
        <v>-2</v>
      </c>
    </row>
    <row r="1550" spans="1:2" x14ac:dyDescent="0.25">
      <c r="A1550" t="s">
        <v>6471</v>
      </c>
      <c r="B1550">
        <v>-2</v>
      </c>
    </row>
    <row r="1551" spans="1:2" x14ac:dyDescent="0.25">
      <c r="A1551" t="s">
        <v>6472</v>
      </c>
      <c r="B1551">
        <v>-2</v>
      </c>
    </row>
    <row r="1552" spans="1:2" x14ac:dyDescent="0.25">
      <c r="A1552" t="s">
        <v>6473</v>
      </c>
      <c r="B1552">
        <v>-2</v>
      </c>
    </row>
    <row r="1553" spans="1:2" x14ac:dyDescent="0.25">
      <c r="A1553" t="s">
        <v>6474</v>
      </c>
      <c r="B1553">
        <v>-2</v>
      </c>
    </row>
    <row r="1554" spans="1:2" x14ac:dyDescent="0.25">
      <c r="A1554" t="s">
        <v>6475</v>
      </c>
      <c r="B1554">
        <v>-2</v>
      </c>
    </row>
    <row r="1555" spans="1:2" x14ac:dyDescent="0.25">
      <c r="A1555" t="s">
        <v>6476</v>
      </c>
      <c r="B1555">
        <v>-1</v>
      </c>
    </row>
    <row r="1556" spans="1:2" x14ac:dyDescent="0.25">
      <c r="A1556" t="s">
        <v>6477</v>
      </c>
      <c r="B1556">
        <v>-2</v>
      </c>
    </row>
    <row r="1557" spans="1:2" x14ac:dyDescent="0.25">
      <c r="A1557" t="s">
        <v>6478</v>
      </c>
      <c r="B1557">
        <v>-2</v>
      </c>
    </row>
    <row r="1558" spans="1:2" x14ac:dyDescent="0.25">
      <c r="A1558" t="s">
        <v>6479</v>
      </c>
      <c r="B1558">
        <v>3</v>
      </c>
    </row>
    <row r="1559" spans="1:2" x14ac:dyDescent="0.25">
      <c r="A1559" t="s">
        <v>6480</v>
      </c>
      <c r="B1559">
        <v>2</v>
      </c>
    </row>
    <row r="1560" spans="1:2" x14ac:dyDescent="0.25">
      <c r="A1560" t="s">
        <v>6481</v>
      </c>
      <c r="B1560">
        <v>-1</v>
      </c>
    </row>
    <row r="1561" spans="1:2" x14ac:dyDescent="0.25">
      <c r="A1561" t="s">
        <v>6482</v>
      </c>
      <c r="B1561">
        <v>2</v>
      </c>
    </row>
    <row r="1562" spans="1:2" x14ac:dyDescent="0.25">
      <c r="A1562" t="s">
        <v>6483</v>
      </c>
      <c r="B1562">
        <v>-1</v>
      </c>
    </row>
    <row r="1563" spans="1:2" x14ac:dyDescent="0.25">
      <c r="A1563" t="s">
        <v>6484</v>
      </c>
      <c r="B1563">
        <v>-2</v>
      </c>
    </row>
    <row r="1564" spans="1:2" x14ac:dyDescent="0.25">
      <c r="A1564" t="s">
        <v>6485</v>
      </c>
      <c r="B1564">
        <v>-2</v>
      </c>
    </row>
    <row r="1565" spans="1:2" x14ac:dyDescent="0.25">
      <c r="A1565" t="s">
        <v>6486</v>
      </c>
      <c r="B1565">
        <v>-2</v>
      </c>
    </row>
    <row r="1566" spans="1:2" x14ac:dyDescent="0.25">
      <c r="A1566" t="s">
        <v>6487</v>
      </c>
      <c r="B1566">
        <v>-2</v>
      </c>
    </row>
    <row r="1567" spans="1:2" x14ac:dyDescent="0.25">
      <c r="A1567" t="s">
        <v>6488</v>
      </c>
      <c r="B1567">
        <v>2</v>
      </c>
    </row>
    <row r="1568" spans="1:2" x14ac:dyDescent="0.25">
      <c r="A1568" t="s">
        <v>6489</v>
      </c>
      <c r="B1568">
        <v>-1</v>
      </c>
    </row>
    <row r="1569" spans="1:2" x14ac:dyDescent="0.25">
      <c r="A1569" t="s">
        <v>6490</v>
      </c>
      <c r="B1569">
        <v>-3</v>
      </c>
    </row>
    <row r="1570" spans="1:2" x14ac:dyDescent="0.25">
      <c r="A1570" t="s">
        <v>6491</v>
      </c>
      <c r="B1570">
        <v>-2</v>
      </c>
    </row>
    <row r="1571" spans="1:2" x14ac:dyDescent="0.25">
      <c r="A1571" t="s">
        <v>6492</v>
      </c>
      <c r="B1571">
        <v>-2</v>
      </c>
    </row>
    <row r="1572" spans="1:2" x14ac:dyDescent="0.25">
      <c r="A1572" t="s">
        <v>6493</v>
      </c>
      <c r="B1572">
        <v>-3</v>
      </c>
    </row>
    <row r="1573" spans="1:2" x14ac:dyDescent="0.25">
      <c r="A1573" t="s">
        <v>6494</v>
      </c>
      <c r="B1573">
        <v>-2</v>
      </c>
    </row>
    <row r="1574" spans="1:2" x14ac:dyDescent="0.25">
      <c r="A1574" t="s">
        <v>6495</v>
      </c>
      <c r="B1574">
        <v>2</v>
      </c>
    </row>
    <row r="1575" spans="1:2" x14ac:dyDescent="0.25">
      <c r="A1575" t="s">
        <v>6496</v>
      </c>
      <c r="B1575">
        <v>-2</v>
      </c>
    </row>
    <row r="1576" spans="1:2" x14ac:dyDescent="0.25">
      <c r="A1576" t="s">
        <v>6497</v>
      </c>
      <c r="B1576">
        <v>-2</v>
      </c>
    </row>
    <row r="1577" spans="1:2" x14ac:dyDescent="0.25">
      <c r="A1577" t="s">
        <v>6498</v>
      </c>
      <c r="B1577">
        <v>-2</v>
      </c>
    </row>
    <row r="1578" spans="1:2" x14ac:dyDescent="0.25">
      <c r="A1578" t="s">
        <v>6499</v>
      </c>
      <c r="B1578">
        <v>-2</v>
      </c>
    </row>
    <row r="1579" spans="1:2" x14ac:dyDescent="0.25">
      <c r="A1579" t="s">
        <v>6500</v>
      </c>
      <c r="B1579">
        <v>-2</v>
      </c>
    </row>
    <row r="1580" spans="1:2" x14ac:dyDescent="0.25">
      <c r="A1580" t="s">
        <v>6501</v>
      </c>
      <c r="B1580">
        <v>-2</v>
      </c>
    </row>
    <row r="1581" spans="1:2" x14ac:dyDescent="0.25">
      <c r="A1581" t="s">
        <v>6502</v>
      </c>
      <c r="B1581">
        <v>-2</v>
      </c>
    </row>
    <row r="1582" spans="1:2" x14ac:dyDescent="0.25">
      <c r="A1582" t="s">
        <v>6503</v>
      </c>
      <c r="B1582">
        <v>-2</v>
      </c>
    </row>
    <row r="1583" spans="1:2" x14ac:dyDescent="0.25">
      <c r="A1583" t="s">
        <v>6504</v>
      </c>
      <c r="B1583">
        <v>-2</v>
      </c>
    </row>
    <row r="1584" spans="1:2" x14ac:dyDescent="0.25">
      <c r="A1584" t="s">
        <v>6505</v>
      </c>
      <c r="B1584">
        <v>-2</v>
      </c>
    </row>
    <row r="1585" spans="1:2" x14ac:dyDescent="0.25">
      <c r="A1585" t="s">
        <v>6506</v>
      </c>
      <c r="B1585">
        <v>-1</v>
      </c>
    </row>
    <row r="1586" spans="1:2" x14ac:dyDescent="0.25">
      <c r="A1586" t="s">
        <v>6507</v>
      </c>
      <c r="B1586">
        <v>3</v>
      </c>
    </row>
    <row r="1587" spans="1:2" x14ac:dyDescent="0.25">
      <c r="A1587" t="s">
        <v>6508</v>
      </c>
      <c r="B1587">
        <v>2</v>
      </c>
    </row>
    <row r="1588" spans="1:2" x14ac:dyDescent="0.25">
      <c r="A1588" t="s">
        <v>6509</v>
      </c>
      <c r="B1588">
        <v>2</v>
      </c>
    </row>
    <row r="1589" spans="1:2" x14ac:dyDescent="0.25">
      <c r="A1589" t="s">
        <v>6510</v>
      </c>
      <c r="B1589">
        <v>-2</v>
      </c>
    </row>
    <row r="1590" spans="1:2" x14ac:dyDescent="0.25">
      <c r="A1590" t="s">
        <v>6511</v>
      </c>
      <c r="B1590">
        <v>-2</v>
      </c>
    </row>
    <row r="1591" spans="1:2" x14ac:dyDescent="0.25">
      <c r="A1591" t="s">
        <v>6512</v>
      </c>
      <c r="B1591">
        <v>2</v>
      </c>
    </row>
    <row r="1592" spans="1:2" x14ac:dyDescent="0.25">
      <c r="A1592" t="s">
        <v>6513</v>
      </c>
      <c r="B1592">
        <v>2</v>
      </c>
    </row>
    <row r="1593" spans="1:2" x14ac:dyDescent="0.25">
      <c r="A1593" t="s">
        <v>6514</v>
      </c>
      <c r="B1593">
        <v>-2</v>
      </c>
    </row>
    <row r="1594" spans="1:2" x14ac:dyDescent="0.25">
      <c r="A1594" t="s">
        <v>6515</v>
      </c>
      <c r="B1594">
        <v>-2</v>
      </c>
    </row>
    <row r="1595" spans="1:2" x14ac:dyDescent="0.25">
      <c r="A1595" t="s">
        <v>6516</v>
      </c>
      <c r="B1595">
        <v>-2</v>
      </c>
    </row>
    <row r="1596" spans="1:2" x14ac:dyDescent="0.25">
      <c r="A1596" t="s">
        <v>6517</v>
      </c>
      <c r="B1596">
        <v>-3</v>
      </c>
    </row>
    <row r="1597" spans="1:2" x14ac:dyDescent="0.25">
      <c r="A1597" t="s">
        <v>6518</v>
      </c>
      <c r="B1597">
        <v>-3</v>
      </c>
    </row>
    <row r="1598" spans="1:2" x14ac:dyDescent="0.25">
      <c r="A1598" t="s">
        <v>6519</v>
      </c>
      <c r="B1598">
        <v>2</v>
      </c>
    </row>
    <row r="1599" spans="1:2" x14ac:dyDescent="0.25">
      <c r="A1599" t="s">
        <v>6520</v>
      </c>
      <c r="B1599">
        <v>5</v>
      </c>
    </row>
    <row r="1600" spans="1:2" x14ac:dyDescent="0.25">
      <c r="A1600" t="s">
        <v>6521</v>
      </c>
      <c r="B1600">
        <v>4</v>
      </c>
    </row>
    <row r="1601" spans="1:2" x14ac:dyDescent="0.25">
      <c r="A1601" t="s">
        <v>6522</v>
      </c>
      <c r="B1601">
        <v>-1</v>
      </c>
    </row>
    <row r="1602" spans="1:2" x14ac:dyDescent="0.25">
      <c r="A1602" t="s">
        <v>6523</v>
      </c>
      <c r="B1602">
        <v>-1</v>
      </c>
    </row>
    <row r="1603" spans="1:2" x14ac:dyDescent="0.25">
      <c r="A1603" t="s">
        <v>6524</v>
      </c>
      <c r="B1603">
        <v>-2</v>
      </c>
    </row>
    <row r="1604" spans="1:2" x14ac:dyDescent="0.25">
      <c r="A1604" t="s">
        <v>6525</v>
      </c>
      <c r="B1604">
        <v>-2</v>
      </c>
    </row>
    <row r="1605" spans="1:2" x14ac:dyDescent="0.25">
      <c r="A1605" t="s">
        <v>6526</v>
      </c>
      <c r="B1605">
        <v>-2</v>
      </c>
    </row>
    <row r="1606" spans="1:2" x14ac:dyDescent="0.25">
      <c r="A1606" t="s">
        <v>6527</v>
      </c>
      <c r="B1606">
        <v>-2</v>
      </c>
    </row>
    <row r="1607" spans="1:2" x14ac:dyDescent="0.25">
      <c r="A1607" t="s">
        <v>6528</v>
      </c>
      <c r="B1607">
        <v>-2</v>
      </c>
    </row>
    <row r="1608" spans="1:2" x14ac:dyDescent="0.25">
      <c r="A1608" t="s">
        <v>6529</v>
      </c>
      <c r="B1608">
        <v>-2</v>
      </c>
    </row>
    <row r="1609" spans="1:2" x14ac:dyDescent="0.25">
      <c r="A1609" t="s">
        <v>6530</v>
      </c>
      <c r="B1609">
        <v>-2</v>
      </c>
    </row>
    <row r="1610" spans="1:2" x14ac:dyDescent="0.25">
      <c r="A1610" t="s">
        <v>6531</v>
      </c>
      <c r="B1610">
        <v>-2</v>
      </c>
    </row>
    <row r="1611" spans="1:2" x14ac:dyDescent="0.25">
      <c r="A1611" t="s">
        <v>6532</v>
      </c>
      <c r="B1611">
        <v>-2</v>
      </c>
    </row>
    <row r="1612" spans="1:2" x14ac:dyDescent="0.25">
      <c r="A1612" t="s">
        <v>6533</v>
      </c>
      <c r="B1612">
        <v>-2</v>
      </c>
    </row>
    <row r="1613" spans="1:2" x14ac:dyDescent="0.25">
      <c r="A1613" t="s">
        <v>6534</v>
      </c>
      <c r="B1613">
        <v>-2</v>
      </c>
    </row>
    <row r="1614" spans="1:2" x14ac:dyDescent="0.25">
      <c r="A1614" t="s">
        <v>6535</v>
      </c>
      <c r="B1614">
        <v>-2</v>
      </c>
    </row>
    <row r="1615" spans="1:2" x14ac:dyDescent="0.25">
      <c r="A1615" t="s">
        <v>6536</v>
      </c>
      <c r="B1615">
        <v>-2</v>
      </c>
    </row>
    <row r="1616" spans="1:2" x14ac:dyDescent="0.25">
      <c r="A1616" t="s">
        <v>6537</v>
      </c>
      <c r="B1616">
        <v>-1</v>
      </c>
    </row>
    <row r="1617" spans="1:2" x14ac:dyDescent="0.25">
      <c r="A1617" t="s">
        <v>6538</v>
      </c>
      <c r="B1617">
        <v>-1</v>
      </c>
    </row>
    <row r="1618" spans="1:2" x14ac:dyDescent="0.25">
      <c r="A1618" t="s">
        <v>6539</v>
      </c>
      <c r="B1618">
        <v>-2</v>
      </c>
    </row>
    <row r="1619" spans="1:2" x14ac:dyDescent="0.25">
      <c r="A1619" t="s">
        <v>6540</v>
      </c>
      <c r="B1619">
        <v>-2</v>
      </c>
    </row>
    <row r="1620" spans="1:2" x14ac:dyDescent="0.25">
      <c r="A1620" t="s">
        <v>6541</v>
      </c>
      <c r="B1620">
        <v>-3</v>
      </c>
    </row>
    <row r="1621" spans="1:2" x14ac:dyDescent="0.25">
      <c r="A1621" t="s">
        <v>6542</v>
      </c>
      <c r="B1621">
        <v>-3</v>
      </c>
    </row>
    <row r="1622" spans="1:2" x14ac:dyDescent="0.25">
      <c r="A1622" t="s">
        <v>6543</v>
      </c>
      <c r="B1622">
        <v>-3</v>
      </c>
    </row>
    <row r="1623" spans="1:2" x14ac:dyDescent="0.25">
      <c r="A1623" t="s">
        <v>6544</v>
      </c>
      <c r="B1623">
        <v>3</v>
      </c>
    </row>
    <row r="1624" spans="1:2" x14ac:dyDescent="0.25">
      <c r="A1624" t="s">
        <v>6545</v>
      </c>
      <c r="B1624">
        <v>-1</v>
      </c>
    </row>
    <row r="1625" spans="1:2" x14ac:dyDescent="0.25">
      <c r="A1625" t="s">
        <v>6546</v>
      </c>
      <c r="B1625">
        <v>2</v>
      </c>
    </row>
    <row r="1626" spans="1:2" x14ac:dyDescent="0.25">
      <c r="A1626" t="s">
        <v>6547</v>
      </c>
      <c r="B1626">
        <v>2</v>
      </c>
    </row>
    <row r="1627" spans="1:2" x14ac:dyDescent="0.25">
      <c r="A1627" t="s">
        <v>6548</v>
      </c>
      <c r="B1627">
        <v>2</v>
      </c>
    </row>
    <row r="1628" spans="1:2" x14ac:dyDescent="0.25">
      <c r="A1628" t="s">
        <v>6549</v>
      </c>
      <c r="B1628">
        <v>2</v>
      </c>
    </row>
    <row r="1629" spans="1:2" x14ac:dyDescent="0.25">
      <c r="A1629" t="s">
        <v>6550</v>
      </c>
      <c r="B1629">
        <v>-1</v>
      </c>
    </row>
    <row r="1630" spans="1:2" x14ac:dyDescent="0.25">
      <c r="A1630" t="s">
        <v>6551</v>
      </c>
      <c r="B1630">
        <v>2</v>
      </c>
    </row>
    <row r="1631" spans="1:2" x14ac:dyDescent="0.25">
      <c r="A1631" t="s">
        <v>6552</v>
      </c>
      <c r="B1631">
        <v>-1</v>
      </c>
    </row>
    <row r="1632" spans="1:2" x14ac:dyDescent="0.25">
      <c r="A1632" t="s">
        <v>6553</v>
      </c>
      <c r="B1632">
        <v>-1</v>
      </c>
    </row>
    <row r="1633" spans="1:2" x14ac:dyDescent="0.25">
      <c r="A1633" t="s">
        <v>6554</v>
      </c>
      <c r="B1633">
        <v>-2</v>
      </c>
    </row>
    <row r="1634" spans="1:2" x14ac:dyDescent="0.25">
      <c r="A1634" t="s">
        <v>6555</v>
      </c>
      <c r="B1634">
        <v>-1</v>
      </c>
    </row>
    <row r="1635" spans="1:2" x14ac:dyDescent="0.25">
      <c r="A1635" t="s">
        <v>6556</v>
      </c>
      <c r="B1635">
        <v>2</v>
      </c>
    </row>
    <row r="1636" spans="1:2" x14ac:dyDescent="0.25">
      <c r="A1636" t="s">
        <v>6557</v>
      </c>
      <c r="B1636">
        <v>2</v>
      </c>
    </row>
    <row r="1637" spans="1:2" x14ac:dyDescent="0.25">
      <c r="A1637" t="s">
        <v>6558</v>
      </c>
      <c r="B1637">
        <v>2</v>
      </c>
    </row>
    <row r="1638" spans="1:2" x14ac:dyDescent="0.25">
      <c r="A1638" t="s">
        <v>6559</v>
      </c>
      <c r="B1638">
        <v>-2</v>
      </c>
    </row>
    <row r="1639" spans="1:2" x14ac:dyDescent="0.25">
      <c r="A1639" t="s">
        <v>6560</v>
      </c>
      <c r="B1639">
        <v>-1</v>
      </c>
    </row>
    <row r="1640" spans="1:2" x14ac:dyDescent="0.25">
      <c r="A1640" t="s">
        <v>6561</v>
      </c>
      <c r="B1640">
        <v>3</v>
      </c>
    </row>
    <row r="1641" spans="1:2" x14ac:dyDescent="0.25">
      <c r="A1641" t="s">
        <v>6562</v>
      </c>
      <c r="B1641">
        <v>2</v>
      </c>
    </row>
    <row r="1642" spans="1:2" x14ac:dyDescent="0.25">
      <c r="A1642" t="s">
        <v>6563</v>
      </c>
      <c r="B1642">
        <v>3</v>
      </c>
    </row>
    <row r="1643" spans="1:2" x14ac:dyDescent="0.25">
      <c r="A1643" t="s">
        <v>6564</v>
      </c>
      <c r="B1643">
        <v>2</v>
      </c>
    </row>
    <row r="1644" spans="1:2" x14ac:dyDescent="0.25">
      <c r="A1644" t="s">
        <v>6565</v>
      </c>
      <c r="B1644">
        <v>-2</v>
      </c>
    </row>
    <row r="1645" spans="1:2" x14ac:dyDescent="0.25">
      <c r="A1645" t="s">
        <v>6566</v>
      </c>
      <c r="B1645">
        <v>-3</v>
      </c>
    </row>
    <row r="1646" spans="1:2" x14ac:dyDescent="0.25">
      <c r="A1646" t="s">
        <v>6567</v>
      </c>
      <c r="B1646">
        <v>-2</v>
      </c>
    </row>
    <row r="1647" spans="1:2" x14ac:dyDescent="0.25">
      <c r="A1647" t="s">
        <v>6568</v>
      </c>
      <c r="B1647">
        <v>-2</v>
      </c>
    </row>
    <row r="1648" spans="1:2" x14ac:dyDescent="0.25">
      <c r="A1648" t="s">
        <v>6569</v>
      </c>
      <c r="B1648">
        <v>-2</v>
      </c>
    </row>
    <row r="1649" spans="1:2" x14ac:dyDescent="0.25">
      <c r="A1649" t="s">
        <v>6570</v>
      </c>
      <c r="B1649">
        <v>-2</v>
      </c>
    </row>
    <row r="1650" spans="1:2" x14ac:dyDescent="0.25">
      <c r="A1650" t="s">
        <v>6571</v>
      </c>
      <c r="B1650">
        <v>-2</v>
      </c>
    </row>
    <row r="1651" spans="1:2" x14ac:dyDescent="0.25">
      <c r="A1651" t="s">
        <v>6572</v>
      </c>
      <c r="B1651">
        <v>-2</v>
      </c>
    </row>
    <row r="1652" spans="1:2" x14ac:dyDescent="0.25">
      <c r="A1652" t="s">
        <v>6573</v>
      </c>
      <c r="B1652">
        <v>-2</v>
      </c>
    </row>
    <row r="1653" spans="1:2" x14ac:dyDescent="0.25">
      <c r="A1653" t="s">
        <v>6574</v>
      </c>
      <c r="B1653">
        <v>-2</v>
      </c>
    </row>
    <row r="1654" spans="1:2" x14ac:dyDescent="0.25">
      <c r="A1654" t="s">
        <v>6575</v>
      </c>
      <c r="B1654">
        <v>-2</v>
      </c>
    </row>
    <row r="1655" spans="1:2" x14ac:dyDescent="0.25">
      <c r="A1655" t="s">
        <v>6576</v>
      </c>
      <c r="B1655">
        <v>-2</v>
      </c>
    </row>
    <row r="1656" spans="1:2" x14ac:dyDescent="0.25">
      <c r="A1656" t="s">
        <v>6577</v>
      </c>
      <c r="B1656">
        <v>-2</v>
      </c>
    </row>
    <row r="1657" spans="1:2" x14ac:dyDescent="0.25">
      <c r="A1657" t="s">
        <v>6578</v>
      </c>
      <c r="B1657">
        <v>-2</v>
      </c>
    </row>
    <row r="1658" spans="1:2" x14ac:dyDescent="0.25">
      <c r="A1658" t="s">
        <v>6579</v>
      </c>
      <c r="B1658">
        <v>-2</v>
      </c>
    </row>
    <row r="1659" spans="1:2" x14ac:dyDescent="0.25">
      <c r="A1659" t="s">
        <v>6580</v>
      </c>
      <c r="B1659">
        <v>2</v>
      </c>
    </row>
    <row r="1660" spans="1:2" x14ac:dyDescent="0.25">
      <c r="A1660" t="s">
        <v>6581</v>
      </c>
      <c r="B1660">
        <v>-1</v>
      </c>
    </row>
    <row r="1661" spans="1:2" x14ac:dyDescent="0.25">
      <c r="A1661" t="s">
        <v>6582</v>
      </c>
      <c r="B1661">
        <v>-2</v>
      </c>
    </row>
    <row r="1662" spans="1:2" x14ac:dyDescent="0.25">
      <c r="A1662" t="s">
        <v>6583</v>
      </c>
      <c r="B1662">
        <v>-2</v>
      </c>
    </row>
    <row r="1663" spans="1:2" x14ac:dyDescent="0.25">
      <c r="A1663" t="s">
        <v>6584</v>
      </c>
      <c r="B1663">
        <v>-4</v>
      </c>
    </row>
    <row r="1664" spans="1:2" x14ac:dyDescent="0.25">
      <c r="A1664" t="s">
        <v>6585</v>
      </c>
      <c r="B1664">
        <v>-4</v>
      </c>
    </row>
    <row r="1665" spans="1:2" x14ac:dyDescent="0.25">
      <c r="A1665" t="s">
        <v>6586</v>
      </c>
      <c r="B1665">
        <v>-3</v>
      </c>
    </row>
    <row r="1666" spans="1:2" x14ac:dyDescent="0.25">
      <c r="A1666" t="s">
        <v>6587</v>
      </c>
      <c r="B1666">
        <v>-2</v>
      </c>
    </row>
    <row r="1667" spans="1:2" x14ac:dyDescent="0.25">
      <c r="A1667" t="s">
        <v>6588</v>
      </c>
      <c r="B1667">
        <v>-1</v>
      </c>
    </row>
    <row r="1668" spans="1:2" x14ac:dyDescent="0.25">
      <c r="A1668" t="s">
        <v>6589</v>
      </c>
      <c r="B1668">
        <v>-2</v>
      </c>
    </row>
    <row r="1669" spans="1:2" x14ac:dyDescent="0.25">
      <c r="A1669" t="s">
        <v>6590</v>
      </c>
      <c r="B1669">
        <v>2</v>
      </c>
    </row>
    <row r="1670" spans="1:2" x14ac:dyDescent="0.25">
      <c r="A1670" t="s">
        <v>6591</v>
      </c>
      <c r="B1670">
        <v>3</v>
      </c>
    </row>
    <row r="1671" spans="1:2" x14ac:dyDescent="0.25">
      <c r="A1671" t="s">
        <v>6592</v>
      </c>
      <c r="B1671">
        <v>1</v>
      </c>
    </row>
    <row r="1672" spans="1:2" x14ac:dyDescent="0.25">
      <c r="A1672" t="s">
        <v>6593</v>
      </c>
      <c r="B1672">
        <v>3</v>
      </c>
    </row>
    <row r="1673" spans="1:2" x14ac:dyDescent="0.25">
      <c r="A1673" t="s">
        <v>6594</v>
      </c>
      <c r="B1673">
        <v>3</v>
      </c>
    </row>
    <row r="1674" spans="1:2" x14ac:dyDescent="0.25">
      <c r="A1674" t="s">
        <v>6595</v>
      </c>
      <c r="B1674">
        <v>-2</v>
      </c>
    </row>
    <row r="1675" spans="1:2" x14ac:dyDescent="0.25">
      <c r="A1675" t="s">
        <v>3126</v>
      </c>
      <c r="B1675">
        <v>-2</v>
      </c>
    </row>
    <row r="1676" spans="1:2" x14ac:dyDescent="0.25">
      <c r="A1676" t="s">
        <v>6596</v>
      </c>
      <c r="B1676">
        <v>-2</v>
      </c>
    </row>
    <row r="1677" spans="1:2" x14ac:dyDescent="0.25">
      <c r="A1677" t="s">
        <v>6597</v>
      </c>
      <c r="B1677">
        <v>-2</v>
      </c>
    </row>
    <row r="1678" spans="1:2" x14ac:dyDescent="0.25">
      <c r="A1678" t="s">
        <v>6598</v>
      </c>
      <c r="B1678">
        <v>-2</v>
      </c>
    </row>
    <row r="1679" spans="1:2" x14ac:dyDescent="0.25">
      <c r="A1679" t="s">
        <v>6599</v>
      </c>
      <c r="B1679">
        <v>-2</v>
      </c>
    </row>
    <row r="1680" spans="1:2" x14ac:dyDescent="0.25">
      <c r="A1680" t="s">
        <v>6600</v>
      </c>
      <c r="B1680">
        <v>-2</v>
      </c>
    </row>
    <row r="1681" spans="1:2" x14ac:dyDescent="0.25">
      <c r="A1681" t="s">
        <v>6601</v>
      </c>
      <c r="B1681">
        <v>-2</v>
      </c>
    </row>
    <row r="1682" spans="1:2" x14ac:dyDescent="0.25">
      <c r="A1682" t="s">
        <v>6602</v>
      </c>
      <c r="B1682">
        <v>-2</v>
      </c>
    </row>
    <row r="1683" spans="1:2" x14ac:dyDescent="0.25">
      <c r="A1683" t="s">
        <v>6603</v>
      </c>
      <c r="B1683">
        <v>-2</v>
      </c>
    </row>
    <row r="1684" spans="1:2" x14ac:dyDescent="0.25">
      <c r="A1684" t="s">
        <v>6604</v>
      </c>
      <c r="B1684">
        <v>-2</v>
      </c>
    </row>
    <row r="1685" spans="1:2" x14ac:dyDescent="0.25">
      <c r="A1685" t="s">
        <v>6605</v>
      </c>
      <c r="B1685">
        <v>-2</v>
      </c>
    </row>
    <row r="1686" spans="1:2" x14ac:dyDescent="0.25">
      <c r="A1686" t="s">
        <v>6606</v>
      </c>
      <c r="B1686">
        <v>3</v>
      </c>
    </row>
    <row r="1687" spans="1:2" x14ac:dyDescent="0.25">
      <c r="A1687" t="s">
        <v>6607</v>
      </c>
      <c r="B1687">
        <v>2</v>
      </c>
    </row>
    <row r="1688" spans="1:2" x14ac:dyDescent="0.25">
      <c r="A1688" t="s">
        <v>6608</v>
      </c>
      <c r="B1688">
        <v>2</v>
      </c>
    </row>
    <row r="1689" spans="1:2" x14ac:dyDescent="0.25">
      <c r="A1689" t="s">
        <v>6609</v>
      </c>
      <c r="B1689">
        <v>-2</v>
      </c>
    </row>
    <row r="1690" spans="1:2" x14ac:dyDescent="0.25">
      <c r="A1690" t="s">
        <v>6610</v>
      </c>
      <c r="B1690">
        <v>-1</v>
      </c>
    </row>
    <row r="1691" spans="1:2" x14ac:dyDescent="0.25">
      <c r="A1691" t="s">
        <v>6611</v>
      </c>
      <c r="B1691">
        <v>-1</v>
      </c>
    </row>
    <row r="1692" spans="1:2" x14ac:dyDescent="0.25">
      <c r="A1692" t="s">
        <v>6612</v>
      </c>
      <c r="B1692">
        <v>-1</v>
      </c>
    </row>
    <row r="1693" spans="1:2" x14ac:dyDescent="0.25">
      <c r="A1693" t="s">
        <v>6613</v>
      </c>
      <c r="B1693">
        <v>-1</v>
      </c>
    </row>
    <row r="1694" spans="1:2" x14ac:dyDescent="0.25">
      <c r="A1694" t="s">
        <v>6614</v>
      </c>
      <c r="B1694">
        <v>-1</v>
      </c>
    </row>
    <row r="1695" spans="1:2" x14ac:dyDescent="0.25">
      <c r="A1695" t="s">
        <v>6615</v>
      </c>
      <c r="B1695">
        <v>2</v>
      </c>
    </row>
    <row r="1696" spans="1:2" x14ac:dyDescent="0.25">
      <c r="A1696" t="s">
        <v>6616</v>
      </c>
      <c r="B1696">
        <v>-2</v>
      </c>
    </row>
    <row r="1697" spans="1:2" x14ac:dyDescent="0.25">
      <c r="A1697" t="s">
        <v>6617</v>
      </c>
      <c r="B1697">
        <v>3</v>
      </c>
    </row>
    <row r="1698" spans="1:2" x14ac:dyDescent="0.25">
      <c r="A1698" t="s">
        <v>6618</v>
      </c>
      <c r="B1698">
        <v>3</v>
      </c>
    </row>
    <row r="1699" spans="1:2" x14ac:dyDescent="0.25">
      <c r="A1699" t="s">
        <v>6619</v>
      </c>
      <c r="B1699">
        <v>3</v>
      </c>
    </row>
    <row r="1700" spans="1:2" x14ac:dyDescent="0.25">
      <c r="A1700" t="s">
        <v>6620</v>
      </c>
      <c r="B1700">
        <v>3</v>
      </c>
    </row>
    <row r="1701" spans="1:2" x14ac:dyDescent="0.25">
      <c r="A1701" t="s">
        <v>6621</v>
      </c>
      <c r="B1701">
        <v>1</v>
      </c>
    </row>
    <row r="1702" spans="1:2" x14ac:dyDescent="0.25">
      <c r="A1702" t="s">
        <v>6622</v>
      </c>
      <c r="B1702">
        <v>1</v>
      </c>
    </row>
    <row r="1703" spans="1:2" x14ac:dyDescent="0.25">
      <c r="A1703" t="s">
        <v>6623</v>
      </c>
      <c r="B1703">
        <v>1</v>
      </c>
    </row>
    <row r="1704" spans="1:2" x14ac:dyDescent="0.25">
      <c r="A1704" t="s">
        <v>6624</v>
      </c>
      <c r="B1704">
        <v>-2</v>
      </c>
    </row>
    <row r="1705" spans="1:2" x14ac:dyDescent="0.25">
      <c r="A1705" t="s">
        <v>6625</v>
      </c>
      <c r="B1705">
        <v>-2</v>
      </c>
    </row>
    <row r="1706" spans="1:2" x14ac:dyDescent="0.25">
      <c r="A1706" t="s">
        <v>6626</v>
      </c>
      <c r="B1706">
        <v>1</v>
      </c>
    </row>
    <row r="1707" spans="1:2" x14ac:dyDescent="0.25">
      <c r="A1707" t="s">
        <v>6627</v>
      </c>
      <c r="B1707">
        <v>-1</v>
      </c>
    </row>
    <row r="1708" spans="1:2" x14ac:dyDescent="0.25">
      <c r="A1708" t="s">
        <v>6628</v>
      </c>
      <c r="B1708">
        <v>-2</v>
      </c>
    </row>
    <row r="1709" spans="1:2" x14ac:dyDescent="0.25">
      <c r="A1709" t="s">
        <v>6629</v>
      </c>
      <c r="B1709">
        <v>-1</v>
      </c>
    </row>
    <row r="1710" spans="1:2" x14ac:dyDescent="0.25">
      <c r="A1710" t="s">
        <v>6630</v>
      </c>
      <c r="B1710">
        <v>-1</v>
      </c>
    </row>
    <row r="1711" spans="1:2" x14ac:dyDescent="0.25">
      <c r="A1711" t="s">
        <v>6631</v>
      </c>
      <c r="B1711">
        <v>-1</v>
      </c>
    </row>
    <row r="1712" spans="1:2" x14ac:dyDescent="0.25">
      <c r="A1712" t="s">
        <v>6632</v>
      </c>
      <c r="B1712">
        <v>1</v>
      </c>
    </row>
    <row r="1713" spans="1:2" x14ac:dyDescent="0.25">
      <c r="A1713" t="s">
        <v>6633</v>
      </c>
      <c r="B1713">
        <v>-1</v>
      </c>
    </row>
    <row r="1714" spans="1:2" x14ac:dyDescent="0.25">
      <c r="A1714" t="s">
        <v>6634</v>
      </c>
      <c r="B1714">
        <v>-1</v>
      </c>
    </row>
    <row r="1715" spans="1:2" x14ac:dyDescent="0.25">
      <c r="A1715" t="s">
        <v>6635</v>
      </c>
      <c r="B1715">
        <v>-1</v>
      </c>
    </row>
    <row r="1716" spans="1:2" x14ac:dyDescent="0.25">
      <c r="A1716" t="s">
        <v>6636</v>
      </c>
      <c r="B1716">
        <v>-1</v>
      </c>
    </row>
    <row r="1717" spans="1:2" x14ac:dyDescent="0.25">
      <c r="A1717" t="s">
        <v>6637</v>
      </c>
      <c r="B1717">
        <v>-5</v>
      </c>
    </row>
    <row r="1718" spans="1:2" x14ac:dyDescent="0.25">
      <c r="A1718" t="s">
        <v>6638</v>
      </c>
      <c r="B1718">
        <v>-2</v>
      </c>
    </row>
    <row r="1719" spans="1:2" x14ac:dyDescent="0.25">
      <c r="A1719" t="s">
        <v>6639</v>
      </c>
      <c r="B1719">
        <v>-2</v>
      </c>
    </row>
    <row r="1720" spans="1:2" x14ac:dyDescent="0.25">
      <c r="A1720" t="s">
        <v>6640</v>
      </c>
      <c r="B1720">
        <v>-2</v>
      </c>
    </row>
    <row r="1721" spans="1:2" x14ac:dyDescent="0.25">
      <c r="A1721" t="s">
        <v>6641</v>
      </c>
      <c r="B1721">
        <v>2</v>
      </c>
    </row>
    <row r="1722" spans="1:2" x14ac:dyDescent="0.25">
      <c r="A1722" t="s">
        <v>6642</v>
      </c>
      <c r="B1722">
        <v>2</v>
      </c>
    </row>
    <row r="1723" spans="1:2" x14ac:dyDescent="0.25">
      <c r="A1723" t="s">
        <v>6643</v>
      </c>
      <c r="B1723">
        <v>-2</v>
      </c>
    </row>
    <row r="1724" spans="1:2" x14ac:dyDescent="0.25">
      <c r="A1724" t="s">
        <v>6644</v>
      </c>
      <c r="B1724">
        <v>-2</v>
      </c>
    </row>
    <row r="1725" spans="1:2" x14ac:dyDescent="0.25">
      <c r="A1725" t="s">
        <v>6645</v>
      </c>
      <c r="B1725">
        <v>-2</v>
      </c>
    </row>
    <row r="1726" spans="1:2" x14ac:dyDescent="0.25">
      <c r="A1726" t="s">
        <v>6646</v>
      </c>
      <c r="B1726">
        <v>2</v>
      </c>
    </row>
    <row r="1727" spans="1:2" x14ac:dyDescent="0.25">
      <c r="A1727" t="s">
        <v>6647</v>
      </c>
      <c r="B1727">
        <v>2</v>
      </c>
    </row>
    <row r="1728" spans="1:2" x14ac:dyDescent="0.25">
      <c r="A1728" t="s">
        <v>6648</v>
      </c>
      <c r="B1728">
        <v>1</v>
      </c>
    </row>
    <row r="1729" spans="1:2" x14ac:dyDescent="0.25">
      <c r="A1729" t="s">
        <v>6649</v>
      </c>
      <c r="B1729">
        <v>1</v>
      </c>
    </row>
    <row r="1730" spans="1:2" x14ac:dyDescent="0.25">
      <c r="A1730" t="s">
        <v>6650</v>
      </c>
      <c r="B1730">
        <v>1</v>
      </c>
    </row>
    <row r="1731" spans="1:2" x14ac:dyDescent="0.25">
      <c r="A1731" t="s">
        <v>6651</v>
      </c>
      <c r="B1731">
        <v>1</v>
      </c>
    </row>
    <row r="1732" spans="1:2" x14ac:dyDescent="0.25">
      <c r="A1732" t="s">
        <v>6652</v>
      </c>
      <c r="B1732">
        <v>1</v>
      </c>
    </row>
    <row r="1733" spans="1:2" x14ac:dyDescent="0.25">
      <c r="A1733" t="s">
        <v>6653</v>
      </c>
      <c r="B1733">
        <v>1</v>
      </c>
    </row>
    <row r="1734" spans="1:2" x14ac:dyDescent="0.25">
      <c r="A1734" t="s">
        <v>6654</v>
      </c>
      <c r="B1734">
        <v>1</v>
      </c>
    </row>
    <row r="1735" spans="1:2" x14ac:dyDescent="0.25">
      <c r="A1735" t="s">
        <v>6655</v>
      </c>
      <c r="B1735">
        <v>-2</v>
      </c>
    </row>
    <row r="1736" spans="1:2" x14ac:dyDescent="0.25">
      <c r="A1736" t="s">
        <v>6656</v>
      </c>
      <c r="B1736">
        <v>-1</v>
      </c>
    </row>
    <row r="1737" spans="1:2" x14ac:dyDescent="0.25">
      <c r="A1737" t="s">
        <v>6657</v>
      </c>
      <c r="B1737">
        <v>-2</v>
      </c>
    </row>
    <row r="1738" spans="1:2" x14ac:dyDescent="0.25">
      <c r="A1738" t="s">
        <v>6658</v>
      </c>
      <c r="B1738">
        <v>-1</v>
      </c>
    </row>
    <row r="1739" spans="1:2" x14ac:dyDescent="0.25">
      <c r="A1739" t="s">
        <v>6659</v>
      </c>
      <c r="B1739">
        <v>-1</v>
      </c>
    </row>
    <row r="1740" spans="1:2" x14ac:dyDescent="0.25">
      <c r="A1740" t="s">
        <v>6660</v>
      </c>
      <c r="B1740">
        <v>1</v>
      </c>
    </row>
    <row r="1741" spans="1:2" x14ac:dyDescent="0.25">
      <c r="A1741" t="s">
        <v>6661</v>
      </c>
      <c r="B1741">
        <v>1</v>
      </c>
    </row>
    <row r="1742" spans="1:2" x14ac:dyDescent="0.25">
      <c r="A1742" t="s">
        <v>6662</v>
      </c>
      <c r="B1742">
        <v>3</v>
      </c>
    </row>
    <row r="1743" spans="1:2" x14ac:dyDescent="0.25">
      <c r="A1743" t="s">
        <v>6663</v>
      </c>
      <c r="B1743">
        <v>1</v>
      </c>
    </row>
    <row r="1744" spans="1:2" x14ac:dyDescent="0.25">
      <c r="A1744" t="s">
        <v>6664</v>
      </c>
      <c r="B1744">
        <v>1</v>
      </c>
    </row>
    <row r="1745" spans="1:2" x14ac:dyDescent="0.25">
      <c r="A1745" t="s">
        <v>6665</v>
      </c>
      <c r="B1745">
        <v>1</v>
      </c>
    </row>
    <row r="1746" spans="1:2" x14ac:dyDescent="0.25">
      <c r="A1746" t="s">
        <v>6666</v>
      </c>
      <c r="B1746">
        <v>-2</v>
      </c>
    </row>
    <row r="1747" spans="1:2" x14ac:dyDescent="0.25">
      <c r="A1747" t="s">
        <v>6667</v>
      </c>
      <c r="B1747">
        <v>-2</v>
      </c>
    </row>
    <row r="1748" spans="1:2" x14ac:dyDescent="0.25">
      <c r="A1748" t="s">
        <v>6668</v>
      </c>
      <c r="B1748">
        <v>-2</v>
      </c>
    </row>
    <row r="1749" spans="1:2" x14ac:dyDescent="0.25">
      <c r="A1749" t="s">
        <v>6669</v>
      </c>
      <c r="B1749">
        <v>-2</v>
      </c>
    </row>
    <row r="1750" spans="1:2" x14ac:dyDescent="0.25">
      <c r="A1750" t="s">
        <v>6670</v>
      </c>
      <c r="B1750">
        <v>2</v>
      </c>
    </row>
    <row r="1751" spans="1:2" x14ac:dyDescent="0.25">
      <c r="A1751" t="s">
        <v>6671</v>
      </c>
      <c r="B1751">
        <v>2</v>
      </c>
    </row>
    <row r="1752" spans="1:2" x14ac:dyDescent="0.25">
      <c r="A1752" t="s">
        <v>6672</v>
      </c>
      <c r="B1752">
        <v>-1</v>
      </c>
    </row>
    <row r="1753" spans="1:2" x14ac:dyDescent="0.25">
      <c r="A1753" t="s">
        <v>6673</v>
      </c>
      <c r="B1753">
        <v>-1</v>
      </c>
    </row>
    <row r="1754" spans="1:2" x14ac:dyDescent="0.25">
      <c r="A1754" t="s">
        <v>6674</v>
      </c>
      <c r="B1754">
        <v>-1</v>
      </c>
    </row>
    <row r="1755" spans="1:2" x14ac:dyDescent="0.25">
      <c r="A1755" t="s">
        <v>6675</v>
      </c>
      <c r="B1755">
        <v>-1</v>
      </c>
    </row>
    <row r="1756" spans="1:2" x14ac:dyDescent="0.25">
      <c r="A1756" t="s">
        <v>6676</v>
      </c>
      <c r="B1756">
        <v>-3</v>
      </c>
    </row>
    <row r="1757" spans="1:2" x14ac:dyDescent="0.25">
      <c r="A1757" t="s">
        <v>6677</v>
      </c>
      <c r="B1757">
        <v>-2</v>
      </c>
    </row>
    <row r="1758" spans="1:2" x14ac:dyDescent="0.25">
      <c r="A1758" t="s">
        <v>6678</v>
      </c>
      <c r="B1758">
        <v>-2</v>
      </c>
    </row>
    <row r="1759" spans="1:2" x14ac:dyDescent="0.25">
      <c r="A1759" t="s">
        <v>6679</v>
      </c>
      <c r="B1759">
        <v>-2</v>
      </c>
    </row>
    <row r="1760" spans="1:2" x14ac:dyDescent="0.25">
      <c r="A1760" t="s">
        <v>6680</v>
      </c>
      <c r="B1760">
        <v>-2</v>
      </c>
    </row>
    <row r="1761" spans="1:2" x14ac:dyDescent="0.25">
      <c r="A1761" t="s">
        <v>6681</v>
      </c>
      <c r="B1761">
        <v>-1</v>
      </c>
    </row>
    <row r="1762" spans="1:2" x14ac:dyDescent="0.25">
      <c r="A1762" t="s">
        <v>6682</v>
      </c>
      <c r="B1762">
        <v>-2</v>
      </c>
    </row>
    <row r="1763" spans="1:2" x14ac:dyDescent="0.25">
      <c r="A1763" t="s">
        <v>6683</v>
      </c>
      <c r="B1763">
        <v>-2</v>
      </c>
    </row>
    <row r="1764" spans="1:2" x14ac:dyDescent="0.25">
      <c r="A1764" t="s">
        <v>6684</v>
      </c>
      <c r="B1764">
        <v>-2</v>
      </c>
    </row>
    <row r="1765" spans="1:2" x14ac:dyDescent="0.25">
      <c r="A1765" t="s">
        <v>6685</v>
      </c>
      <c r="B1765">
        <v>-1</v>
      </c>
    </row>
    <row r="1766" spans="1:2" x14ac:dyDescent="0.25">
      <c r="A1766" t="s">
        <v>6686</v>
      </c>
      <c r="B1766">
        <v>-1</v>
      </c>
    </row>
    <row r="1767" spans="1:2" x14ac:dyDescent="0.25">
      <c r="A1767" t="s">
        <v>6687</v>
      </c>
      <c r="B1767">
        <v>-3</v>
      </c>
    </row>
    <row r="1768" spans="1:2" x14ac:dyDescent="0.25">
      <c r="A1768" t="s">
        <v>6688</v>
      </c>
      <c r="B1768">
        <v>-3</v>
      </c>
    </row>
    <row r="1769" spans="1:2" x14ac:dyDescent="0.25">
      <c r="A1769" t="s">
        <v>6689</v>
      </c>
      <c r="B1769">
        <v>-3</v>
      </c>
    </row>
    <row r="1770" spans="1:2" x14ac:dyDescent="0.25">
      <c r="A1770" t="s">
        <v>6690</v>
      </c>
      <c r="B1770">
        <v>-2</v>
      </c>
    </row>
    <row r="1771" spans="1:2" x14ac:dyDescent="0.25">
      <c r="A1771" t="s">
        <v>6691</v>
      </c>
      <c r="B1771">
        <v>-2</v>
      </c>
    </row>
    <row r="1772" spans="1:2" x14ac:dyDescent="0.25">
      <c r="A1772" t="s">
        <v>6692</v>
      </c>
      <c r="B1772">
        <v>-1</v>
      </c>
    </row>
    <row r="1773" spans="1:2" x14ac:dyDescent="0.25">
      <c r="A1773" t="s">
        <v>6693</v>
      </c>
      <c r="B1773">
        <v>-3</v>
      </c>
    </row>
    <row r="1774" spans="1:2" x14ac:dyDescent="0.25">
      <c r="A1774" t="s">
        <v>6694</v>
      </c>
      <c r="B1774">
        <v>-3</v>
      </c>
    </row>
    <row r="1775" spans="1:2" x14ac:dyDescent="0.25">
      <c r="A1775" t="s">
        <v>6695</v>
      </c>
      <c r="B1775">
        <v>-3</v>
      </c>
    </row>
    <row r="1776" spans="1:2" x14ac:dyDescent="0.25">
      <c r="A1776" t="s">
        <v>6696</v>
      </c>
      <c r="B1776">
        <v>-3</v>
      </c>
    </row>
    <row r="1777" spans="1:2" x14ac:dyDescent="0.25">
      <c r="A1777" t="s">
        <v>6697</v>
      </c>
      <c r="B1777">
        <v>-4</v>
      </c>
    </row>
    <row r="1778" spans="1:2" x14ac:dyDescent="0.25">
      <c r="A1778" t="s">
        <v>6698</v>
      </c>
      <c r="B1778">
        <v>-4</v>
      </c>
    </row>
    <row r="1779" spans="1:2" x14ac:dyDescent="0.25">
      <c r="A1779" t="s">
        <v>6699</v>
      </c>
      <c r="B1779">
        <v>2</v>
      </c>
    </row>
    <row r="1780" spans="1:2" x14ac:dyDescent="0.25">
      <c r="A1780" t="s">
        <v>6700</v>
      </c>
      <c r="B1780">
        <v>2</v>
      </c>
    </row>
    <row r="1781" spans="1:2" x14ac:dyDescent="0.25">
      <c r="A1781" t="s">
        <v>6701</v>
      </c>
      <c r="B1781">
        <v>2</v>
      </c>
    </row>
    <row r="1782" spans="1:2" x14ac:dyDescent="0.25">
      <c r="A1782" t="s">
        <v>6702</v>
      </c>
      <c r="B1782">
        <v>4</v>
      </c>
    </row>
    <row r="1783" spans="1:2" x14ac:dyDescent="0.25">
      <c r="A1783" t="s">
        <v>6703</v>
      </c>
      <c r="B1783">
        <v>-2</v>
      </c>
    </row>
    <row r="1784" spans="1:2" x14ac:dyDescent="0.25">
      <c r="A1784" t="s">
        <v>6704</v>
      </c>
      <c r="B1784">
        <v>2</v>
      </c>
    </row>
    <row r="1785" spans="1:2" x14ac:dyDescent="0.25">
      <c r="A1785" t="s">
        <v>6705</v>
      </c>
      <c r="B1785">
        <v>1</v>
      </c>
    </row>
    <row r="1786" spans="1:2" x14ac:dyDescent="0.25">
      <c r="A1786" t="s">
        <v>6706</v>
      </c>
      <c r="B1786">
        <v>1</v>
      </c>
    </row>
    <row r="1787" spans="1:2" x14ac:dyDescent="0.25">
      <c r="A1787" t="s">
        <v>6707</v>
      </c>
      <c r="B1787">
        <v>1</v>
      </c>
    </row>
    <row r="1788" spans="1:2" x14ac:dyDescent="0.25">
      <c r="A1788" t="s">
        <v>6708</v>
      </c>
      <c r="B1788">
        <v>1</v>
      </c>
    </row>
    <row r="1789" spans="1:2" x14ac:dyDescent="0.25">
      <c r="A1789" t="s">
        <v>6709</v>
      </c>
      <c r="B1789">
        <v>1</v>
      </c>
    </row>
    <row r="1790" spans="1:2" x14ac:dyDescent="0.25">
      <c r="A1790" t="s">
        <v>6710</v>
      </c>
      <c r="B1790">
        <v>1</v>
      </c>
    </row>
    <row r="1791" spans="1:2" x14ac:dyDescent="0.25">
      <c r="A1791" t="s">
        <v>6711</v>
      </c>
      <c r="B1791">
        <v>1</v>
      </c>
    </row>
    <row r="1792" spans="1:2" x14ac:dyDescent="0.25">
      <c r="A1792" t="s">
        <v>6712</v>
      </c>
      <c r="B1792">
        <v>2</v>
      </c>
    </row>
    <row r="1793" spans="1:2" x14ac:dyDescent="0.25">
      <c r="A1793" t="s">
        <v>6713</v>
      </c>
      <c r="B1793">
        <v>-2</v>
      </c>
    </row>
    <row r="1794" spans="1:2" x14ac:dyDescent="0.25">
      <c r="A1794" t="s">
        <v>6714</v>
      </c>
      <c r="B1794">
        <v>-2</v>
      </c>
    </row>
    <row r="1795" spans="1:2" x14ac:dyDescent="0.25">
      <c r="A1795" t="s">
        <v>6715</v>
      </c>
      <c r="B1795">
        <v>-2</v>
      </c>
    </row>
    <row r="1796" spans="1:2" x14ac:dyDescent="0.25">
      <c r="A1796" t="s">
        <v>6716</v>
      </c>
      <c r="B1796">
        <v>2</v>
      </c>
    </row>
    <row r="1797" spans="1:2" x14ac:dyDescent="0.25">
      <c r="A1797" t="s">
        <v>6717</v>
      </c>
      <c r="B1797">
        <v>2</v>
      </c>
    </row>
    <row r="1798" spans="1:2" x14ac:dyDescent="0.25">
      <c r="A1798" t="s">
        <v>6718</v>
      </c>
      <c r="B1798">
        <v>2</v>
      </c>
    </row>
    <row r="1799" spans="1:2" x14ac:dyDescent="0.25">
      <c r="A1799" t="s">
        <v>6719</v>
      </c>
      <c r="B1799">
        <v>2</v>
      </c>
    </row>
    <row r="1800" spans="1:2" x14ac:dyDescent="0.25">
      <c r="A1800" t="s">
        <v>6720</v>
      </c>
      <c r="B1800">
        <v>-2</v>
      </c>
    </row>
    <row r="1801" spans="1:2" x14ac:dyDescent="0.25">
      <c r="A1801" t="s">
        <v>6721</v>
      </c>
      <c r="B1801">
        <v>-2</v>
      </c>
    </row>
    <row r="1802" spans="1:2" x14ac:dyDescent="0.25">
      <c r="A1802" t="s">
        <v>6722</v>
      </c>
      <c r="B1802">
        <v>-2</v>
      </c>
    </row>
    <row r="1803" spans="1:2" x14ac:dyDescent="0.25">
      <c r="A1803" t="s">
        <v>6723</v>
      </c>
      <c r="B1803">
        <v>-2</v>
      </c>
    </row>
    <row r="1804" spans="1:2" x14ac:dyDescent="0.25">
      <c r="A1804" t="s">
        <v>6724</v>
      </c>
      <c r="B1804">
        <v>-2</v>
      </c>
    </row>
    <row r="1805" spans="1:2" x14ac:dyDescent="0.25">
      <c r="A1805" t="s">
        <v>6725</v>
      </c>
      <c r="B1805">
        <v>-2</v>
      </c>
    </row>
    <row r="1806" spans="1:2" x14ac:dyDescent="0.25">
      <c r="A1806" t="s">
        <v>6726</v>
      </c>
      <c r="B1806">
        <v>-2</v>
      </c>
    </row>
    <row r="1807" spans="1:2" x14ac:dyDescent="0.25">
      <c r="A1807" t="s">
        <v>6727</v>
      </c>
      <c r="B1807">
        <v>-2</v>
      </c>
    </row>
    <row r="1808" spans="1:2" x14ac:dyDescent="0.25">
      <c r="A1808" t="s">
        <v>6728</v>
      </c>
      <c r="B1808">
        <v>-1</v>
      </c>
    </row>
    <row r="1809" spans="1:2" x14ac:dyDescent="0.25">
      <c r="A1809" t="s">
        <v>6729</v>
      </c>
      <c r="B1809">
        <v>-1</v>
      </c>
    </row>
    <row r="1810" spans="1:2" x14ac:dyDescent="0.25">
      <c r="A1810" t="s">
        <v>6730</v>
      </c>
      <c r="B1810">
        <v>-1</v>
      </c>
    </row>
    <row r="1811" spans="1:2" x14ac:dyDescent="0.25">
      <c r="A1811" t="s">
        <v>6731</v>
      </c>
      <c r="B1811">
        <v>-1</v>
      </c>
    </row>
    <row r="1812" spans="1:2" x14ac:dyDescent="0.25">
      <c r="A1812" t="s">
        <v>6732</v>
      </c>
      <c r="B1812">
        <v>4</v>
      </c>
    </row>
    <row r="1813" spans="1:2" x14ac:dyDescent="0.25">
      <c r="A1813" t="s">
        <v>6733</v>
      </c>
      <c r="B1813">
        <v>4</v>
      </c>
    </row>
    <row r="1814" spans="1:2" x14ac:dyDescent="0.25">
      <c r="A1814" t="s">
        <v>6734</v>
      </c>
      <c r="B1814">
        <v>4</v>
      </c>
    </row>
    <row r="1815" spans="1:2" x14ac:dyDescent="0.25">
      <c r="A1815" t="s">
        <v>6735</v>
      </c>
      <c r="B1815">
        <v>4</v>
      </c>
    </row>
    <row r="1816" spans="1:2" x14ac:dyDescent="0.25">
      <c r="A1816" t="s">
        <v>6736</v>
      </c>
      <c r="B1816">
        <v>2</v>
      </c>
    </row>
    <row r="1817" spans="1:2" x14ac:dyDescent="0.25">
      <c r="A1817" t="s">
        <v>6737</v>
      </c>
      <c r="B1817">
        <v>-1</v>
      </c>
    </row>
    <row r="1818" spans="1:2" x14ac:dyDescent="0.25">
      <c r="A1818" t="s">
        <v>6738</v>
      </c>
      <c r="B1818">
        <v>2</v>
      </c>
    </row>
    <row r="1819" spans="1:2" x14ac:dyDescent="0.25">
      <c r="A1819" t="s">
        <v>6739</v>
      </c>
      <c r="B1819">
        <v>1</v>
      </c>
    </row>
    <row r="1820" spans="1:2" x14ac:dyDescent="0.25">
      <c r="A1820" t="s">
        <v>6740</v>
      </c>
      <c r="B1820">
        <v>2</v>
      </c>
    </row>
    <row r="1821" spans="1:2" x14ac:dyDescent="0.25">
      <c r="A1821" t="s">
        <v>6741</v>
      </c>
      <c r="B1821">
        <v>1</v>
      </c>
    </row>
    <row r="1822" spans="1:2" x14ac:dyDescent="0.25">
      <c r="A1822" t="s">
        <v>6742</v>
      </c>
      <c r="B1822">
        <v>2</v>
      </c>
    </row>
    <row r="1823" spans="1:2" x14ac:dyDescent="0.25">
      <c r="A1823" t="s">
        <v>6743</v>
      </c>
      <c r="B1823">
        <v>2</v>
      </c>
    </row>
    <row r="1824" spans="1:2" x14ac:dyDescent="0.25">
      <c r="A1824" t="s">
        <v>6744</v>
      </c>
      <c r="B1824">
        <v>2</v>
      </c>
    </row>
    <row r="1825" spans="1:2" x14ac:dyDescent="0.25">
      <c r="A1825" t="s">
        <v>6745</v>
      </c>
      <c r="B1825">
        <v>-2</v>
      </c>
    </row>
    <row r="1826" spans="1:2" x14ac:dyDescent="0.25">
      <c r="A1826" t="s">
        <v>6746</v>
      </c>
      <c r="B1826">
        <v>-1</v>
      </c>
    </row>
    <row r="1827" spans="1:2" x14ac:dyDescent="0.25">
      <c r="A1827" t="s">
        <v>6747</v>
      </c>
      <c r="B1827">
        <v>-2</v>
      </c>
    </row>
    <row r="1828" spans="1:2" x14ac:dyDescent="0.25">
      <c r="A1828" t="s">
        <v>6748</v>
      </c>
      <c r="B1828">
        <v>2</v>
      </c>
    </row>
    <row r="1829" spans="1:2" x14ac:dyDescent="0.25">
      <c r="A1829" t="s">
        <v>6749</v>
      </c>
      <c r="B1829">
        <v>2</v>
      </c>
    </row>
    <row r="1830" spans="1:2" x14ac:dyDescent="0.25">
      <c r="A1830" t="s">
        <v>6750</v>
      </c>
      <c r="B1830">
        <v>2</v>
      </c>
    </row>
    <row r="1831" spans="1:2" x14ac:dyDescent="0.25">
      <c r="A1831" t="s">
        <v>6751</v>
      </c>
      <c r="B1831">
        <v>-2</v>
      </c>
    </row>
    <row r="1832" spans="1:2" x14ac:dyDescent="0.25">
      <c r="A1832" t="s">
        <v>6752</v>
      </c>
      <c r="B1832">
        <v>-1</v>
      </c>
    </row>
    <row r="1833" spans="1:2" x14ac:dyDescent="0.25">
      <c r="A1833" t="s">
        <v>6753</v>
      </c>
      <c r="B1833">
        <v>-1</v>
      </c>
    </row>
    <row r="1834" spans="1:2" x14ac:dyDescent="0.25">
      <c r="A1834" t="s">
        <v>6754</v>
      </c>
      <c r="B1834">
        <v>-1</v>
      </c>
    </row>
    <row r="1835" spans="1:2" x14ac:dyDescent="0.25">
      <c r="A1835" t="s">
        <v>6755</v>
      </c>
      <c r="B1835">
        <v>-1</v>
      </c>
    </row>
    <row r="1836" spans="1:2" x14ac:dyDescent="0.25">
      <c r="A1836" t="s">
        <v>6756</v>
      </c>
      <c r="B1836">
        <v>2</v>
      </c>
    </row>
    <row r="1837" spans="1:2" x14ac:dyDescent="0.25">
      <c r="A1837" t="s">
        <v>6757</v>
      </c>
      <c r="B1837">
        <v>2</v>
      </c>
    </row>
    <row r="1838" spans="1:2" x14ac:dyDescent="0.25">
      <c r="A1838" t="s">
        <v>6758</v>
      </c>
      <c r="B1838">
        <v>2</v>
      </c>
    </row>
    <row r="1839" spans="1:2" x14ac:dyDescent="0.25">
      <c r="A1839" t="s">
        <v>6759</v>
      </c>
      <c r="B1839">
        <v>2</v>
      </c>
    </row>
    <row r="1840" spans="1:2" x14ac:dyDescent="0.25">
      <c r="A1840" t="s">
        <v>6760</v>
      </c>
      <c r="B1840">
        <v>2</v>
      </c>
    </row>
    <row r="1841" spans="1:2" x14ac:dyDescent="0.25">
      <c r="A1841" t="s">
        <v>6761</v>
      </c>
      <c r="B1841">
        <v>2</v>
      </c>
    </row>
    <row r="1842" spans="1:2" x14ac:dyDescent="0.25">
      <c r="A1842" t="s">
        <v>6762</v>
      </c>
      <c r="B1842">
        <v>2</v>
      </c>
    </row>
    <row r="1843" spans="1:2" x14ac:dyDescent="0.25">
      <c r="A1843" t="s">
        <v>6763</v>
      </c>
      <c r="B1843">
        <v>2</v>
      </c>
    </row>
    <row r="1844" spans="1:2" x14ac:dyDescent="0.25">
      <c r="A1844" t="s">
        <v>6764</v>
      </c>
      <c r="B1844">
        <v>2</v>
      </c>
    </row>
    <row r="1845" spans="1:2" x14ac:dyDescent="0.25">
      <c r="A1845" t="s">
        <v>6765</v>
      </c>
      <c r="B1845">
        <v>-2</v>
      </c>
    </row>
    <row r="1846" spans="1:2" x14ac:dyDescent="0.25">
      <c r="A1846" t="s">
        <v>6766</v>
      </c>
      <c r="B1846">
        <v>1</v>
      </c>
    </row>
    <row r="1847" spans="1:2" x14ac:dyDescent="0.25">
      <c r="A1847" t="s">
        <v>6767</v>
      </c>
      <c r="B1847">
        <v>1</v>
      </c>
    </row>
    <row r="1848" spans="1:2" x14ac:dyDescent="0.25">
      <c r="A1848" t="s">
        <v>6768</v>
      </c>
      <c r="B1848">
        <v>1</v>
      </c>
    </row>
    <row r="1849" spans="1:2" x14ac:dyDescent="0.25">
      <c r="A1849" t="s">
        <v>6769</v>
      </c>
      <c r="B1849">
        <v>1</v>
      </c>
    </row>
    <row r="1850" spans="1:2" x14ac:dyDescent="0.25">
      <c r="A1850" t="s">
        <v>6770</v>
      </c>
      <c r="B1850">
        <v>-2</v>
      </c>
    </row>
    <row r="1851" spans="1:2" x14ac:dyDescent="0.25">
      <c r="A1851" t="s">
        <v>6771</v>
      </c>
      <c r="B1851">
        <v>-2</v>
      </c>
    </row>
    <row r="1852" spans="1:2" x14ac:dyDescent="0.25">
      <c r="A1852" t="s">
        <v>6772</v>
      </c>
      <c r="B1852">
        <v>-2</v>
      </c>
    </row>
    <row r="1853" spans="1:2" x14ac:dyDescent="0.25">
      <c r="A1853" t="s">
        <v>6773</v>
      </c>
      <c r="B1853">
        <v>-2</v>
      </c>
    </row>
    <row r="1854" spans="1:2" x14ac:dyDescent="0.25">
      <c r="A1854" t="s">
        <v>6774</v>
      </c>
      <c r="B1854">
        <v>-2</v>
      </c>
    </row>
    <row r="1855" spans="1:2" x14ac:dyDescent="0.25">
      <c r="A1855" t="s">
        <v>6775</v>
      </c>
      <c r="B1855">
        <v>-1</v>
      </c>
    </row>
    <row r="1856" spans="1:2" x14ac:dyDescent="0.25">
      <c r="A1856" t="s">
        <v>6776</v>
      </c>
      <c r="B1856">
        <v>-1</v>
      </c>
    </row>
    <row r="1857" spans="1:2" x14ac:dyDescent="0.25">
      <c r="A1857" t="s">
        <v>6777</v>
      </c>
      <c r="B1857">
        <v>-2</v>
      </c>
    </row>
    <row r="1858" spans="1:2" x14ac:dyDescent="0.25">
      <c r="A1858" t="s">
        <v>6778</v>
      </c>
      <c r="B1858">
        <v>-2</v>
      </c>
    </row>
    <row r="1859" spans="1:2" x14ac:dyDescent="0.25">
      <c r="A1859" t="s">
        <v>6779</v>
      </c>
      <c r="B1859">
        <v>2</v>
      </c>
    </row>
    <row r="1860" spans="1:2" x14ac:dyDescent="0.25">
      <c r="A1860" t="s">
        <v>6780</v>
      </c>
      <c r="B1860">
        <v>2</v>
      </c>
    </row>
    <row r="1861" spans="1:2" x14ac:dyDescent="0.25">
      <c r="A1861" t="s">
        <v>6781</v>
      </c>
      <c r="B1861">
        <v>2</v>
      </c>
    </row>
    <row r="1862" spans="1:2" x14ac:dyDescent="0.25">
      <c r="A1862" t="s">
        <v>6782</v>
      </c>
      <c r="B1862">
        <v>2</v>
      </c>
    </row>
    <row r="1863" spans="1:2" x14ac:dyDescent="0.25">
      <c r="A1863" t="s">
        <v>6783</v>
      </c>
      <c r="B1863">
        <v>2</v>
      </c>
    </row>
    <row r="1864" spans="1:2" x14ac:dyDescent="0.25">
      <c r="A1864" t="s">
        <v>6784</v>
      </c>
      <c r="B1864">
        <v>2</v>
      </c>
    </row>
    <row r="1865" spans="1:2" x14ac:dyDescent="0.25">
      <c r="A1865" t="s">
        <v>6785</v>
      </c>
      <c r="B1865">
        <v>2</v>
      </c>
    </row>
    <row r="1866" spans="1:2" x14ac:dyDescent="0.25">
      <c r="A1866" t="s">
        <v>6786</v>
      </c>
      <c r="B1866">
        <v>2</v>
      </c>
    </row>
    <row r="1867" spans="1:2" x14ac:dyDescent="0.25">
      <c r="A1867" t="s">
        <v>6787</v>
      </c>
      <c r="B1867">
        <v>-3</v>
      </c>
    </row>
    <row r="1868" spans="1:2" x14ac:dyDescent="0.25">
      <c r="A1868" t="s">
        <v>6788</v>
      </c>
      <c r="B1868">
        <v>-1</v>
      </c>
    </row>
    <row r="1869" spans="1:2" x14ac:dyDescent="0.25">
      <c r="A1869" t="s">
        <v>6789</v>
      </c>
      <c r="B1869">
        <v>-1</v>
      </c>
    </row>
    <row r="1870" spans="1:2" x14ac:dyDescent="0.25">
      <c r="A1870" t="s">
        <v>6790</v>
      </c>
      <c r="B1870">
        <v>3</v>
      </c>
    </row>
    <row r="1871" spans="1:2" x14ac:dyDescent="0.25">
      <c r="A1871" t="s">
        <v>6791</v>
      </c>
      <c r="B1871">
        <v>3</v>
      </c>
    </row>
    <row r="1872" spans="1:2" x14ac:dyDescent="0.25">
      <c r="A1872" t="s">
        <v>6792</v>
      </c>
      <c r="B1872">
        <v>-2</v>
      </c>
    </row>
    <row r="1873" spans="1:2" x14ac:dyDescent="0.25">
      <c r="A1873" t="s">
        <v>6793</v>
      </c>
      <c r="B1873">
        <v>-2</v>
      </c>
    </row>
    <row r="1874" spans="1:2" x14ac:dyDescent="0.25">
      <c r="A1874" t="s">
        <v>6794</v>
      </c>
      <c r="B1874">
        <v>-2</v>
      </c>
    </row>
    <row r="1875" spans="1:2" x14ac:dyDescent="0.25">
      <c r="A1875" t="s">
        <v>6795</v>
      </c>
      <c r="B1875">
        <v>-2</v>
      </c>
    </row>
    <row r="1876" spans="1:2" x14ac:dyDescent="0.25">
      <c r="A1876" t="s">
        <v>6796</v>
      </c>
      <c r="B1876">
        <v>-2</v>
      </c>
    </row>
    <row r="1877" spans="1:2" x14ac:dyDescent="0.25">
      <c r="A1877" t="s">
        <v>6797</v>
      </c>
      <c r="B1877">
        <v>-2</v>
      </c>
    </row>
    <row r="1878" spans="1:2" x14ac:dyDescent="0.25">
      <c r="A1878" t="s">
        <v>6798</v>
      </c>
      <c r="B1878">
        <v>-2</v>
      </c>
    </row>
    <row r="1879" spans="1:2" x14ac:dyDescent="0.25">
      <c r="A1879" t="s">
        <v>6799</v>
      </c>
      <c r="B1879">
        <v>-2</v>
      </c>
    </row>
    <row r="1880" spans="1:2" x14ac:dyDescent="0.25">
      <c r="A1880" t="s">
        <v>6800</v>
      </c>
      <c r="B1880">
        <v>-2</v>
      </c>
    </row>
    <row r="1881" spans="1:2" x14ac:dyDescent="0.25">
      <c r="A1881" t="s">
        <v>6801</v>
      </c>
      <c r="B1881">
        <v>2</v>
      </c>
    </row>
    <row r="1882" spans="1:2" x14ac:dyDescent="0.25">
      <c r="A1882" t="s">
        <v>6802</v>
      </c>
      <c r="B1882">
        <v>2</v>
      </c>
    </row>
    <row r="1883" spans="1:2" x14ac:dyDescent="0.25">
      <c r="A1883" t="s">
        <v>6803</v>
      </c>
      <c r="B1883">
        <v>4</v>
      </c>
    </row>
    <row r="1884" spans="1:2" x14ac:dyDescent="0.25">
      <c r="A1884" t="s">
        <v>6804</v>
      </c>
      <c r="B1884">
        <v>4</v>
      </c>
    </row>
    <row r="1885" spans="1:2" x14ac:dyDescent="0.25">
      <c r="A1885" t="s">
        <v>6805</v>
      </c>
      <c r="B1885">
        <v>4</v>
      </c>
    </row>
    <row r="1886" spans="1:2" x14ac:dyDescent="0.25">
      <c r="A1886" t="s">
        <v>6806</v>
      </c>
      <c r="B1886">
        <v>-2</v>
      </c>
    </row>
    <row r="1887" spans="1:2" x14ac:dyDescent="0.25">
      <c r="A1887" t="s">
        <v>6807</v>
      </c>
      <c r="B1887">
        <v>-2</v>
      </c>
    </row>
    <row r="1888" spans="1:2" x14ac:dyDescent="0.25">
      <c r="A1888" t="s">
        <v>6808</v>
      </c>
      <c r="B1888">
        <v>-2</v>
      </c>
    </row>
    <row r="1889" spans="1:2" x14ac:dyDescent="0.25">
      <c r="A1889" t="s">
        <v>6809</v>
      </c>
      <c r="B1889">
        <v>-2</v>
      </c>
    </row>
    <row r="1890" spans="1:2" x14ac:dyDescent="0.25">
      <c r="A1890" t="s">
        <v>6810</v>
      </c>
      <c r="B1890">
        <v>-2</v>
      </c>
    </row>
    <row r="1891" spans="1:2" x14ac:dyDescent="0.25">
      <c r="A1891" t="s">
        <v>6811</v>
      </c>
      <c r="B1891">
        <v>-2</v>
      </c>
    </row>
    <row r="1892" spans="1:2" x14ac:dyDescent="0.25">
      <c r="A1892" t="s">
        <v>6812</v>
      </c>
      <c r="B1892">
        <v>-2</v>
      </c>
    </row>
    <row r="1893" spans="1:2" x14ac:dyDescent="0.25">
      <c r="A1893" t="s">
        <v>6813</v>
      </c>
      <c r="B1893">
        <v>-2</v>
      </c>
    </row>
    <row r="1894" spans="1:2" x14ac:dyDescent="0.25">
      <c r="A1894" t="s">
        <v>6814</v>
      </c>
      <c r="B1894">
        <v>-2</v>
      </c>
    </row>
    <row r="1895" spans="1:2" x14ac:dyDescent="0.25">
      <c r="A1895" t="s">
        <v>6815</v>
      </c>
      <c r="B1895">
        <v>1</v>
      </c>
    </row>
    <row r="1896" spans="1:2" x14ac:dyDescent="0.25">
      <c r="A1896" t="s">
        <v>6816</v>
      </c>
      <c r="B1896">
        <v>1</v>
      </c>
    </row>
    <row r="1897" spans="1:2" x14ac:dyDescent="0.25">
      <c r="A1897" t="s">
        <v>6817</v>
      </c>
      <c r="B1897">
        <v>1</v>
      </c>
    </row>
    <row r="1898" spans="1:2" x14ac:dyDescent="0.25">
      <c r="A1898" t="s">
        <v>6818</v>
      </c>
      <c r="B1898">
        <v>1</v>
      </c>
    </row>
    <row r="1899" spans="1:2" x14ac:dyDescent="0.25">
      <c r="A1899" t="s">
        <v>6819</v>
      </c>
      <c r="B1899">
        <v>-1</v>
      </c>
    </row>
    <row r="1900" spans="1:2" x14ac:dyDescent="0.25">
      <c r="A1900" t="s">
        <v>6820</v>
      </c>
      <c r="B1900">
        <v>-2</v>
      </c>
    </row>
    <row r="1901" spans="1:2" x14ac:dyDescent="0.25">
      <c r="A1901" t="s">
        <v>6821</v>
      </c>
      <c r="B1901">
        <v>2</v>
      </c>
    </row>
    <row r="1902" spans="1:2" x14ac:dyDescent="0.25">
      <c r="A1902" t="s">
        <v>6822</v>
      </c>
      <c r="B1902">
        <v>2</v>
      </c>
    </row>
    <row r="1903" spans="1:2" x14ac:dyDescent="0.25">
      <c r="A1903" t="s">
        <v>6823</v>
      </c>
      <c r="B1903">
        <v>2</v>
      </c>
    </row>
    <row r="1904" spans="1:2" x14ac:dyDescent="0.25">
      <c r="A1904" t="s">
        <v>6824</v>
      </c>
      <c r="B1904">
        <v>-2</v>
      </c>
    </row>
    <row r="1905" spans="1:2" x14ac:dyDescent="0.25">
      <c r="A1905" t="s">
        <v>6825</v>
      </c>
      <c r="B1905">
        <v>-2</v>
      </c>
    </row>
    <row r="1906" spans="1:2" x14ac:dyDescent="0.25">
      <c r="A1906" t="s">
        <v>6826</v>
      </c>
      <c r="B1906">
        <v>-3</v>
      </c>
    </row>
    <row r="1907" spans="1:2" x14ac:dyDescent="0.25">
      <c r="A1907" t="s">
        <v>6827</v>
      </c>
      <c r="B1907">
        <v>-3</v>
      </c>
    </row>
    <row r="1908" spans="1:2" x14ac:dyDescent="0.25">
      <c r="A1908" t="s">
        <v>6828</v>
      </c>
      <c r="B1908">
        <v>-3</v>
      </c>
    </row>
    <row r="1909" spans="1:2" x14ac:dyDescent="0.25">
      <c r="A1909" t="s">
        <v>6829</v>
      </c>
      <c r="B1909">
        <v>-2</v>
      </c>
    </row>
    <row r="1910" spans="1:2" x14ac:dyDescent="0.25">
      <c r="A1910" t="s">
        <v>6830</v>
      </c>
      <c r="B1910">
        <v>-2</v>
      </c>
    </row>
    <row r="1911" spans="1:2" x14ac:dyDescent="0.25">
      <c r="A1911" t="s">
        <v>6831</v>
      </c>
      <c r="B1911">
        <v>-2</v>
      </c>
    </row>
    <row r="1912" spans="1:2" x14ac:dyDescent="0.25">
      <c r="A1912" t="s">
        <v>6832</v>
      </c>
      <c r="B1912">
        <v>-2</v>
      </c>
    </row>
    <row r="1913" spans="1:2" x14ac:dyDescent="0.25">
      <c r="A1913" t="s">
        <v>6833</v>
      </c>
      <c r="B1913">
        <v>-2</v>
      </c>
    </row>
    <row r="1914" spans="1:2" x14ac:dyDescent="0.25">
      <c r="A1914" t="s">
        <v>6834</v>
      </c>
      <c r="B1914">
        <v>-2</v>
      </c>
    </row>
    <row r="1915" spans="1:2" x14ac:dyDescent="0.25">
      <c r="A1915" t="s">
        <v>6835</v>
      </c>
      <c r="B1915">
        <v>-2</v>
      </c>
    </row>
    <row r="1916" spans="1:2" x14ac:dyDescent="0.25">
      <c r="A1916" t="s">
        <v>6836</v>
      </c>
      <c r="B1916">
        <v>3</v>
      </c>
    </row>
    <row r="1917" spans="1:2" x14ac:dyDescent="0.25">
      <c r="A1917" t="s">
        <v>6837</v>
      </c>
      <c r="B1917">
        <v>-2</v>
      </c>
    </row>
    <row r="1918" spans="1:2" x14ac:dyDescent="0.25">
      <c r="A1918" t="s">
        <v>6838</v>
      </c>
      <c r="B1918">
        <v>-2</v>
      </c>
    </row>
    <row r="1919" spans="1:2" x14ac:dyDescent="0.25">
      <c r="A1919" t="s">
        <v>6839</v>
      </c>
      <c r="B1919">
        <v>-2</v>
      </c>
    </row>
    <row r="1920" spans="1:2" x14ac:dyDescent="0.25">
      <c r="A1920" t="s">
        <v>6840</v>
      </c>
      <c r="B1920">
        <v>-2</v>
      </c>
    </row>
    <row r="1921" spans="1:2" x14ac:dyDescent="0.25">
      <c r="A1921" t="s">
        <v>6841</v>
      </c>
      <c r="B1921">
        <v>-2</v>
      </c>
    </row>
    <row r="1922" spans="1:2" x14ac:dyDescent="0.25">
      <c r="A1922" t="s">
        <v>6842</v>
      </c>
      <c r="B1922">
        <v>-2</v>
      </c>
    </row>
    <row r="1923" spans="1:2" x14ac:dyDescent="0.25">
      <c r="A1923" t="s">
        <v>6843</v>
      </c>
      <c r="B1923">
        <v>-2</v>
      </c>
    </row>
    <row r="1924" spans="1:2" x14ac:dyDescent="0.25">
      <c r="A1924" t="s">
        <v>6844</v>
      </c>
      <c r="B1924">
        <v>-4</v>
      </c>
    </row>
    <row r="1925" spans="1:2" x14ac:dyDescent="0.25">
      <c r="A1925" t="s">
        <v>6845</v>
      </c>
      <c r="B1925">
        <v>2</v>
      </c>
    </row>
    <row r="1926" spans="1:2" x14ac:dyDescent="0.25">
      <c r="A1926" t="s">
        <v>6846</v>
      </c>
      <c r="B1926">
        <v>2</v>
      </c>
    </row>
    <row r="1927" spans="1:2" x14ac:dyDescent="0.25">
      <c r="A1927" t="s">
        <v>6847</v>
      </c>
      <c r="B1927">
        <v>2</v>
      </c>
    </row>
    <row r="1928" spans="1:2" x14ac:dyDescent="0.25">
      <c r="A1928" t="s">
        <v>6848</v>
      </c>
      <c r="B1928">
        <v>-2</v>
      </c>
    </row>
    <row r="1929" spans="1:2" x14ac:dyDescent="0.25">
      <c r="A1929" t="s">
        <v>6849</v>
      </c>
      <c r="B1929">
        <v>-2</v>
      </c>
    </row>
    <row r="1930" spans="1:2" x14ac:dyDescent="0.25">
      <c r="A1930" t="s">
        <v>6850</v>
      </c>
      <c r="B1930">
        <v>-1</v>
      </c>
    </row>
    <row r="1931" spans="1:2" x14ac:dyDescent="0.25">
      <c r="A1931" t="s">
        <v>6851</v>
      </c>
      <c r="B1931">
        <v>-3</v>
      </c>
    </row>
    <row r="1932" spans="1:2" x14ac:dyDescent="0.25">
      <c r="A1932" t="s">
        <v>6852</v>
      </c>
      <c r="B1932">
        <v>-3</v>
      </c>
    </row>
    <row r="1933" spans="1:2" x14ac:dyDescent="0.25">
      <c r="A1933" t="s">
        <v>6853</v>
      </c>
      <c r="B1933">
        <v>-2</v>
      </c>
    </row>
    <row r="1934" spans="1:2" x14ac:dyDescent="0.25">
      <c r="A1934" t="s">
        <v>6854</v>
      </c>
      <c r="B1934">
        <v>-2</v>
      </c>
    </row>
    <row r="1935" spans="1:2" x14ac:dyDescent="0.25">
      <c r="A1935" t="s">
        <v>6855</v>
      </c>
      <c r="B1935">
        <v>-2</v>
      </c>
    </row>
    <row r="1936" spans="1:2" x14ac:dyDescent="0.25">
      <c r="A1936" t="s">
        <v>6856</v>
      </c>
      <c r="B1936">
        <v>-2</v>
      </c>
    </row>
    <row r="1937" spans="1:2" x14ac:dyDescent="0.25">
      <c r="A1937" t="s">
        <v>6857</v>
      </c>
      <c r="B1937">
        <v>2</v>
      </c>
    </row>
    <row r="1938" spans="1:2" x14ac:dyDescent="0.25">
      <c r="A1938" t="s">
        <v>6858</v>
      </c>
      <c r="B1938">
        <v>-2</v>
      </c>
    </row>
    <row r="1939" spans="1:2" x14ac:dyDescent="0.25">
      <c r="A1939" t="s">
        <v>6859</v>
      </c>
      <c r="B1939">
        <v>3</v>
      </c>
    </row>
    <row r="1940" spans="1:2" x14ac:dyDescent="0.25">
      <c r="A1940" t="s">
        <v>6860</v>
      </c>
      <c r="B1940">
        <v>-2</v>
      </c>
    </row>
    <row r="1941" spans="1:2" x14ac:dyDescent="0.25">
      <c r="A1941" t="s">
        <v>6861</v>
      </c>
      <c r="B1941">
        <v>-2</v>
      </c>
    </row>
    <row r="1942" spans="1:2" x14ac:dyDescent="0.25">
      <c r="A1942" t="s">
        <v>6862</v>
      </c>
      <c r="B1942">
        <v>-2</v>
      </c>
    </row>
    <row r="1943" spans="1:2" x14ac:dyDescent="0.25">
      <c r="A1943" t="s">
        <v>6863</v>
      </c>
      <c r="B1943">
        <v>-2</v>
      </c>
    </row>
    <row r="1944" spans="1:2" x14ac:dyDescent="0.25">
      <c r="A1944" t="s">
        <v>6864</v>
      </c>
      <c r="B1944">
        <v>1</v>
      </c>
    </row>
    <row r="1945" spans="1:2" x14ac:dyDescent="0.25">
      <c r="A1945" t="s">
        <v>6865</v>
      </c>
      <c r="B1945">
        <v>1</v>
      </c>
    </row>
    <row r="1946" spans="1:2" x14ac:dyDescent="0.25">
      <c r="A1946" t="s">
        <v>6866</v>
      </c>
      <c r="B1946">
        <v>1</v>
      </c>
    </row>
    <row r="1947" spans="1:2" x14ac:dyDescent="0.25">
      <c r="A1947" t="s">
        <v>6867</v>
      </c>
      <c r="B1947">
        <v>-2</v>
      </c>
    </row>
    <row r="1948" spans="1:2" x14ac:dyDescent="0.25">
      <c r="A1948" t="s">
        <v>6868</v>
      </c>
      <c r="B1948">
        <v>-2</v>
      </c>
    </row>
    <row r="1949" spans="1:2" x14ac:dyDescent="0.25">
      <c r="A1949" t="s">
        <v>6869</v>
      </c>
      <c r="B1949">
        <v>-2</v>
      </c>
    </row>
    <row r="1950" spans="1:2" x14ac:dyDescent="0.25">
      <c r="A1950" t="s">
        <v>6870</v>
      </c>
      <c r="B1950">
        <v>-2</v>
      </c>
    </row>
    <row r="1951" spans="1:2" x14ac:dyDescent="0.25">
      <c r="A1951" t="s">
        <v>6871</v>
      </c>
      <c r="B1951">
        <v>-2</v>
      </c>
    </row>
    <row r="1952" spans="1:2" x14ac:dyDescent="0.25">
      <c r="A1952" t="s">
        <v>6872</v>
      </c>
      <c r="B1952">
        <v>-1</v>
      </c>
    </row>
    <row r="1953" spans="1:2" x14ac:dyDescent="0.25">
      <c r="A1953" t="s">
        <v>6873</v>
      </c>
      <c r="B1953">
        <v>-2</v>
      </c>
    </row>
    <row r="1954" spans="1:2" x14ac:dyDescent="0.25">
      <c r="A1954" t="s">
        <v>6874</v>
      </c>
      <c r="B1954">
        <v>-2</v>
      </c>
    </row>
    <row r="1955" spans="1:2" x14ac:dyDescent="0.25">
      <c r="A1955" t="s">
        <v>6875</v>
      </c>
      <c r="B1955">
        <v>-4</v>
      </c>
    </row>
    <row r="1956" spans="1:2" x14ac:dyDescent="0.25">
      <c r="A1956" t="s">
        <v>6876</v>
      </c>
      <c r="B1956">
        <v>-1</v>
      </c>
    </row>
    <row r="1957" spans="1:2" x14ac:dyDescent="0.25">
      <c r="A1957" t="s">
        <v>6877</v>
      </c>
      <c r="B1957">
        <v>-2</v>
      </c>
    </row>
    <row r="1958" spans="1:2" x14ac:dyDescent="0.25">
      <c r="A1958" t="s">
        <v>6878</v>
      </c>
      <c r="B1958">
        <v>-2</v>
      </c>
    </row>
    <row r="1959" spans="1:2" x14ac:dyDescent="0.25">
      <c r="A1959" t="s">
        <v>6879</v>
      </c>
      <c r="B1959">
        <v>1</v>
      </c>
    </row>
    <row r="1960" spans="1:2" x14ac:dyDescent="0.25">
      <c r="A1960" t="s">
        <v>6880</v>
      </c>
      <c r="B1960">
        <v>1</v>
      </c>
    </row>
    <row r="1961" spans="1:2" x14ac:dyDescent="0.25">
      <c r="A1961" t="s">
        <v>6881</v>
      </c>
      <c r="B1961">
        <v>-1</v>
      </c>
    </row>
    <row r="1962" spans="1:2" x14ac:dyDescent="0.25">
      <c r="A1962" t="s">
        <v>6882</v>
      </c>
      <c r="B1962">
        <v>-1</v>
      </c>
    </row>
    <row r="1963" spans="1:2" x14ac:dyDescent="0.25">
      <c r="A1963" t="s">
        <v>6883</v>
      </c>
      <c r="B1963">
        <v>2</v>
      </c>
    </row>
    <row r="1964" spans="1:2" x14ac:dyDescent="0.25">
      <c r="A1964" t="s">
        <v>6884</v>
      </c>
      <c r="B1964">
        <v>2</v>
      </c>
    </row>
    <row r="1965" spans="1:2" x14ac:dyDescent="0.25">
      <c r="A1965" t="s">
        <v>6885</v>
      </c>
      <c r="B1965">
        <v>2</v>
      </c>
    </row>
    <row r="1966" spans="1:2" x14ac:dyDescent="0.25">
      <c r="A1966" t="s">
        <v>6886</v>
      </c>
      <c r="B1966">
        <v>2</v>
      </c>
    </row>
    <row r="1967" spans="1:2" x14ac:dyDescent="0.25">
      <c r="A1967" t="s">
        <v>6887</v>
      </c>
      <c r="B1967">
        <v>-3</v>
      </c>
    </row>
    <row r="1968" spans="1:2" x14ac:dyDescent="0.25">
      <c r="A1968" t="s">
        <v>6888</v>
      </c>
      <c r="B1968">
        <v>-2</v>
      </c>
    </row>
    <row r="1969" spans="1:2" x14ac:dyDescent="0.25">
      <c r="A1969" t="s">
        <v>6889</v>
      </c>
      <c r="B1969">
        <v>-2</v>
      </c>
    </row>
    <row r="1970" spans="1:2" x14ac:dyDescent="0.25">
      <c r="A1970" t="s">
        <v>6890</v>
      </c>
      <c r="B1970">
        <v>-2</v>
      </c>
    </row>
    <row r="1971" spans="1:2" x14ac:dyDescent="0.25">
      <c r="A1971" t="s">
        <v>6891</v>
      </c>
      <c r="B1971">
        <v>-2</v>
      </c>
    </row>
    <row r="1972" spans="1:2" x14ac:dyDescent="0.25">
      <c r="A1972" t="s">
        <v>6892</v>
      </c>
      <c r="B1972">
        <v>-2</v>
      </c>
    </row>
    <row r="1973" spans="1:2" x14ac:dyDescent="0.25">
      <c r="A1973" t="s">
        <v>6893</v>
      </c>
      <c r="B1973">
        <v>-2</v>
      </c>
    </row>
    <row r="1974" spans="1:2" x14ac:dyDescent="0.25">
      <c r="A1974" t="s">
        <v>6894</v>
      </c>
      <c r="B1974">
        <v>-2</v>
      </c>
    </row>
    <row r="1975" spans="1:2" x14ac:dyDescent="0.25">
      <c r="A1975" t="s">
        <v>6895</v>
      </c>
      <c r="B1975">
        <v>-2</v>
      </c>
    </row>
    <row r="1976" spans="1:2" x14ac:dyDescent="0.25">
      <c r="A1976" t="s">
        <v>6896</v>
      </c>
      <c r="B1976">
        <v>-2</v>
      </c>
    </row>
    <row r="1977" spans="1:2" x14ac:dyDescent="0.25">
      <c r="A1977" t="s">
        <v>6897</v>
      </c>
      <c r="B1977">
        <v>-2</v>
      </c>
    </row>
    <row r="1978" spans="1:2" x14ac:dyDescent="0.25">
      <c r="A1978" t="s">
        <v>6898</v>
      </c>
      <c r="B1978">
        <v>-3</v>
      </c>
    </row>
    <row r="1979" spans="1:2" x14ac:dyDescent="0.25">
      <c r="A1979" t="s">
        <v>6899</v>
      </c>
      <c r="B1979">
        <v>-2</v>
      </c>
    </row>
    <row r="1980" spans="1:2" x14ac:dyDescent="0.25">
      <c r="A1980" t="s">
        <v>6900</v>
      </c>
      <c r="B1980">
        <v>2</v>
      </c>
    </row>
    <row r="1981" spans="1:2" x14ac:dyDescent="0.25">
      <c r="A1981" t="s">
        <v>6901</v>
      </c>
      <c r="B1981">
        <v>2</v>
      </c>
    </row>
    <row r="1982" spans="1:2" x14ac:dyDescent="0.25">
      <c r="A1982" t="s">
        <v>6902</v>
      </c>
      <c r="B1982">
        <v>2</v>
      </c>
    </row>
    <row r="1983" spans="1:2" x14ac:dyDescent="0.25">
      <c r="A1983" t="s">
        <v>6903</v>
      </c>
      <c r="B1983">
        <v>-2</v>
      </c>
    </row>
    <row r="1984" spans="1:2" x14ac:dyDescent="0.25">
      <c r="A1984" t="s">
        <v>6904</v>
      </c>
      <c r="B1984">
        <v>1</v>
      </c>
    </row>
    <row r="1985" spans="1:2" x14ac:dyDescent="0.25">
      <c r="A1985" t="s">
        <v>6905</v>
      </c>
      <c r="B1985">
        <v>2</v>
      </c>
    </row>
    <row r="1986" spans="1:2" x14ac:dyDescent="0.25">
      <c r="A1986" t="s">
        <v>6906</v>
      </c>
      <c r="B1986">
        <v>2</v>
      </c>
    </row>
    <row r="1987" spans="1:2" x14ac:dyDescent="0.25">
      <c r="A1987" t="s">
        <v>6907</v>
      </c>
      <c r="B1987">
        <v>-2</v>
      </c>
    </row>
    <row r="1988" spans="1:2" x14ac:dyDescent="0.25">
      <c r="A1988" t="s">
        <v>6908</v>
      </c>
      <c r="B1988">
        <v>2</v>
      </c>
    </row>
    <row r="1989" spans="1:2" x14ac:dyDescent="0.25">
      <c r="A1989" t="s">
        <v>6909</v>
      </c>
      <c r="B1989">
        <v>2</v>
      </c>
    </row>
    <row r="1990" spans="1:2" x14ac:dyDescent="0.25">
      <c r="A1990" t="s">
        <v>6910</v>
      </c>
      <c r="B1990">
        <v>2</v>
      </c>
    </row>
    <row r="1991" spans="1:2" x14ac:dyDescent="0.25">
      <c r="A1991" t="s">
        <v>6911</v>
      </c>
      <c r="B1991">
        <v>2</v>
      </c>
    </row>
    <row r="1992" spans="1:2" x14ac:dyDescent="0.25">
      <c r="A1992" t="s">
        <v>6912</v>
      </c>
      <c r="B1992">
        <v>-2</v>
      </c>
    </row>
    <row r="1993" spans="1:2" x14ac:dyDescent="0.25">
      <c r="A1993" t="s">
        <v>6913</v>
      </c>
      <c r="B1993">
        <v>-1</v>
      </c>
    </row>
    <row r="1994" spans="1:2" x14ac:dyDescent="0.25">
      <c r="A1994" t="s">
        <v>6914</v>
      </c>
      <c r="B1994">
        <v>-2</v>
      </c>
    </row>
    <row r="1995" spans="1:2" x14ac:dyDescent="0.25">
      <c r="A1995" t="s">
        <v>6915</v>
      </c>
      <c r="B1995">
        <v>-2</v>
      </c>
    </row>
    <row r="1996" spans="1:2" x14ac:dyDescent="0.25">
      <c r="A1996" t="s">
        <v>6916</v>
      </c>
      <c r="B1996">
        <v>-2</v>
      </c>
    </row>
    <row r="1997" spans="1:2" x14ac:dyDescent="0.25">
      <c r="A1997" t="s">
        <v>6917</v>
      </c>
      <c r="B1997">
        <v>-2</v>
      </c>
    </row>
    <row r="1998" spans="1:2" x14ac:dyDescent="0.25">
      <c r="A1998" t="s">
        <v>6918</v>
      </c>
      <c r="B1998">
        <v>1</v>
      </c>
    </row>
    <row r="1999" spans="1:2" x14ac:dyDescent="0.25">
      <c r="A1999" t="s">
        <v>6919</v>
      </c>
      <c r="B1999">
        <v>-1</v>
      </c>
    </row>
    <row r="2000" spans="1:2" x14ac:dyDescent="0.25">
      <c r="A2000" t="s">
        <v>6920</v>
      </c>
      <c r="B2000">
        <v>2</v>
      </c>
    </row>
    <row r="2001" spans="1:2" x14ac:dyDescent="0.25">
      <c r="A2001" t="s">
        <v>6921</v>
      </c>
      <c r="B2001">
        <v>2</v>
      </c>
    </row>
    <row r="2002" spans="1:2" x14ac:dyDescent="0.25">
      <c r="A2002" t="s">
        <v>6922</v>
      </c>
      <c r="B2002">
        <v>1</v>
      </c>
    </row>
    <row r="2003" spans="1:2" x14ac:dyDescent="0.25">
      <c r="A2003" t="s">
        <v>6923</v>
      </c>
      <c r="B2003">
        <v>1</v>
      </c>
    </row>
    <row r="2004" spans="1:2" x14ac:dyDescent="0.25">
      <c r="A2004" t="s">
        <v>6924</v>
      </c>
      <c r="B2004">
        <v>1</v>
      </c>
    </row>
    <row r="2005" spans="1:2" x14ac:dyDescent="0.25">
      <c r="A2005" t="s">
        <v>6925</v>
      </c>
      <c r="B2005">
        <v>1</v>
      </c>
    </row>
    <row r="2006" spans="1:2" x14ac:dyDescent="0.25">
      <c r="A2006" t="s">
        <v>6926</v>
      </c>
      <c r="B2006">
        <v>1</v>
      </c>
    </row>
    <row r="2007" spans="1:2" x14ac:dyDescent="0.25">
      <c r="A2007" t="s">
        <v>6927</v>
      </c>
      <c r="B2007">
        <v>1</v>
      </c>
    </row>
    <row r="2008" spans="1:2" x14ac:dyDescent="0.25">
      <c r="A2008" t="s">
        <v>6928</v>
      </c>
      <c r="B2008">
        <v>-2</v>
      </c>
    </row>
    <row r="2009" spans="1:2" x14ac:dyDescent="0.25">
      <c r="A2009" t="s">
        <v>6929</v>
      </c>
      <c r="B2009">
        <v>3</v>
      </c>
    </row>
    <row r="2010" spans="1:2" x14ac:dyDescent="0.25">
      <c r="A2010" t="s">
        <v>6930</v>
      </c>
      <c r="B2010">
        <v>3</v>
      </c>
    </row>
    <row r="2011" spans="1:2" x14ac:dyDescent="0.25">
      <c r="A2011" t="s">
        <v>6931</v>
      </c>
      <c r="B2011">
        <v>3</v>
      </c>
    </row>
    <row r="2012" spans="1:2" x14ac:dyDescent="0.25">
      <c r="A2012" t="s">
        <v>6932</v>
      </c>
      <c r="B2012">
        <v>2</v>
      </c>
    </row>
    <row r="2013" spans="1:2" x14ac:dyDescent="0.25">
      <c r="A2013" t="s">
        <v>6933</v>
      </c>
      <c r="B2013">
        <v>-1</v>
      </c>
    </row>
    <row r="2014" spans="1:2" x14ac:dyDescent="0.25">
      <c r="A2014" t="s">
        <v>6934</v>
      </c>
      <c r="B2014">
        <v>-2</v>
      </c>
    </row>
    <row r="2015" spans="1:2" x14ac:dyDescent="0.25">
      <c r="A2015" t="s">
        <v>6935</v>
      </c>
      <c r="B2015">
        <v>-2</v>
      </c>
    </row>
    <row r="2016" spans="1:2" x14ac:dyDescent="0.25">
      <c r="A2016" t="s">
        <v>6936</v>
      </c>
      <c r="B2016">
        <v>-1</v>
      </c>
    </row>
    <row r="2017" spans="1:2" x14ac:dyDescent="0.25">
      <c r="A2017" t="s">
        <v>6937</v>
      </c>
      <c r="B2017">
        <v>-2</v>
      </c>
    </row>
    <row r="2018" spans="1:2" x14ac:dyDescent="0.25">
      <c r="A2018" t="s">
        <v>6938</v>
      </c>
      <c r="B2018">
        <v>-3</v>
      </c>
    </row>
    <row r="2019" spans="1:2" x14ac:dyDescent="0.25">
      <c r="A2019" t="s">
        <v>6939</v>
      </c>
      <c r="B2019">
        <v>-3</v>
      </c>
    </row>
    <row r="2020" spans="1:2" x14ac:dyDescent="0.25">
      <c r="A2020" t="s">
        <v>6940</v>
      </c>
      <c r="B2020">
        <v>-2</v>
      </c>
    </row>
    <row r="2021" spans="1:2" x14ac:dyDescent="0.25">
      <c r="A2021" t="s">
        <v>6941</v>
      </c>
      <c r="B2021">
        <v>1</v>
      </c>
    </row>
    <row r="2022" spans="1:2" x14ac:dyDescent="0.25">
      <c r="A2022" t="s">
        <v>6942</v>
      </c>
      <c r="B2022">
        <v>3</v>
      </c>
    </row>
    <row r="2023" spans="1:2" x14ac:dyDescent="0.25">
      <c r="A2023" t="s">
        <v>6943</v>
      </c>
      <c r="B2023">
        <v>3</v>
      </c>
    </row>
    <row r="2024" spans="1:2" x14ac:dyDescent="0.25">
      <c r="A2024" t="s">
        <v>6944</v>
      </c>
      <c r="B2024">
        <v>3</v>
      </c>
    </row>
    <row r="2025" spans="1:2" x14ac:dyDescent="0.25">
      <c r="A2025" t="s">
        <v>6945</v>
      </c>
      <c r="B2025">
        <v>-2</v>
      </c>
    </row>
    <row r="2026" spans="1:2" x14ac:dyDescent="0.25">
      <c r="A2026" t="s">
        <v>6946</v>
      </c>
      <c r="B2026">
        <v>1</v>
      </c>
    </row>
    <row r="2027" spans="1:2" x14ac:dyDescent="0.25">
      <c r="A2027" t="s">
        <v>6947</v>
      </c>
      <c r="B2027">
        <v>2</v>
      </c>
    </row>
    <row r="2028" spans="1:2" x14ac:dyDescent="0.25">
      <c r="A2028" t="s">
        <v>6948</v>
      </c>
      <c r="B2028">
        <v>-2</v>
      </c>
    </row>
    <row r="2029" spans="1:2" x14ac:dyDescent="0.25">
      <c r="A2029" t="s">
        <v>6949</v>
      </c>
      <c r="B2029">
        <v>-2</v>
      </c>
    </row>
    <row r="2030" spans="1:2" x14ac:dyDescent="0.25">
      <c r="A2030" t="s">
        <v>6950</v>
      </c>
      <c r="B2030">
        <v>3</v>
      </c>
    </row>
    <row r="2031" spans="1:2" x14ac:dyDescent="0.25">
      <c r="A2031" t="s">
        <v>6951</v>
      </c>
      <c r="B2031">
        <v>2</v>
      </c>
    </row>
    <row r="2032" spans="1:2" x14ac:dyDescent="0.25">
      <c r="A2032" t="s">
        <v>6952</v>
      </c>
      <c r="B2032">
        <v>-1</v>
      </c>
    </row>
    <row r="2033" spans="1:2" x14ac:dyDescent="0.25">
      <c r="A2033" t="s">
        <v>6953</v>
      </c>
      <c r="B2033">
        <v>-2</v>
      </c>
    </row>
    <row r="2034" spans="1:2" x14ac:dyDescent="0.25">
      <c r="A2034" t="s">
        <v>6954</v>
      </c>
      <c r="B2034">
        <v>-2</v>
      </c>
    </row>
    <row r="2035" spans="1:2" x14ac:dyDescent="0.25">
      <c r="A2035" t="s">
        <v>6955</v>
      </c>
      <c r="B2035">
        <v>2</v>
      </c>
    </row>
    <row r="2036" spans="1:2" x14ac:dyDescent="0.25">
      <c r="A2036" t="s">
        <v>6956</v>
      </c>
      <c r="B2036">
        <v>-2</v>
      </c>
    </row>
    <row r="2037" spans="1:2" x14ac:dyDescent="0.25">
      <c r="A2037" t="s">
        <v>6957</v>
      </c>
      <c r="B2037">
        <v>-2</v>
      </c>
    </row>
    <row r="2038" spans="1:2" x14ac:dyDescent="0.25">
      <c r="A2038" t="s">
        <v>6958</v>
      </c>
      <c r="B2038">
        <v>-2</v>
      </c>
    </row>
    <row r="2039" spans="1:2" x14ac:dyDescent="0.25">
      <c r="A2039" t="s">
        <v>6959</v>
      </c>
      <c r="B2039">
        <v>-2</v>
      </c>
    </row>
    <row r="2040" spans="1:2" x14ac:dyDescent="0.25">
      <c r="A2040" t="s">
        <v>6960</v>
      </c>
      <c r="B2040">
        <v>2</v>
      </c>
    </row>
    <row r="2041" spans="1:2" x14ac:dyDescent="0.25">
      <c r="A2041" t="s">
        <v>6961</v>
      </c>
      <c r="B2041">
        <v>-2</v>
      </c>
    </row>
    <row r="2042" spans="1:2" x14ac:dyDescent="0.25">
      <c r="A2042" t="s">
        <v>6962</v>
      </c>
      <c r="B2042">
        <v>-2</v>
      </c>
    </row>
    <row r="2043" spans="1:2" x14ac:dyDescent="0.25">
      <c r="A2043" t="s">
        <v>6963</v>
      </c>
      <c r="B2043">
        <v>-2</v>
      </c>
    </row>
    <row r="2044" spans="1:2" x14ac:dyDescent="0.25">
      <c r="A2044" t="s">
        <v>6964</v>
      </c>
      <c r="B2044">
        <v>-2</v>
      </c>
    </row>
    <row r="2045" spans="1:2" x14ac:dyDescent="0.25">
      <c r="A2045" t="s">
        <v>6965</v>
      </c>
      <c r="B2045">
        <v>-2</v>
      </c>
    </row>
    <row r="2046" spans="1:2" x14ac:dyDescent="0.25">
      <c r="A2046" t="s">
        <v>6966</v>
      </c>
      <c r="B2046">
        <v>-2</v>
      </c>
    </row>
    <row r="2047" spans="1:2" x14ac:dyDescent="0.25">
      <c r="A2047" t="s">
        <v>6967</v>
      </c>
      <c r="B2047">
        <v>2</v>
      </c>
    </row>
    <row r="2048" spans="1:2" x14ac:dyDescent="0.25">
      <c r="A2048" t="s">
        <v>6968</v>
      </c>
      <c r="B2048">
        <v>-2</v>
      </c>
    </row>
    <row r="2049" spans="1:2" x14ac:dyDescent="0.25">
      <c r="A2049" t="s">
        <v>6969</v>
      </c>
      <c r="B2049">
        <v>-2</v>
      </c>
    </row>
    <row r="2050" spans="1:2" x14ac:dyDescent="0.25">
      <c r="A2050" t="s">
        <v>6970</v>
      </c>
      <c r="B2050">
        <v>-2</v>
      </c>
    </row>
    <row r="2051" spans="1:2" x14ac:dyDescent="0.25">
      <c r="A2051" t="s">
        <v>6971</v>
      </c>
      <c r="B2051">
        <v>-2</v>
      </c>
    </row>
    <row r="2052" spans="1:2" x14ac:dyDescent="0.25">
      <c r="A2052" t="s">
        <v>6972</v>
      </c>
      <c r="B2052">
        <v>-1</v>
      </c>
    </row>
    <row r="2053" spans="1:2" x14ac:dyDescent="0.25">
      <c r="A2053" t="s">
        <v>6973</v>
      </c>
      <c r="B2053">
        <v>1</v>
      </c>
    </row>
    <row r="2054" spans="1:2" x14ac:dyDescent="0.25">
      <c r="A2054" t="s">
        <v>6974</v>
      </c>
      <c r="B2054">
        <v>1</v>
      </c>
    </row>
    <row r="2055" spans="1:2" x14ac:dyDescent="0.25">
      <c r="A2055" t="s">
        <v>6975</v>
      </c>
      <c r="B2055">
        <v>1</v>
      </c>
    </row>
    <row r="2056" spans="1:2" x14ac:dyDescent="0.25">
      <c r="A2056" t="s">
        <v>6976</v>
      </c>
      <c r="B2056">
        <v>2</v>
      </c>
    </row>
    <row r="2057" spans="1:2" x14ac:dyDescent="0.25">
      <c r="A2057" t="s">
        <v>6977</v>
      </c>
      <c r="B2057">
        <v>-2</v>
      </c>
    </row>
    <row r="2058" spans="1:2" x14ac:dyDescent="0.25">
      <c r="A2058" t="s">
        <v>6978</v>
      </c>
      <c r="B2058">
        <v>-2</v>
      </c>
    </row>
    <row r="2059" spans="1:2" x14ac:dyDescent="0.25">
      <c r="A2059" t="s">
        <v>6979</v>
      </c>
      <c r="B2059">
        <v>-1</v>
      </c>
    </row>
    <row r="2060" spans="1:2" x14ac:dyDescent="0.25">
      <c r="A2060" t="s">
        <v>6980</v>
      </c>
      <c r="B2060">
        <v>-1</v>
      </c>
    </row>
    <row r="2061" spans="1:2" x14ac:dyDescent="0.25">
      <c r="A2061" t="s">
        <v>6981</v>
      </c>
      <c r="B2061">
        <v>-1</v>
      </c>
    </row>
    <row r="2062" spans="1:2" x14ac:dyDescent="0.25">
      <c r="A2062" t="s">
        <v>6982</v>
      </c>
      <c r="B2062">
        <v>-1</v>
      </c>
    </row>
    <row r="2063" spans="1:2" x14ac:dyDescent="0.25">
      <c r="A2063" t="s">
        <v>6983</v>
      </c>
      <c r="B2063">
        <v>2</v>
      </c>
    </row>
    <row r="2064" spans="1:2" x14ac:dyDescent="0.25">
      <c r="A2064" t="s">
        <v>6984</v>
      </c>
      <c r="B2064">
        <v>1</v>
      </c>
    </row>
    <row r="2065" spans="1:2" x14ac:dyDescent="0.25">
      <c r="A2065" t="s">
        <v>6985</v>
      </c>
      <c r="B2065">
        <v>-1</v>
      </c>
    </row>
    <row r="2066" spans="1:2" x14ac:dyDescent="0.25">
      <c r="A2066" t="s">
        <v>6986</v>
      </c>
      <c r="B2066">
        <v>-1</v>
      </c>
    </row>
    <row r="2067" spans="1:2" x14ac:dyDescent="0.25">
      <c r="A2067" t="s">
        <v>6987</v>
      </c>
      <c r="B2067">
        <v>-2</v>
      </c>
    </row>
    <row r="2068" spans="1:2" x14ac:dyDescent="0.25">
      <c r="A2068" t="s">
        <v>6988</v>
      </c>
      <c r="B2068">
        <v>2</v>
      </c>
    </row>
    <row r="2069" spans="1:2" x14ac:dyDescent="0.25">
      <c r="A2069" t="s">
        <v>6989</v>
      </c>
      <c r="B2069">
        <v>2</v>
      </c>
    </row>
    <row r="2070" spans="1:2" x14ac:dyDescent="0.25">
      <c r="A2070" t="s">
        <v>6990</v>
      </c>
      <c r="B2070">
        <v>2</v>
      </c>
    </row>
    <row r="2071" spans="1:2" x14ac:dyDescent="0.25">
      <c r="A2071" t="s">
        <v>6991</v>
      </c>
      <c r="B2071">
        <v>2</v>
      </c>
    </row>
    <row r="2072" spans="1:2" x14ac:dyDescent="0.25">
      <c r="A2072" t="s">
        <v>6992</v>
      </c>
      <c r="B2072">
        <v>2</v>
      </c>
    </row>
    <row r="2073" spans="1:2" x14ac:dyDescent="0.25">
      <c r="A2073" t="s">
        <v>6993</v>
      </c>
      <c r="B2073">
        <v>-2</v>
      </c>
    </row>
    <row r="2074" spans="1:2" x14ac:dyDescent="0.25">
      <c r="A2074" t="s">
        <v>6994</v>
      </c>
      <c r="B2074">
        <v>-2</v>
      </c>
    </row>
    <row r="2075" spans="1:2" x14ac:dyDescent="0.25">
      <c r="A2075" t="s">
        <v>6995</v>
      </c>
      <c r="B2075">
        <v>-2</v>
      </c>
    </row>
    <row r="2076" spans="1:2" x14ac:dyDescent="0.25">
      <c r="A2076" t="s">
        <v>6996</v>
      </c>
      <c r="B2076">
        <v>-2</v>
      </c>
    </row>
    <row r="2077" spans="1:2" x14ac:dyDescent="0.25">
      <c r="A2077" t="s">
        <v>6997</v>
      </c>
      <c r="B2077">
        <v>-1</v>
      </c>
    </row>
    <row r="2078" spans="1:2" x14ac:dyDescent="0.25">
      <c r="A2078" t="s">
        <v>6998</v>
      </c>
      <c r="B2078">
        <v>-2</v>
      </c>
    </row>
    <row r="2079" spans="1:2" x14ac:dyDescent="0.25">
      <c r="A2079" t="s">
        <v>6999</v>
      </c>
      <c r="B2079">
        <v>-1</v>
      </c>
    </row>
    <row r="2080" spans="1:2" x14ac:dyDescent="0.25">
      <c r="A2080" t="s">
        <v>7000</v>
      </c>
      <c r="B2080">
        <v>2</v>
      </c>
    </row>
    <row r="2081" spans="1:2" x14ac:dyDescent="0.25">
      <c r="A2081" t="s">
        <v>7001</v>
      </c>
      <c r="B2081">
        <v>2</v>
      </c>
    </row>
    <row r="2082" spans="1:2" x14ac:dyDescent="0.25">
      <c r="A2082" t="s">
        <v>7002</v>
      </c>
      <c r="B2082">
        <v>2</v>
      </c>
    </row>
    <row r="2083" spans="1:2" x14ac:dyDescent="0.25">
      <c r="A2083" t="s">
        <v>7003</v>
      </c>
      <c r="B2083">
        <v>-1</v>
      </c>
    </row>
    <row r="2084" spans="1:2" x14ac:dyDescent="0.25">
      <c r="A2084" t="s">
        <v>7004</v>
      </c>
      <c r="B2084">
        <v>-2</v>
      </c>
    </row>
    <row r="2085" spans="1:2" x14ac:dyDescent="0.25">
      <c r="A2085" t="s">
        <v>7005</v>
      </c>
      <c r="B2085">
        <v>-2</v>
      </c>
    </row>
    <row r="2086" spans="1:2" x14ac:dyDescent="0.25">
      <c r="A2086" t="s">
        <v>7006</v>
      </c>
      <c r="B2086">
        <v>-2</v>
      </c>
    </row>
    <row r="2087" spans="1:2" x14ac:dyDescent="0.25">
      <c r="A2087" t="s">
        <v>7007</v>
      </c>
      <c r="B2087">
        <v>-2</v>
      </c>
    </row>
    <row r="2088" spans="1:2" x14ac:dyDescent="0.25">
      <c r="A2088" t="s">
        <v>7008</v>
      </c>
      <c r="B2088">
        <v>-2</v>
      </c>
    </row>
    <row r="2089" spans="1:2" x14ac:dyDescent="0.25">
      <c r="A2089" t="s">
        <v>7009</v>
      </c>
      <c r="B2089">
        <v>-2</v>
      </c>
    </row>
    <row r="2090" spans="1:2" x14ac:dyDescent="0.25">
      <c r="A2090" t="s">
        <v>7010</v>
      </c>
      <c r="B2090">
        <v>-2</v>
      </c>
    </row>
    <row r="2091" spans="1:2" x14ac:dyDescent="0.25">
      <c r="A2091" t="s">
        <v>7011</v>
      </c>
      <c r="B2091">
        <v>4</v>
      </c>
    </row>
    <row r="2092" spans="1:2" x14ac:dyDescent="0.25">
      <c r="A2092" t="s">
        <v>2693</v>
      </c>
      <c r="B2092">
        <v>-2</v>
      </c>
    </row>
    <row r="2093" spans="1:2" x14ac:dyDescent="0.25">
      <c r="A2093" t="s">
        <v>7012</v>
      </c>
      <c r="B2093">
        <v>-2</v>
      </c>
    </row>
    <row r="2094" spans="1:2" x14ac:dyDescent="0.25">
      <c r="A2094" t="s">
        <v>7013</v>
      </c>
      <c r="B2094">
        <v>2</v>
      </c>
    </row>
    <row r="2095" spans="1:2" x14ac:dyDescent="0.25">
      <c r="A2095" t="s">
        <v>7014</v>
      </c>
      <c r="B2095">
        <v>1</v>
      </c>
    </row>
    <row r="2096" spans="1:2" x14ac:dyDescent="0.25">
      <c r="A2096" t="s">
        <v>7015</v>
      </c>
      <c r="B2096">
        <v>1</v>
      </c>
    </row>
    <row r="2097" spans="1:2" x14ac:dyDescent="0.25">
      <c r="A2097" t="s">
        <v>7016</v>
      </c>
      <c r="B2097">
        <v>-2</v>
      </c>
    </row>
    <row r="2098" spans="1:2" x14ac:dyDescent="0.25">
      <c r="A2098" t="s">
        <v>7017</v>
      </c>
      <c r="B2098">
        <v>2</v>
      </c>
    </row>
    <row r="2099" spans="1:2" x14ac:dyDescent="0.25">
      <c r="A2099" t="s">
        <v>7018</v>
      </c>
      <c r="B2099">
        <v>3</v>
      </c>
    </row>
    <row r="2100" spans="1:2" x14ac:dyDescent="0.25">
      <c r="A2100" t="s">
        <v>7019</v>
      </c>
      <c r="B2100">
        <v>-3</v>
      </c>
    </row>
    <row r="2101" spans="1:2" x14ac:dyDescent="0.25">
      <c r="A2101" t="s">
        <v>7020</v>
      </c>
      <c r="B2101">
        <v>-3</v>
      </c>
    </row>
    <row r="2102" spans="1:2" x14ac:dyDescent="0.25">
      <c r="A2102" t="s">
        <v>7021</v>
      </c>
      <c r="B2102">
        <v>-2</v>
      </c>
    </row>
    <row r="2103" spans="1:2" x14ac:dyDescent="0.25">
      <c r="A2103" t="s">
        <v>7022</v>
      </c>
      <c r="B2103">
        <v>-2</v>
      </c>
    </row>
    <row r="2104" spans="1:2" x14ac:dyDescent="0.25">
      <c r="A2104" t="s">
        <v>7023</v>
      </c>
      <c r="B2104">
        <v>-2</v>
      </c>
    </row>
    <row r="2105" spans="1:2" x14ac:dyDescent="0.25">
      <c r="A2105" t="s">
        <v>7024</v>
      </c>
      <c r="B2105">
        <v>-2</v>
      </c>
    </row>
    <row r="2106" spans="1:2" x14ac:dyDescent="0.25">
      <c r="A2106" t="s">
        <v>7025</v>
      </c>
      <c r="B2106">
        <v>-2</v>
      </c>
    </row>
    <row r="2107" spans="1:2" x14ac:dyDescent="0.25">
      <c r="A2107" t="s">
        <v>7026</v>
      </c>
      <c r="B2107">
        <v>-2</v>
      </c>
    </row>
    <row r="2108" spans="1:2" x14ac:dyDescent="0.25">
      <c r="A2108" t="s">
        <v>7027</v>
      </c>
      <c r="B2108">
        <v>-2</v>
      </c>
    </row>
    <row r="2109" spans="1:2" x14ac:dyDescent="0.25">
      <c r="A2109" t="s">
        <v>7028</v>
      </c>
      <c r="B2109">
        <v>-2</v>
      </c>
    </row>
    <row r="2110" spans="1:2" x14ac:dyDescent="0.25">
      <c r="A2110" t="s">
        <v>7029</v>
      </c>
      <c r="B2110">
        <v>-2</v>
      </c>
    </row>
    <row r="2111" spans="1:2" x14ac:dyDescent="0.25">
      <c r="A2111" t="s">
        <v>7030</v>
      </c>
      <c r="B2111">
        <v>2</v>
      </c>
    </row>
    <row r="2112" spans="1:2" x14ac:dyDescent="0.25">
      <c r="A2112" t="s">
        <v>7031</v>
      </c>
      <c r="B2112">
        <v>3</v>
      </c>
    </row>
    <row r="2113" spans="1:2" x14ac:dyDescent="0.25">
      <c r="A2113" t="s">
        <v>7032</v>
      </c>
      <c r="B2113">
        <v>5</v>
      </c>
    </row>
    <row r="2114" spans="1:2" x14ac:dyDescent="0.25">
      <c r="A2114" t="s">
        <v>7033</v>
      </c>
      <c r="B2114">
        <v>2</v>
      </c>
    </row>
    <row r="2115" spans="1:2" x14ac:dyDescent="0.25">
      <c r="A2115" t="s">
        <v>7034</v>
      </c>
      <c r="B2115">
        <v>2</v>
      </c>
    </row>
    <row r="2116" spans="1:2" x14ac:dyDescent="0.25">
      <c r="A2116" t="s">
        <v>7035</v>
      </c>
      <c r="B2116">
        <v>2</v>
      </c>
    </row>
    <row r="2117" spans="1:2" x14ac:dyDescent="0.25">
      <c r="A2117" t="s">
        <v>7036</v>
      </c>
      <c r="B2117">
        <v>1</v>
      </c>
    </row>
    <row r="2118" spans="1:2" x14ac:dyDescent="0.25">
      <c r="A2118" t="s">
        <v>7037</v>
      </c>
      <c r="B2118">
        <v>1</v>
      </c>
    </row>
    <row r="2119" spans="1:2" x14ac:dyDescent="0.25">
      <c r="A2119" t="s">
        <v>7038</v>
      </c>
      <c r="B2119">
        <v>1</v>
      </c>
    </row>
    <row r="2120" spans="1:2" x14ac:dyDescent="0.25">
      <c r="A2120" t="s">
        <v>7039</v>
      </c>
      <c r="B2120">
        <v>2</v>
      </c>
    </row>
    <row r="2121" spans="1:2" x14ac:dyDescent="0.25">
      <c r="A2121" t="s">
        <v>7040</v>
      </c>
      <c r="B2121">
        <v>2</v>
      </c>
    </row>
    <row r="2122" spans="1:2" x14ac:dyDescent="0.25">
      <c r="A2122" t="s">
        <v>7041</v>
      </c>
      <c r="B2122">
        <v>2</v>
      </c>
    </row>
    <row r="2123" spans="1:2" x14ac:dyDescent="0.25">
      <c r="A2123" t="s">
        <v>7042</v>
      </c>
      <c r="B2123">
        <v>2</v>
      </c>
    </row>
    <row r="2124" spans="1:2" x14ac:dyDescent="0.25">
      <c r="A2124" t="s">
        <v>7043</v>
      </c>
      <c r="B2124">
        <v>2</v>
      </c>
    </row>
    <row r="2125" spans="1:2" x14ac:dyDescent="0.25">
      <c r="A2125" t="s">
        <v>7044</v>
      </c>
      <c r="B2125">
        <v>-1</v>
      </c>
    </row>
    <row r="2126" spans="1:2" x14ac:dyDescent="0.25">
      <c r="A2126" t="s">
        <v>7045</v>
      </c>
      <c r="B2126">
        <v>-1</v>
      </c>
    </row>
    <row r="2127" spans="1:2" x14ac:dyDescent="0.25">
      <c r="A2127" t="s">
        <v>7046</v>
      </c>
      <c r="B2127">
        <v>-1</v>
      </c>
    </row>
    <row r="2128" spans="1:2" x14ac:dyDescent="0.25">
      <c r="A2128" t="s">
        <v>7047</v>
      </c>
      <c r="B2128">
        <v>-1</v>
      </c>
    </row>
    <row r="2129" spans="1:2" x14ac:dyDescent="0.25">
      <c r="A2129" t="s">
        <v>7048</v>
      </c>
      <c r="B2129">
        <v>-1</v>
      </c>
    </row>
    <row r="2130" spans="1:2" x14ac:dyDescent="0.25">
      <c r="A2130" t="s">
        <v>7049</v>
      </c>
      <c r="B2130">
        <v>-1</v>
      </c>
    </row>
    <row r="2131" spans="1:2" x14ac:dyDescent="0.25">
      <c r="A2131" t="s">
        <v>7050</v>
      </c>
      <c r="B2131">
        <v>-2</v>
      </c>
    </row>
    <row r="2132" spans="1:2" x14ac:dyDescent="0.25">
      <c r="A2132" t="s">
        <v>7051</v>
      </c>
      <c r="B2132">
        <v>-2</v>
      </c>
    </row>
    <row r="2133" spans="1:2" x14ac:dyDescent="0.25">
      <c r="A2133" t="s">
        <v>7052</v>
      </c>
      <c r="B2133">
        <v>-2</v>
      </c>
    </row>
    <row r="2134" spans="1:2" x14ac:dyDescent="0.25">
      <c r="A2134" t="s">
        <v>7053</v>
      </c>
      <c r="B2134">
        <v>-2</v>
      </c>
    </row>
    <row r="2135" spans="1:2" x14ac:dyDescent="0.25">
      <c r="A2135" t="s">
        <v>7054</v>
      </c>
      <c r="B2135">
        <v>2</v>
      </c>
    </row>
    <row r="2136" spans="1:2" x14ac:dyDescent="0.25">
      <c r="A2136" t="s">
        <v>7055</v>
      </c>
      <c r="B2136">
        <v>2</v>
      </c>
    </row>
    <row r="2137" spans="1:2" x14ac:dyDescent="0.25">
      <c r="A2137" t="s">
        <v>7056</v>
      </c>
      <c r="B2137">
        <v>2</v>
      </c>
    </row>
    <row r="2138" spans="1:2" x14ac:dyDescent="0.25">
      <c r="A2138" t="s">
        <v>7057</v>
      </c>
      <c r="B2138">
        <v>-3</v>
      </c>
    </row>
    <row r="2139" spans="1:2" x14ac:dyDescent="0.25">
      <c r="A2139" t="s">
        <v>7058</v>
      </c>
      <c r="B2139">
        <v>-3</v>
      </c>
    </row>
    <row r="2140" spans="1:2" x14ac:dyDescent="0.25">
      <c r="A2140" t="s">
        <v>7059</v>
      </c>
      <c r="B2140">
        <v>-3</v>
      </c>
    </row>
    <row r="2141" spans="1:2" x14ac:dyDescent="0.25">
      <c r="A2141" t="s">
        <v>7060</v>
      </c>
      <c r="B2141">
        <v>2</v>
      </c>
    </row>
    <row r="2142" spans="1:2" x14ac:dyDescent="0.25">
      <c r="A2142" t="s">
        <v>7061</v>
      </c>
      <c r="B2142">
        <v>2</v>
      </c>
    </row>
    <row r="2143" spans="1:2" x14ac:dyDescent="0.25">
      <c r="A2143" t="s">
        <v>7062</v>
      </c>
      <c r="B2143">
        <v>-2</v>
      </c>
    </row>
    <row r="2144" spans="1:2" x14ac:dyDescent="0.25">
      <c r="A2144" t="s">
        <v>7063</v>
      </c>
      <c r="B2144">
        <v>2</v>
      </c>
    </row>
    <row r="2145" spans="1:2" x14ac:dyDescent="0.25">
      <c r="A2145" t="s">
        <v>7064</v>
      </c>
      <c r="B2145">
        <v>-2</v>
      </c>
    </row>
    <row r="2146" spans="1:2" x14ac:dyDescent="0.25">
      <c r="A2146" t="s">
        <v>7065</v>
      </c>
      <c r="B2146">
        <v>-1</v>
      </c>
    </row>
    <row r="2147" spans="1:2" x14ac:dyDescent="0.25">
      <c r="A2147" t="s">
        <v>7066</v>
      </c>
      <c r="B2147">
        <v>-3</v>
      </c>
    </row>
    <row r="2148" spans="1:2" x14ac:dyDescent="0.25">
      <c r="A2148" t="s">
        <v>7067</v>
      </c>
      <c r="B2148">
        <v>-3</v>
      </c>
    </row>
    <row r="2149" spans="1:2" x14ac:dyDescent="0.25">
      <c r="A2149" t="s">
        <v>7068</v>
      </c>
      <c r="B2149">
        <v>4</v>
      </c>
    </row>
    <row r="2150" spans="1:2" x14ac:dyDescent="0.25">
      <c r="A2150" t="s">
        <v>7069</v>
      </c>
      <c r="B2150">
        <v>-3</v>
      </c>
    </row>
    <row r="2151" spans="1:2" x14ac:dyDescent="0.25">
      <c r="A2151" t="s">
        <v>7070</v>
      </c>
      <c r="B2151">
        <v>-3</v>
      </c>
    </row>
    <row r="2152" spans="1:2" x14ac:dyDescent="0.25">
      <c r="A2152" t="s">
        <v>7071</v>
      </c>
      <c r="B2152">
        <v>-3</v>
      </c>
    </row>
    <row r="2153" spans="1:2" x14ac:dyDescent="0.25">
      <c r="A2153" t="s">
        <v>7072</v>
      </c>
      <c r="B2153">
        <v>-3</v>
      </c>
    </row>
    <row r="2154" spans="1:2" x14ac:dyDescent="0.25">
      <c r="A2154" t="s">
        <v>7073</v>
      </c>
      <c r="B2154">
        <v>-3</v>
      </c>
    </row>
    <row r="2155" spans="1:2" x14ac:dyDescent="0.25">
      <c r="A2155" t="s">
        <v>7074</v>
      </c>
      <c r="B2155">
        <v>2</v>
      </c>
    </row>
    <row r="2156" spans="1:2" x14ac:dyDescent="0.25">
      <c r="A2156" t="s">
        <v>7075</v>
      </c>
      <c r="B2156">
        <v>2</v>
      </c>
    </row>
    <row r="2157" spans="1:2" x14ac:dyDescent="0.25">
      <c r="A2157" t="s">
        <v>7076</v>
      </c>
      <c r="B2157">
        <v>2</v>
      </c>
    </row>
    <row r="2158" spans="1:2" x14ac:dyDescent="0.25">
      <c r="A2158" t="s">
        <v>7077</v>
      </c>
      <c r="B2158">
        <v>-2</v>
      </c>
    </row>
    <row r="2159" spans="1:2" x14ac:dyDescent="0.25">
      <c r="A2159" t="s">
        <v>7078</v>
      </c>
      <c r="B2159">
        <v>2</v>
      </c>
    </row>
    <row r="2160" spans="1:2" x14ac:dyDescent="0.25">
      <c r="A2160" t="s">
        <v>7079</v>
      </c>
      <c r="B2160">
        <v>-2</v>
      </c>
    </row>
    <row r="2161" spans="1:2" x14ac:dyDescent="0.25">
      <c r="A2161" t="s">
        <v>7080</v>
      </c>
      <c r="B2161">
        <v>-2</v>
      </c>
    </row>
    <row r="2162" spans="1:2" x14ac:dyDescent="0.25">
      <c r="A2162" t="s">
        <v>7081</v>
      </c>
      <c r="B2162">
        <v>-2</v>
      </c>
    </row>
    <row r="2163" spans="1:2" x14ac:dyDescent="0.25">
      <c r="A2163" t="s">
        <v>7082</v>
      </c>
      <c r="B2163">
        <v>-2</v>
      </c>
    </row>
    <row r="2164" spans="1:2" x14ac:dyDescent="0.25">
      <c r="A2164" t="s">
        <v>7083</v>
      </c>
      <c r="B2164">
        <v>-2</v>
      </c>
    </row>
    <row r="2165" spans="1:2" x14ac:dyDescent="0.25">
      <c r="A2165" t="s">
        <v>7084</v>
      </c>
      <c r="B2165">
        <v>-2</v>
      </c>
    </row>
    <row r="2166" spans="1:2" x14ac:dyDescent="0.25">
      <c r="A2166" t="s">
        <v>7085</v>
      </c>
      <c r="B2166">
        <v>-2</v>
      </c>
    </row>
    <row r="2167" spans="1:2" x14ac:dyDescent="0.25">
      <c r="A2167" t="s">
        <v>7086</v>
      </c>
      <c r="B2167">
        <v>5</v>
      </c>
    </row>
    <row r="2168" spans="1:2" x14ac:dyDescent="0.25">
      <c r="A2168" t="s">
        <v>7087</v>
      </c>
      <c r="B2168">
        <v>-2</v>
      </c>
    </row>
    <row r="2169" spans="1:2" x14ac:dyDescent="0.25">
      <c r="A2169" t="s">
        <v>7088</v>
      </c>
      <c r="B2169">
        <v>-2</v>
      </c>
    </row>
    <row r="2170" spans="1:2" x14ac:dyDescent="0.25">
      <c r="A2170" t="s">
        <v>7089</v>
      </c>
      <c r="B2170">
        <v>-2</v>
      </c>
    </row>
    <row r="2171" spans="1:2" x14ac:dyDescent="0.25">
      <c r="A2171" t="s">
        <v>7090</v>
      </c>
      <c r="B2171">
        <v>-2</v>
      </c>
    </row>
    <row r="2172" spans="1:2" x14ac:dyDescent="0.25">
      <c r="A2172" t="s">
        <v>7091</v>
      </c>
      <c r="B2172">
        <v>-2</v>
      </c>
    </row>
    <row r="2173" spans="1:2" x14ac:dyDescent="0.25">
      <c r="A2173" t="s">
        <v>7092</v>
      </c>
      <c r="B2173">
        <v>-2</v>
      </c>
    </row>
    <row r="2174" spans="1:2" x14ac:dyDescent="0.25">
      <c r="A2174" t="s">
        <v>7093</v>
      </c>
      <c r="B2174">
        <v>-2</v>
      </c>
    </row>
    <row r="2175" spans="1:2" x14ac:dyDescent="0.25">
      <c r="A2175" t="s">
        <v>7094</v>
      </c>
      <c r="B2175">
        <v>2</v>
      </c>
    </row>
    <row r="2176" spans="1:2" x14ac:dyDescent="0.25">
      <c r="A2176" t="s">
        <v>7095</v>
      </c>
      <c r="B2176">
        <v>-2</v>
      </c>
    </row>
    <row r="2177" spans="1:2" x14ac:dyDescent="0.25">
      <c r="A2177" t="s">
        <v>7096</v>
      </c>
      <c r="B2177">
        <v>2</v>
      </c>
    </row>
    <row r="2178" spans="1:2" x14ac:dyDescent="0.25">
      <c r="A2178" t="s">
        <v>7097</v>
      </c>
      <c r="B2178">
        <v>2</v>
      </c>
    </row>
    <row r="2179" spans="1:2" x14ac:dyDescent="0.25">
      <c r="A2179" t="s">
        <v>7098</v>
      </c>
      <c r="B2179">
        <v>-2</v>
      </c>
    </row>
    <row r="2180" spans="1:2" x14ac:dyDescent="0.25">
      <c r="A2180" t="s">
        <v>7099</v>
      </c>
      <c r="B2180">
        <v>-4</v>
      </c>
    </row>
    <row r="2181" spans="1:2" x14ac:dyDescent="0.25">
      <c r="A2181" t="s">
        <v>7100</v>
      </c>
      <c r="B2181">
        <v>-4</v>
      </c>
    </row>
    <row r="2182" spans="1:2" x14ac:dyDescent="0.25">
      <c r="A2182" t="s">
        <v>7101</v>
      </c>
      <c r="B2182">
        <v>-4</v>
      </c>
    </row>
    <row r="2183" spans="1:2" x14ac:dyDescent="0.25">
      <c r="A2183" t="s">
        <v>7102</v>
      </c>
      <c r="B2183">
        <v>-4</v>
      </c>
    </row>
    <row r="2184" spans="1:2" x14ac:dyDescent="0.25">
      <c r="A2184" t="s">
        <v>7103</v>
      </c>
      <c r="B2184">
        <v>-2</v>
      </c>
    </row>
    <row r="2185" spans="1:2" x14ac:dyDescent="0.25">
      <c r="A2185" t="s">
        <v>7104</v>
      </c>
      <c r="B2185">
        <v>-2</v>
      </c>
    </row>
    <row r="2186" spans="1:2" x14ac:dyDescent="0.25">
      <c r="A2186" t="s">
        <v>7105</v>
      </c>
      <c r="B2186">
        <v>-2</v>
      </c>
    </row>
    <row r="2187" spans="1:2" x14ac:dyDescent="0.25">
      <c r="A2187" t="s">
        <v>7106</v>
      </c>
      <c r="B2187">
        <v>-2</v>
      </c>
    </row>
    <row r="2188" spans="1:2" x14ac:dyDescent="0.25">
      <c r="A2188" t="s">
        <v>7107</v>
      </c>
      <c r="B2188">
        <v>-2</v>
      </c>
    </row>
    <row r="2189" spans="1:2" x14ac:dyDescent="0.25">
      <c r="A2189" t="s">
        <v>7108</v>
      </c>
      <c r="B2189">
        <v>-2</v>
      </c>
    </row>
    <row r="2190" spans="1:2" x14ac:dyDescent="0.25">
      <c r="A2190" t="s">
        <v>7109</v>
      </c>
      <c r="B2190">
        <v>-2</v>
      </c>
    </row>
    <row r="2191" spans="1:2" x14ac:dyDescent="0.25">
      <c r="A2191" t="s">
        <v>7110</v>
      </c>
      <c r="B2191">
        <v>-2</v>
      </c>
    </row>
    <row r="2192" spans="1:2" x14ac:dyDescent="0.25">
      <c r="A2192" t="s">
        <v>7111</v>
      </c>
      <c r="B2192">
        <v>2</v>
      </c>
    </row>
    <row r="2193" spans="1:2" x14ac:dyDescent="0.25">
      <c r="A2193" t="s">
        <v>7112</v>
      </c>
      <c r="B2193">
        <v>-1</v>
      </c>
    </row>
    <row r="2194" spans="1:2" x14ac:dyDescent="0.25">
      <c r="A2194" t="s">
        <v>7113</v>
      </c>
      <c r="B2194">
        <v>-2</v>
      </c>
    </row>
    <row r="2195" spans="1:2" x14ac:dyDescent="0.25">
      <c r="A2195" t="s">
        <v>7114</v>
      </c>
      <c r="B2195">
        <v>-3</v>
      </c>
    </row>
    <row r="2196" spans="1:2" x14ac:dyDescent="0.25">
      <c r="A2196" t="s">
        <v>7115</v>
      </c>
      <c r="B2196">
        <v>-3</v>
      </c>
    </row>
    <row r="2197" spans="1:2" x14ac:dyDescent="0.25">
      <c r="A2197" t="s">
        <v>7116</v>
      </c>
      <c r="B2197">
        <v>-2</v>
      </c>
    </row>
    <row r="2198" spans="1:2" x14ac:dyDescent="0.25">
      <c r="A2198" t="s">
        <v>7117</v>
      </c>
      <c r="B2198">
        <v>-3</v>
      </c>
    </row>
    <row r="2199" spans="1:2" x14ac:dyDescent="0.25">
      <c r="A2199" t="s">
        <v>7118</v>
      </c>
      <c r="B2199">
        <v>-3</v>
      </c>
    </row>
    <row r="2200" spans="1:2" x14ac:dyDescent="0.25">
      <c r="A2200" t="s">
        <v>7119</v>
      </c>
      <c r="B2200">
        <v>2</v>
      </c>
    </row>
    <row r="2201" spans="1:2" x14ac:dyDescent="0.25">
      <c r="A2201" t="s">
        <v>7120</v>
      </c>
      <c r="B2201">
        <v>2</v>
      </c>
    </row>
    <row r="2202" spans="1:2" x14ac:dyDescent="0.25">
      <c r="A2202" t="s">
        <v>7121</v>
      </c>
      <c r="B2202">
        <v>-2</v>
      </c>
    </row>
    <row r="2203" spans="1:2" x14ac:dyDescent="0.25">
      <c r="A2203" t="s">
        <v>7122</v>
      </c>
      <c r="B2203">
        <v>-2</v>
      </c>
    </row>
    <row r="2204" spans="1:2" x14ac:dyDescent="0.25">
      <c r="A2204" t="s">
        <v>7123</v>
      </c>
      <c r="B2204">
        <v>-2</v>
      </c>
    </row>
    <row r="2205" spans="1:2" x14ac:dyDescent="0.25">
      <c r="A2205" t="s">
        <v>7124</v>
      </c>
      <c r="B2205">
        <v>-2</v>
      </c>
    </row>
    <row r="2206" spans="1:2" x14ac:dyDescent="0.25">
      <c r="A2206" t="s">
        <v>7125</v>
      </c>
      <c r="B2206">
        <v>4</v>
      </c>
    </row>
    <row r="2207" spans="1:2" x14ac:dyDescent="0.25">
      <c r="A2207" t="s">
        <v>7126</v>
      </c>
      <c r="B2207">
        <v>4</v>
      </c>
    </row>
    <row r="2208" spans="1:2" x14ac:dyDescent="0.25">
      <c r="A2208" t="s">
        <v>7127</v>
      </c>
      <c r="B2208">
        <v>-2</v>
      </c>
    </row>
    <row r="2209" spans="1:2" x14ac:dyDescent="0.25">
      <c r="A2209" t="s">
        <v>7128</v>
      </c>
      <c r="B2209">
        <v>-2</v>
      </c>
    </row>
    <row r="2210" spans="1:2" x14ac:dyDescent="0.25">
      <c r="A2210" t="s">
        <v>7129</v>
      </c>
      <c r="B2210">
        <v>-2</v>
      </c>
    </row>
    <row r="2211" spans="1:2" x14ac:dyDescent="0.25">
      <c r="A2211" t="b">
        <v>1</v>
      </c>
      <c r="B2211">
        <v>2</v>
      </c>
    </row>
    <row r="2212" spans="1:2" x14ac:dyDescent="0.25">
      <c r="A2212" t="s">
        <v>7130</v>
      </c>
      <c r="B2212">
        <v>1</v>
      </c>
    </row>
    <row r="2213" spans="1:2" x14ac:dyDescent="0.25">
      <c r="A2213" t="s">
        <v>7131</v>
      </c>
      <c r="B2213">
        <v>2</v>
      </c>
    </row>
    <row r="2214" spans="1:2" x14ac:dyDescent="0.25">
      <c r="A2214" t="s">
        <v>7132</v>
      </c>
      <c r="B2214">
        <v>-2</v>
      </c>
    </row>
    <row r="2215" spans="1:2" x14ac:dyDescent="0.25">
      <c r="A2215" t="s">
        <v>7133</v>
      </c>
      <c r="B2215">
        <v>-5</v>
      </c>
    </row>
    <row r="2216" spans="1:2" x14ac:dyDescent="0.25">
      <c r="A2216" t="s">
        <v>7134</v>
      </c>
      <c r="B2216">
        <v>-3</v>
      </c>
    </row>
    <row r="2217" spans="1:2" x14ac:dyDescent="0.25">
      <c r="A2217" t="s">
        <v>7135</v>
      </c>
      <c r="B2217">
        <v>-2</v>
      </c>
    </row>
    <row r="2218" spans="1:2" x14ac:dyDescent="0.25">
      <c r="A2218" t="s">
        <v>7136</v>
      </c>
      <c r="B2218">
        <v>-2</v>
      </c>
    </row>
    <row r="2219" spans="1:2" x14ac:dyDescent="0.25">
      <c r="A2219" t="s">
        <v>7137</v>
      </c>
      <c r="B2219">
        <v>-2</v>
      </c>
    </row>
    <row r="2220" spans="1:2" x14ac:dyDescent="0.25">
      <c r="A2220" t="s">
        <v>7138</v>
      </c>
      <c r="B2220">
        <v>-2</v>
      </c>
    </row>
    <row r="2221" spans="1:2" x14ac:dyDescent="0.25">
      <c r="A2221" t="s">
        <v>7139</v>
      </c>
      <c r="B2221">
        <v>-1</v>
      </c>
    </row>
    <row r="2222" spans="1:2" x14ac:dyDescent="0.25">
      <c r="A2222" t="s">
        <v>7140</v>
      </c>
      <c r="B2222">
        <v>-1</v>
      </c>
    </row>
    <row r="2223" spans="1:2" x14ac:dyDescent="0.25">
      <c r="A2223" t="s">
        <v>7141</v>
      </c>
      <c r="B2223">
        <v>2</v>
      </c>
    </row>
    <row r="2224" spans="1:2" x14ac:dyDescent="0.25">
      <c r="A2224" t="s">
        <v>7142</v>
      </c>
      <c r="B2224">
        <v>-1</v>
      </c>
    </row>
    <row r="2225" spans="1:2" x14ac:dyDescent="0.25">
      <c r="A2225" t="s">
        <v>7143</v>
      </c>
      <c r="B2225">
        <v>-1</v>
      </c>
    </row>
    <row r="2226" spans="1:2" x14ac:dyDescent="0.25">
      <c r="A2226" t="s">
        <v>7144</v>
      </c>
      <c r="B2226">
        <v>-2</v>
      </c>
    </row>
    <row r="2227" spans="1:2" x14ac:dyDescent="0.25">
      <c r="A2227" t="s">
        <v>7145</v>
      </c>
      <c r="B2227">
        <v>-2</v>
      </c>
    </row>
    <row r="2228" spans="1:2" x14ac:dyDescent="0.25">
      <c r="A2228" t="s">
        <v>7146</v>
      </c>
      <c r="B2228">
        <v>-1</v>
      </c>
    </row>
    <row r="2229" spans="1:2" x14ac:dyDescent="0.25">
      <c r="A2229" t="s">
        <v>7147</v>
      </c>
      <c r="B2229">
        <v>-1</v>
      </c>
    </row>
    <row r="2230" spans="1:2" x14ac:dyDescent="0.25">
      <c r="A2230" t="s">
        <v>7148</v>
      </c>
      <c r="B2230">
        <v>-1</v>
      </c>
    </row>
    <row r="2231" spans="1:2" x14ac:dyDescent="0.25">
      <c r="A2231" t="s">
        <v>7149</v>
      </c>
      <c r="B2231">
        <v>-1</v>
      </c>
    </row>
    <row r="2232" spans="1:2" x14ac:dyDescent="0.25">
      <c r="A2232" t="s">
        <v>7150</v>
      </c>
      <c r="B2232">
        <v>-1</v>
      </c>
    </row>
    <row r="2233" spans="1:2" x14ac:dyDescent="0.25">
      <c r="A2233" t="s">
        <v>7151</v>
      </c>
      <c r="B2233">
        <v>-1</v>
      </c>
    </row>
    <row r="2234" spans="1:2" x14ac:dyDescent="0.25">
      <c r="A2234" t="s">
        <v>7152</v>
      </c>
      <c r="B2234">
        <v>-1</v>
      </c>
    </row>
    <row r="2235" spans="1:2" x14ac:dyDescent="0.25">
      <c r="A2235" t="s">
        <v>7153</v>
      </c>
      <c r="B2235">
        <v>-1</v>
      </c>
    </row>
    <row r="2236" spans="1:2" x14ac:dyDescent="0.25">
      <c r="A2236" t="s">
        <v>7154</v>
      </c>
      <c r="B2236">
        <v>-2</v>
      </c>
    </row>
    <row r="2237" spans="1:2" x14ac:dyDescent="0.25">
      <c r="A2237" t="s">
        <v>7155</v>
      </c>
      <c r="B2237">
        <v>-2</v>
      </c>
    </row>
    <row r="2238" spans="1:2" x14ac:dyDescent="0.25">
      <c r="A2238" t="s">
        <v>7156</v>
      </c>
      <c r="B2238">
        <v>-2</v>
      </c>
    </row>
    <row r="2239" spans="1:2" x14ac:dyDescent="0.25">
      <c r="A2239" t="s">
        <v>7157</v>
      </c>
      <c r="B2239">
        <v>-2</v>
      </c>
    </row>
    <row r="2240" spans="1:2" x14ac:dyDescent="0.25">
      <c r="A2240" t="s">
        <v>7158</v>
      </c>
      <c r="B2240">
        <v>-2</v>
      </c>
    </row>
    <row r="2241" spans="1:2" x14ac:dyDescent="0.25">
      <c r="A2241" t="s">
        <v>7159</v>
      </c>
      <c r="B2241">
        <v>-2</v>
      </c>
    </row>
    <row r="2242" spans="1:2" x14ac:dyDescent="0.25">
      <c r="A2242" t="s">
        <v>7160</v>
      </c>
      <c r="B2242">
        <v>-2</v>
      </c>
    </row>
    <row r="2243" spans="1:2" x14ac:dyDescent="0.25">
      <c r="A2243" t="s">
        <v>7161</v>
      </c>
      <c r="B2243">
        <v>-2</v>
      </c>
    </row>
    <row r="2244" spans="1:2" x14ac:dyDescent="0.25">
      <c r="A2244" t="s">
        <v>7162</v>
      </c>
      <c r="B2244">
        <v>-1</v>
      </c>
    </row>
    <row r="2245" spans="1:2" x14ac:dyDescent="0.25">
      <c r="A2245" t="s">
        <v>7163</v>
      </c>
      <c r="B2245">
        <v>2</v>
      </c>
    </row>
    <row r="2246" spans="1:2" x14ac:dyDescent="0.25">
      <c r="A2246" t="s">
        <v>7164</v>
      </c>
      <c r="B2246">
        <v>-2</v>
      </c>
    </row>
    <row r="2247" spans="1:2" x14ac:dyDescent="0.25">
      <c r="A2247" t="s">
        <v>7165</v>
      </c>
      <c r="B2247">
        <v>-2</v>
      </c>
    </row>
    <row r="2248" spans="1:2" x14ac:dyDescent="0.25">
      <c r="A2248" t="s">
        <v>7166</v>
      </c>
      <c r="B2248">
        <v>-2</v>
      </c>
    </row>
    <row r="2249" spans="1:2" x14ac:dyDescent="0.25">
      <c r="A2249" t="s">
        <v>7167</v>
      </c>
      <c r="B2249">
        <v>-2</v>
      </c>
    </row>
    <row r="2250" spans="1:2" x14ac:dyDescent="0.25">
      <c r="A2250" t="s">
        <v>7168</v>
      </c>
      <c r="B2250">
        <v>-2</v>
      </c>
    </row>
    <row r="2251" spans="1:2" x14ac:dyDescent="0.25">
      <c r="A2251" t="s">
        <v>7169</v>
      </c>
      <c r="B2251">
        <v>-2</v>
      </c>
    </row>
    <row r="2252" spans="1:2" x14ac:dyDescent="0.25">
      <c r="A2252" t="s">
        <v>7170</v>
      </c>
      <c r="B2252">
        <v>1</v>
      </c>
    </row>
    <row r="2253" spans="1:2" x14ac:dyDescent="0.25">
      <c r="A2253" t="s">
        <v>7171</v>
      </c>
      <c r="B2253">
        <v>-2</v>
      </c>
    </row>
    <row r="2254" spans="1:2" x14ac:dyDescent="0.25">
      <c r="A2254" t="s">
        <v>7172</v>
      </c>
      <c r="B2254">
        <v>-2</v>
      </c>
    </row>
    <row r="2255" spans="1:2" x14ac:dyDescent="0.25">
      <c r="A2255" t="s">
        <v>7173</v>
      </c>
      <c r="B2255">
        <v>1</v>
      </c>
    </row>
    <row r="2256" spans="1:2" x14ac:dyDescent="0.25">
      <c r="A2256" t="s">
        <v>7174</v>
      </c>
      <c r="B2256">
        <v>-2</v>
      </c>
    </row>
    <row r="2257" spans="1:2" x14ac:dyDescent="0.25">
      <c r="A2257" t="s">
        <v>7175</v>
      </c>
      <c r="B2257">
        <v>-2</v>
      </c>
    </row>
    <row r="2258" spans="1:2" x14ac:dyDescent="0.25">
      <c r="A2258" t="s">
        <v>7176</v>
      </c>
      <c r="B2258">
        <v>-2</v>
      </c>
    </row>
    <row r="2259" spans="1:2" x14ac:dyDescent="0.25">
      <c r="A2259" t="s">
        <v>7177</v>
      </c>
      <c r="B2259">
        <v>1</v>
      </c>
    </row>
    <row r="2260" spans="1:2" x14ac:dyDescent="0.25">
      <c r="A2260" t="s">
        <v>7178</v>
      </c>
      <c r="B2260">
        <v>-2</v>
      </c>
    </row>
    <row r="2261" spans="1:2" x14ac:dyDescent="0.25">
      <c r="A2261" t="s">
        <v>7179</v>
      </c>
      <c r="B2261">
        <v>-2</v>
      </c>
    </row>
    <row r="2262" spans="1:2" x14ac:dyDescent="0.25">
      <c r="A2262" t="s">
        <v>7180</v>
      </c>
      <c r="B2262">
        <v>-2</v>
      </c>
    </row>
    <row r="2263" spans="1:2" x14ac:dyDescent="0.25">
      <c r="A2263" t="s">
        <v>7181</v>
      </c>
      <c r="B2263">
        <v>-2</v>
      </c>
    </row>
    <row r="2264" spans="1:2" x14ac:dyDescent="0.25">
      <c r="A2264" t="s">
        <v>7182</v>
      </c>
      <c r="B2264">
        <v>-2</v>
      </c>
    </row>
    <row r="2265" spans="1:2" x14ac:dyDescent="0.25">
      <c r="A2265" t="s">
        <v>7183</v>
      </c>
      <c r="B2265">
        <v>-1</v>
      </c>
    </row>
    <row r="2266" spans="1:2" x14ac:dyDescent="0.25">
      <c r="A2266" t="s">
        <v>7184</v>
      </c>
      <c r="B2266">
        <v>-2</v>
      </c>
    </row>
    <row r="2267" spans="1:2" x14ac:dyDescent="0.25">
      <c r="A2267" t="s">
        <v>7185</v>
      </c>
      <c r="B2267">
        <v>-2</v>
      </c>
    </row>
    <row r="2268" spans="1:2" x14ac:dyDescent="0.25">
      <c r="A2268" t="s">
        <v>7186</v>
      </c>
      <c r="B2268">
        <v>2</v>
      </c>
    </row>
    <row r="2269" spans="1:2" x14ac:dyDescent="0.25">
      <c r="A2269" t="s">
        <v>7187</v>
      </c>
      <c r="B2269">
        <v>-2</v>
      </c>
    </row>
    <row r="2270" spans="1:2" x14ac:dyDescent="0.25">
      <c r="A2270" t="s">
        <v>7188</v>
      </c>
      <c r="B2270">
        <v>-1</v>
      </c>
    </row>
    <row r="2271" spans="1:2" x14ac:dyDescent="0.25">
      <c r="A2271" t="s">
        <v>7189</v>
      </c>
      <c r="B2271">
        <v>2</v>
      </c>
    </row>
    <row r="2272" spans="1:2" x14ac:dyDescent="0.25">
      <c r="A2272" t="s">
        <v>7190</v>
      </c>
      <c r="B2272">
        <v>-2</v>
      </c>
    </row>
    <row r="2273" spans="1:2" x14ac:dyDescent="0.25">
      <c r="A2273" t="s">
        <v>7191</v>
      </c>
      <c r="B2273">
        <v>-2</v>
      </c>
    </row>
    <row r="2274" spans="1:2" x14ac:dyDescent="0.25">
      <c r="A2274" t="s">
        <v>7192</v>
      </c>
      <c r="B2274">
        <v>-2</v>
      </c>
    </row>
    <row r="2275" spans="1:2" x14ac:dyDescent="0.25">
      <c r="A2275" t="s">
        <v>7193</v>
      </c>
      <c r="B2275">
        <v>-2</v>
      </c>
    </row>
    <row r="2276" spans="1:2" x14ac:dyDescent="0.25">
      <c r="A2276" t="s">
        <v>7194</v>
      </c>
      <c r="B2276">
        <v>-2</v>
      </c>
    </row>
    <row r="2277" spans="1:2" x14ac:dyDescent="0.25">
      <c r="A2277" t="s">
        <v>7195</v>
      </c>
      <c r="B2277">
        <v>-2</v>
      </c>
    </row>
    <row r="2278" spans="1:2" x14ac:dyDescent="0.25">
      <c r="A2278" t="s">
        <v>7196</v>
      </c>
      <c r="B2278">
        <v>-1</v>
      </c>
    </row>
    <row r="2279" spans="1:2" x14ac:dyDescent="0.25">
      <c r="A2279" t="s">
        <v>7197</v>
      </c>
      <c r="B2279">
        <v>2</v>
      </c>
    </row>
    <row r="2280" spans="1:2" x14ac:dyDescent="0.25">
      <c r="A2280" t="s">
        <v>7198</v>
      </c>
      <c r="B2280">
        <v>2</v>
      </c>
    </row>
    <row r="2281" spans="1:2" x14ac:dyDescent="0.25">
      <c r="A2281" t="s">
        <v>7199</v>
      </c>
      <c r="B2281">
        <v>-2</v>
      </c>
    </row>
    <row r="2282" spans="1:2" x14ac:dyDescent="0.25">
      <c r="A2282" t="s">
        <v>7200</v>
      </c>
      <c r="B2282">
        <v>-2</v>
      </c>
    </row>
    <row r="2283" spans="1:2" x14ac:dyDescent="0.25">
      <c r="A2283" t="s">
        <v>7201</v>
      </c>
      <c r="B2283">
        <v>-2</v>
      </c>
    </row>
    <row r="2284" spans="1:2" x14ac:dyDescent="0.25">
      <c r="A2284" t="s">
        <v>7202</v>
      </c>
      <c r="B2284">
        <v>1</v>
      </c>
    </row>
    <row r="2285" spans="1:2" x14ac:dyDescent="0.25">
      <c r="A2285" t="s">
        <v>7203</v>
      </c>
      <c r="B2285">
        <v>1</v>
      </c>
    </row>
    <row r="2286" spans="1:2" x14ac:dyDescent="0.25">
      <c r="A2286" t="s">
        <v>7204</v>
      </c>
      <c r="B2286">
        <v>1</v>
      </c>
    </row>
    <row r="2287" spans="1:2" x14ac:dyDescent="0.25">
      <c r="A2287" t="s">
        <v>7205</v>
      </c>
      <c r="B2287">
        <v>1</v>
      </c>
    </row>
    <row r="2288" spans="1:2" x14ac:dyDescent="0.25">
      <c r="A2288" t="s">
        <v>7206</v>
      </c>
      <c r="B2288">
        <v>-1</v>
      </c>
    </row>
    <row r="2289" spans="1:2" x14ac:dyDescent="0.25">
      <c r="A2289" t="s">
        <v>7207</v>
      </c>
      <c r="B2289">
        <v>-1</v>
      </c>
    </row>
    <row r="2290" spans="1:2" x14ac:dyDescent="0.25">
      <c r="A2290" t="s">
        <v>7208</v>
      </c>
      <c r="B2290">
        <v>1</v>
      </c>
    </row>
    <row r="2291" spans="1:2" x14ac:dyDescent="0.25">
      <c r="A2291" t="s">
        <v>7209</v>
      </c>
      <c r="B2291">
        <v>-2</v>
      </c>
    </row>
    <row r="2292" spans="1:2" x14ac:dyDescent="0.25">
      <c r="A2292" t="s">
        <v>7210</v>
      </c>
      <c r="B2292">
        <v>-2</v>
      </c>
    </row>
    <row r="2293" spans="1:2" x14ac:dyDescent="0.25">
      <c r="A2293" t="s">
        <v>7211</v>
      </c>
      <c r="B2293">
        <v>3</v>
      </c>
    </row>
    <row r="2294" spans="1:2" x14ac:dyDescent="0.25">
      <c r="A2294" t="s">
        <v>7212</v>
      </c>
      <c r="B2294">
        <v>-2</v>
      </c>
    </row>
    <row r="2295" spans="1:2" x14ac:dyDescent="0.25">
      <c r="A2295" t="s">
        <v>7213</v>
      </c>
      <c r="B2295">
        <v>-3</v>
      </c>
    </row>
    <row r="2296" spans="1:2" x14ac:dyDescent="0.25">
      <c r="A2296" t="s">
        <v>7214</v>
      </c>
      <c r="B2296">
        <v>-3</v>
      </c>
    </row>
    <row r="2297" spans="1:2" x14ac:dyDescent="0.25">
      <c r="A2297" t="s">
        <v>7215</v>
      </c>
      <c r="B2297">
        <v>-3</v>
      </c>
    </row>
    <row r="2298" spans="1:2" x14ac:dyDescent="0.25">
      <c r="A2298" t="s">
        <v>7216</v>
      </c>
      <c r="B2298">
        <v>-3</v>
      </c>
    </row>
    <row r="2299" spans="1:2" x14ac:dyDescent="0.25">
      <c r="A2299" t="s">
        <v>7217</v>
      </c>
      <c r="B2299">
        <v>-3</v>
      </c>
    </row>
    <row r="2300" spans="1:2" x14ac:dyDescent="0.25">
      <c r="A2300" t="s">
        <v>7218</v>
      </c>
      <c r="B2300">
        <v>-3</v>
      </c>
    </row>
    <row r="2301" spans="1:2" x14ac:dyDescent="0.25">
      <c r="A2301" t="s">
        <v>7219</v>
      </c>
      <c r="B2301">
        <v>3</v>
      </c>
    </row>
    <row r="2302" spans="1:2" x14ac:dyDescent="0.25">
      <c r="A2302" t="s">
        <v>7220</v>
      </c>
      <c r="B2302">
        <v>-3</v>
      </c>
    </row>
    <row r="2303" spans="1:2" x14ac:dyDescent="0.25">
      <c r="A2303" t="s">
        <v>7221</v>
      </c>
      <c r="B2303">
        <v>2</v>
      </c>
    </row>
    <row r="2304" spans="1:2" x14ac:dyDescent="0.25">
      <c r="A2304" t="s">
        <v>7222</v>
      </c>
      <c r="B2304">
        <v>2</v>
      </c>
    </row>
    <row r="2305" spans="1:2" x14ac:dyDescent="0.25">
      <c r="A2305" t="s">
        <v>7223</v>
      </c>
      <c r="B2305">
        <v>2</v>
      </c>
    </row>
    <row r="2306" spans="1:2" x14ac:dyDescent="0.25">
      <c r="A2306" t="s">
        <v>7224</v>
      </c>
      <c r="B2306">
        <v>2</v>
      </c>
    </row>
    <row r="2307" spans="1:2" x14ac:dyDescent="0.25">
      <c r="A2307" t="s">
        <v>7225</v>
      </c>
      <c r="B2307">
        <v>-2</v>
      </c>
    </row>
    <row r="2308" spans="1:2" x14ac:dyDescent="0.25">
      <c r="A2308" t="s">
        <v>7226</v>
      </c>
      <c r="B2308">
        <v>-2</v>
      </c>
    </row>
    <row r="2309" spans="1:2" x14ac:dyDescent="0.25">
      <c r="A2309" t="s">
        <v>7227</v>
      </c>
      <c r="B2309">
        <v>-2</v>
      </c>
    </row>
    <row r="2310" spans="1:2" x14ac:dyDescent="0.25">
      <c r="A2310" t="s">
        <v>7228</v>
      </c>
      <c r="B2310">
        <v>-2</v>
      </c>
    </row>
    <row r="2311" spans="1:2" x14ac:dyDescent="0.25">
      <c r="A2311" t="s">
        <v>7229</v>
      </c>
      <c r="B2311">
        <v>-3</v>
      </c>
    </row>
    <row r="2312" spans="1:2" x14ac:dyDescent="0.25">
      <c r="A2312" t="s">
        <v>7230</v>
      </c>
      <c r="B2312">
        <v>-3</v>
      </c>
    </row>
    <row r="2313" spans="1:2" x14ac:dyDescent="0.25">
      <c r="A2313" t="s">
        <v>7231</v>
      </c>
      <c r="B2313">
        <v>2</v>
      </c>
    </row>
    <row r="2314" spans="1:2" x14ac:dyDescent="0.25">
      <c r="A2314" t="s">
        <v>7232</v>
      </c>
      <c r="B2314">
        <v>-2</v>
      </c>
    </row>
    <row r="2315" spans="1:2" x14ac:dyDescent="0.25">
      <c r="A2315" t="s">
        <v>7233</v>
      </c>
      <c r="B2315">
        <v>1</v>
      </c>
    </row>
    <row r="2316" spans="1:2" x14ac:dyDescent="0.25">
      <c r="A2316" t="s">
        <v>7234</v>
      </c>
      <c r="B2316">
        <v>3</v>
      </c>
    </row>
    <row r="2317" spans="1:2" x14ac:dyDescent="0.25">
      <c r="A2317" t="s">
        <v>7235</v>
      </c>
      <c r="B2317">
        <v>1</v>
      </c>
    </row>
    <row r="2318" spans="1:2" x14ac:dyDescent="0.25">
      <c r="A2318" t="s">
        <v>7236</v>
      </c>
      <c r="B2318">
        <v>1</v>
      </c>
    </row>
    <row r="2319" spans="1:2" x14ac:dyDescent="0.25">
      <c r="A2319" t="s">
        <v>7237</v>
      </c>
      <c r="B2319">
        <v>3</v>
      </c>
    </row>
    <row r="2320" spans="1:2" x14ac:dyDescent="0.25">
      <c r="A2320" t="s">
        <v>7238</v>
      </c>
      <c r="B2320">
        <v>1</v>
      </c>
    </row>
    <row r="2321" spans="1:2" x14ac:dyDescent="0.25">
      <c r="A2321" t="s">
        <v>7239</v>
      </c>
      <c r="B2321">
        <v>-3</v>
      </c>
    </row>
    <row r="2322" spans="1:2" x14ac:dyDescent="0.25">
      <c r="A2322" t="s">
        <v>7240</v>
      </c>
      <c r="B2322">
        <v>3</v>
      </c>
    </row>
    <row r="2323" spans="1:2" x14ac:dyDescent="0.25">
      <c r="A2323" t="s">
        <v>7241</v>
      </c>
      <c r="B2323">
        <v>-1</v>
      </c>
    </row>
    <row r="2324" spans="1:2" x14ac:dyDescent="0.25">
      <c r="A2324" t="s">
        <v>7242</v>
      </c>
      <c r="B2324">
        <v>-2</v>
      </c>
    </row>
    <row r="2325" spans="1:2" x14ac:dyDescent="0.25">
      <c r="A2325" t="s">
        <v>7243</v>
      </c>
      <c r="B2325">
        <v>-2</v>
      </c>
    </row>
    <row r="2326" spans="1:2" x14ac:dyDescent="0.25">
      <c r="A2326" t="s">
        <v>7244</v>
      </c>
      <c r="B2326">
        <v>-2</v>
      </c>
    </row>
    <row r="2327" spans="1:2" x14ac:dyDescent="0.25">
      <c r="A2327" t="s">
        <v>7245</v>
      </c>
      <c r="B2327">
        <v>-2</v>
      </c>
    </row>
    <row r="2328" spans="1:2" x14ac:dyDescent="0.25">
      <c r="A2328" t="s">
        <v>7246</v>
      </c>
      <c r="B2328">
        <v>-3</v>
      </c>
    </row>
    <row r="2329" spans="1:2" x14ac:dyDescent="0.25">
      <c r="A2329" t="s">
        <v>7247</v>
      </c>
      <c r="B2329">
        <v>1</v>
      </c>
    </row>
    <row r="2330" spans="1:2" x14ac:dyDescent="0.25">
      <c r="A2330" t="s">
        <v>7248</v>
      </c>
      <c r="B2330">
        <v>-2</v>
      </c>
    </row>
    <row r="2331" spans="1:2" x14ac:dyDescent="0.25">
      <c r="A2331" t="s">
        <v>7249</v>
      </c>
      <c r="B2331">
        <v>-2</v>
      </c>
    </row>
    <row r="2332" spans="1:2" x14ac:dyDescent="0.25">
      <c r="A2332" t="s">
        <v>7250</v>
      </c>
      <c r="B2332">
        <v>1</v>
      </c>
    </row>
    <row r="2333" spans="1:2" x14ac:dyDescent="0.25">
      <c r="A2333" t="s">
        <v>7251</v>
      </c>
      <c r="B2333">
        <v>2</v>
      </c>
    </row>
    <row r="2334" spans="1:2" x14ac:dyDescent="0.25">
      <c r="A2334" t="s">
        <v>7252</v>
      </c>
      <c r="B2334">
        <v>-2</v>
      </c>
    </row>
    <row r="2335" spans="1:2" x14ac:dyDescent="0.25">
      <c r="A2335" t="s">
        <v>7253</v>
      </c>
      <c r="B2335">
        <v>-2</v>
      </c>
    </row>
    <row r="2336" spans="1:2" x14ac:dyDescent="0.25">
      <c r="A2336" t="s">
        <v>7254</v>
      </c>
      <c r="B2336">
        <v>-3</v>
      </c>
    </row>
    <row r="2337" spans="1:2" x14ac:dyDescent="0.25">
      <c r="A2337" t="s">
        <v>7255</v>
      </c>
      <c r="B2337">
        <v>-3</v>
      </c>
    </row>
    <row r="2338" spans="1:2" x14ac:dyDescent="0.25">
      <c r="A2338" t="s">
        <v>7256</v>
      </c>
      <c r="B2338">
        <v>-2</v>
      </c>
    </row>
    <row r="2339" spans="1:2" x14ac:dyDescent="0.25">
      <c r="A2339" t="s">
        <v>7257</v>
      </c>
      <c r="B2339">
        <v>-1</v>
      </c>
    </row>
    <row r="2340" spans="1:2" x14ac:dyDescent="0.25">
      <c r="A2340" t="s">
        <v>7258</v>
      </c>
      <c r="B2340">
        <v>-2</v>
      </c>
    </row>
    <row r="2341" spans="1:2" x14ac:dyDescent="0.25">
      <c r="A2341" t="s">
        <v>7259</v>
      </c>
      <c r="B2341">
        <v>-2</v>
      </c>
    </row>
    <row r="2342" spans="1:2" x14ac:dyDescent="0.25">
      <c r="A2342" t="s">
        <v>7260</v>
      </c>
      <c r="B2342">
        <v>-1</v>
      </c>
    </row>
    <row r="2343" spans="1:2" x14ac:dyDescent="0.25">
      <c r="A2343" t="s">
        <v>7261</v>
      </c>
      <c r="B2343">
        <v>-2</v>
      </c>
    </row>
    <row r="2344" spans="1:2" x14ac:dyDescent="0.25">
      <c r="A2344" t="s">
        <v>7262</v>
      </c>
      <c r="B2344">
        <v>-2</v>
      </c>
    </row>
    <row r="2345" spans="1:2" x14ac:dyDescent="0.25">
      <c r="A2345" t="s">
        <v>7263</v>
      </c>
      <c r="B2345">
        <v>3</v>
      </c>
    </row>
    <row r="2346" spans="1:2" x14ac:dyDescent="0.25">
      <c r="A2346" t="s">
        <v>7264</v>
      </c>
      <c r="B2346">
        <v>2</v>
      </c>
    </row>
    <row r="2347" spans="1:2" x14ac:dyDescent="0.25">
      <c r="A2347" t="s">
        <v>7265</v>
      </c>
      <c r="B2347">
        <v>-2</v>
      </c>
    </row>
    <row r="2348" spans="1:2" x14ac:dyDescent="0.25">
      <c r="A2348" t="s">
        <v>7266</v>
      </c>
      <c r="B2348">
        <v>-2</v>
      </c>
    </row>
    <row r="2349" spans="1:2" x14ac:dyDescent="0.25">
      <c r="A2349" t="s">
        <v>7267</v>
      </c>
      <c r="B2349">
        <v>-2</v>
      </c>
    </row>
    <row r="2350" spans="1:2" x14ac:dyDescent="0.25">
      <c r="A2350" t="s">
        <v>7268</v>
      </c>
      <c r="B2350">
        <v>-2</v>
      </c>
    </row>
    <row r="2351" spans="1:2" x14ac:dyDescent="0.25">
      <c r="A2351" t="s">
        <v>7269</v>
      </c>
      <c r="B2351">
        <v>2</v>
      </c>
    </row>
    <row r="2352" spans="1:2" x14ac:dyDescent="0.25">
      <c r="A2352" t="s">
        <v>7270</v>
      </c>
      <c r="B2352">
        <v>2</v>
      </c>
    </row>
    <row r="2353" spans="1:2" x14ac:dyDescent="0.25">
      <c r="A2353" t="s">
        <v>7271</v>
      </c>
      <c r="B2353">
        <v>2</v>
      </c>
    </row>
    <row r="2354" spans="1:2" x14ac:dyDescent="0.25">
      <c r="A2354" t="s">
        <v>7272</v>
      </c>
      <c r="B2354">
        <v>1</v>
      </c>
    </row>
    <row r="2355" spans="1:2" x14ac:dyDescent="0.25">
      <c r="A2355" t="s">
        <v>7273</v>
      </c>
      <c r="B2355">
        <v>-3</v>
      </c>
    </row>
    <row r="2356" spans="1:2" x14ac:dyDescent="0.25">
      <c r="A2356" t="s">
        <v>7274</v>
      </c>
      <c r="B2356">
        <v>-2</v>
      </c>
    </row>
    <row r="2357" spans="1:2" x14ac:dyDescent="0.25">
      <c r="A2357" t="s">
        <v>7275</v>
      </c>
      <c r="B2357">
        <v>-1</v>
      </c>
    </row>
    <row r="2358" spans="1:2" x14ac:dyDescent="0.25">
      <c r="A2358" t="s">
        <v>7276</v>
      </c>
      <c r="B2358">
        <v>2</v>
      </c>
    </row>
    <row r="2359" spans="1:2" x14ac:dyDescent="0.25">
      <c r="A2359" t="s">
        <v>7277</v>
      </c>
      <c r="B2359">
        <v>4</v>
      </c>
    </row>
    <row r="2360" spans="1:2" x14ac:dyDescent="0.25">
      <c r="A2360" t="s">
        <v>7278</v>
      </c>
      <c r="B2360">
        <v>4</v>
      </c>
    </row>
    <row r="2361" spans="1:2" x14ac:dyDescent="0.25">
      <c r="A2361" t="s">
        <v>7279</v>
      </c>
      <c r="B2361">
        <v>4</v>
      </c>
    </row>
    <row r="2362" spans="1:2" x14ac:dyDescent="0.25">
      <c r="A2362" t="s">
        <v>7280</v>
      </c>
      <c r="B2362">
        <v>4</v>
      </c>
    </row>
    <row r="2363" spans="1:2" x14ac:dyDescent="0.25">
      <c r="A2363" t="s">
        <v>7281</v>
      </c>
      <c r="B2363">
        <v>3</v>
      </c>
    </row>
    <row r="2364" spans="1:2" x14ac:dyDescent="0.25">
      <c r="A2364" t="s">
        <v>7282</v>
      </c>
      <c r="B2364">
        <v>1</v>
      </c>
    </row>
    <row r="2365" spans="1:2" x14ac:dyDescent="0.25">
      <c r="A2365" t="s">
        <v>7283</v>
      </c>
      <c r="B2365">
        <v>1</v>
      </c>
    </row>
    <row r="2366" spans="1:2" x14ac:dyDescent="0.25">
      <c r="A2366" t="s">
        <v>7284</v>
      </c>
      <c r="B2366">
        <v>1</v>
      </c>
    </row>
    <row r="2367" spans="1:2" x14ac:dyDescent="0.25">
      <c r="A2367" t="s">
        <v>7285</v>
      </c>
      <c r="B2367">
        <v>-3</v>
      </c>
    </row>
    <row r="2368" spans="1:2" x14ac:dyDescent="0.25">
      <c r="A2368" t="s">
        <v>7286</v>
      </c>
      <c r="B2368">
        <v>-3</v>
      </c>
    </row>
    <row r="2369" spans="1:2" x14ac:dyDescent="0.25">
      <c r="A2369" t="s">
        <v>7287</v>
      </c>
      <c r="B2369">
        <v>3</v>
      </c>
    </row>
    <row r="2370" spans="1:2" x14ac:dyDescent="0.25">
      <c r="A2370" t="s">
        <v>7288</v>
      </c>
      <c r="B2370">
        <v>4</v>
      </c>
    </row>
    <row r="2371" spans="1:2" x14ac:dyDescent="0.25">
      <c r="A2371" t="s">
        <v>7289</v>
      </c>
      <c r="B2371">
        <v>-1</v>
      </c>
    </row>
    <row r="2372" spans="1:2" x14ac:dyDescent="0.25">
      <c r="A2372" t="s">
        <v>7290</v>
      </c>
      <c r="B2372">
        <v>-3</v>
      </c>
    </row>
    <row r="2373" spans="1:2" x14ac:dyDescent="0.25">
      <c r="A2373" t="s">
        <v>7291</v>
      </c>
      <c r="B2373">
        <v>-3</v>
      </c>
    </row>
    <row r="2374" spans="1:2" x14ac:dyDescent="0.25">
      <c r="A2374" t="s">
        <v>7292</v>
      </c>
      <c r="B2374">
        <v>-3</v>
      </c>
    </row>
    <row r="2375" spans="1:2" x14ac:dyDescent="0.25">
      <c r="A2375" t="s">
        <v>7293</v>
      </c>
      <c r="B2375">
        <v>-3</v>
      </c>
    </row>
    <row r="2376" spans="1:2" x14ac:dyDescent="0.25">
      <c r="A2376" t="s">
        <v>7294</v>
      </c>
      <c r="B2376">
        <v>-3</v>
      </c>
    </row>
    <row r="2377" spans="1:2" x14ac:dyDescent="0.25">
      <c r="A2377" t="s">
        <v>7295</v>
      </c>
      <c r="B2377">
        <v>-3</v>
      </c>
    </row>
    <row r="2378" spans="1:2" x14ac:dyDescent="0.25">
      <c r="A2378" t="s">
        <v>7296</v>
      </c>
      <c r="B2378">
        <v>-3</v>
      </c>
    </row>
    <row r="2379" spans="1:2" x14ac:dyDescent="0.25">
      <c r="A2379" t="s">
        <v>7297</v>
      </c>
      <c r="B2379">
        <v>-3</v>
      </c>
    </row>
    <row r="2380" spans="1:2" x14ac:dyDescent="0.25">
      <c r="A2380" t="s">
        <v>7298</v>
      </c>
      <c r="B2380">
        <v>3</v>
      </c>
    </row>
    <row r="2381" spans="1:2" x14ac:dyDescent="0.25">
      <c r="A2381" t="s">
        <v>7299</v>
      </c>
      <c r="B2381">
        <v>-3</v>
      </c>
    </row>
    <row r="2382" spans="1:2" x14ac:dyDescent="0.25">
      <c r="A2382" t="s">
        <v>7300</v>
      </c>
      <c r="B2382">
        <v>2</v>
      </c>
    </row>
    <row r="2383" spans="1:2" x14ac:dyDescent="0.25">
      <c r="A2383" t="s">
        <v>7301</v>
      </c>
      <c r="B2383">
        <v>-2</v>
      </c>
    </row>
    <row r="2384" spans="1:2" x14ac:dyDescent="0.25">
      <c r="A2384" t="s">
        <v>7302</v>
      </c>
      <c r="B2384">
        <v>2</v>
      </c>
    </row>
    <row r="2385" spans="1:2" x14ac:dyDescent="0.25">
      <c r="A2385" t="s">
        <v>701</v>
      </c>
      <c r="B2385">
        <v>4</v>
      </c>
    </row>
    <row r="2386" spans="1:2" x14ac:dyDescent="0.25">
      <c r="A2386" t="s">
        <v>7303</v>
      </c>
      <c r="B2386">
        <v>-3</v>
      </c>
    </row>
    <row r="2387" spans="1:2" x14ac:dyDescent="0.25">
      <c r="A2387" t="s">
        <v>7304</v>
      </c>
      <c r="B2387">
        <v>-2</v>
      </c>
    </row>
    <row r="2388" spans="1:2" x14ac:dyDescent="0.25">
      <c r="A2388" t="s">
        <v>7305</v>
      </c>
      <c r="B2388">
        <v>-2</v>
      </c>
    </row>
    <row r="2389" spans="1:2" x14ac:dyDescent="0.25">
      <c r="A2389" t="s">
        <v>7306</v>
      </c>
      <c r="B2389">
        <v>-2</v>
      </c>
    </row>
    <row r="2390" spans="1:2" x14ac:dyDescent="0.25">
      <c r="A2390" t="s">
        <v>7307</v>
      </c>
      <c r="B2390">
        <v>1</v>
      </c>
    </row>
    <row r="2391" spans="1:2" x14ac:dyDescent="0.25">
      <c r="A2391" t="s">
        <v>7308</v>
      </c>
      <c r="B2391">
        <v>1</v>
      </c>
    </row>
    <row r="2392" spans="1:2" x14ac:dyDescent="0.25">
      <c r="A2392" t="s">
        <v>7309</v>
      </c>
      <c r="B2392">
        <v>1</v>
      </c>
    </row>
    <row r="2393" spans="1:2" x14ac:dyDescent="0.25">
      <c r="A2393" t="s">
        <v>7310</v>
      </c>
      <c r="B2393">
        <v>2</v>
      </c>
    </row>
    <row r="2394" spans="1:2" x14ac:dyDescent="0.25">
      <c r="A2394" t="s">
        <v>7311</v>
      </c>
      <c r="B2394">
        <v>-2</v>
      </c>
    </row>
    <row r="2395" spans="1:2" x14ac:dyDescent="0.25">
      <c r="A2395" t="s">
        <v>7312</v>
      </c>
      <c r="B2395">
        <v>3</v>
      </c>
    </row>
    <row r="2396" spans="1:2" x14ac:dyDescent="0.25">
      <c r="A2396" t="s">
        <v>7313</v>
      </c>
      <c r="B2396">
        <v>-2</v>
      </c>
    </row>
    <row r="2397" spans="1:2" x14ac:dyDescent="0.25">
      <c r="A2397" t="s">
        <v>7314</v>
      </c>
      <c r="B2397">
        <v>-2</v>
      </c>
    </row>
    <row r="2398" spans="1:2" x14ac:dyDescent="0.25">
      <c r="A2398" t="s">
        <v>7315</v>
      </c>
      <c r="B2398">
        <v>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G28"/>
  <sheetViews>
    <sheetView tabSelected="1" topLeftCell="F11" zoomScale="130" zoomScaleNormal="130" workbookViewId="0">
      <selection activeCell="W31" sqref="W31"/>
    </sheetView>
  </sheetViews>
  <sheetFormatPr defaultRowHeight="15" x14ac:dyDescent="0.25"/>
  <cols>
    <col min="2" max="2" width="24" bestFit="1" customWidth="1"/>
    <col min="3" max="3" width="13.7109375" bestFit="1" customWidth="1"/>
    <col min="6" max="6" width="44.5703125" bestFit="1" customWidth="1"/>
    <col min="7" max="7" width="13" bestFit="1" customWidth="1"/>
  </cols>
  <sheetData>
    <row r="2" spans="2:7" x14ac:dyDescent="0.25">
      <c r="B2" s="8" t="s">
        <v>7318</v>
      </c>
      <c r="C2" s="9"/>
      <c r="F2" s="10" t="s">
        <v>7323</v>
      </c>
      <c r="G2" s="10"/>
    </row>
    <row r="3" spans="2:7" x14ac:dyDescent="0.25">
      <c r="B3" s="4" t="s">
        <v>7319</v>
      </c>
      <c r="C3" s="4">
        <f>AVERAGE(Data!K2:K3367)</f>
        <v>0.85502079619726679</v>
      </c>
      <c r="F3" s="5" t="s">
        <v>7324</v>
      </c>
      <c r="G3" s="5">
        <f>AVERAGEIFS(Data!K2:K3367,Data!D2:D3367, "&gt;0")</f>
        <v>0.84412811387900355</v>
      </c>
    </row>
    <row r="4" spans="2:7" x14ac:dyDescent="0.25">
      <c r="B4" s="4" t="s">
        <v>7320</v>
      </c>
      <c r="C4" s="4">
        <f>COUNTIF(Data!L2:L3367,"Positive")</f>
        <v>1084</v>
      </c>
      <c r="F4" s="5" t="s">
        <v>7325</v>
      </c>
      <c r="G4" s="5">
        <f>COUNTIFS(Data!D2:D3367, "&gt;0",Data!L2:L3367, "Positive")</f>
        <v>495</v>
      </c>
    </row>
    <row r="5" spans="2:7" x14ac:dyDescent="0.25">
      <c r="B5" s="4" t="s">
        <v>7321</v>
      </c>
      <c r="C5" s="4">
        <f>COUNTIF(Data!L2:L3367,"Negative")</f>
        <v>473</v>
      </c>
      <c r="F5" s="5" t="s">
        <v>7326</v>
      </c>
      <c r="G5" s="5">
        <f>COUNTIFS(Data!D2:D3367, "&gt;0", Data!L2:L3367, "Negative")</f>
        <v>299</v>
      </c>
    </row>
    <row r="6" spans="2:7" x14ac:dyDescent="0.25">
      <c r="B6" s="4" t="s">
        <v>7322</v>
      </c>
      <c r="C6" s="4">
        <f>COUNTIF(Data!L2:L3367,"Neutral")</f>
        <v>1809</v>
      </c>
      <c r="F6" s="5" t="s">
        <v>7327</v>
      </c>
      <c r="G6" s="5">
        <f>COUNTIFS(Data!D2:D3367, "&gt;0", Data!L2:L3367, "Neutral")</f>
        <v>611</v>
      </c>
    </row>
    <row r="7" spans="2:7" x14ac:dyDescent="0.25">
      <c r="F7" s="5" t="s">
        <v>7328</v>
      </c>
      <c r="G7" s="5">
        <f>AVERAGEIFS(Data!D2:D3367,Data!L2:L3367, "Positive")</f>
        <v>6.4547970479704793</v>
      </c>
    </row>
    <row r="8" spans="2:7" x14ac:dyDescent="0.25">
      <c r="F8" s="5" t="s">
        <v>7329</v>
      </c>
      <c r="G8" s="5">
        <f>AVERAGEIFS(Data!D2:D3367,Data!L2:L3367, "Negative")</f>
        <v>1.5412262156448202</v>
      </c>
    </row>
    <row r="9" spans="2:7" x14ac:dyDescent="0.25">
      <c r="F9" s="5" t="s">
        <v>7330</v>
      </c>
      <c r="G9" s="5">
        <f>AVERAGEIFS(Data!D2:D3367, Data!L2:L3367, "Neutral")</f>
        <v>1.7573244886677724</v>
      </c>
    </row>
    <row r="13" spans="2:7" x14ac:dyDescent="0.25">
      <c r="B13" s="12" t="s">
        <v>7340</v>
      </c>
      <c r="C13" s="13"/>
      <c r="F13" s="11" t="s">
        <v>7331</v>
      </c>
      <c r="G13" s="11"/>
    </row>
    <row r="14" spans="2:7" x14ac:dyDescent="0.25">
      <c r="B14" s="7" t="s">
        <v>4505</v>
      </c>
      <c r="C14" s="7">
        <f>AVERAGEIF(Data!G2:G3367,Countries!A14, Data!K2:K3367)</f>
        <v>0.75</v>
      </c>
      <c r="F14" s="6" t="s">
        <v>7332</v>
      </c>
      <c r="G14" s="6">
        <f>AVERAGEIFS(Data!K2:K3367,Data!E2:E3367, "&gt;0")</f>
        <v>0.96132596685082872</v>
      </c>
    </row>
    <row r="15" spans="2:7" x14ac:dyDescent="0.25">
      <c r="B15" s="7" t="s">
        <v>4512</v>
      </c>
      <c r="C15" s="7">
        <f>AVERAGEIF(Data!G2:G3367,Countries!A19,Data!K2:K3367)</f>
        <v>-0.75</v>
      </c>
      <c r="F15" s="6" t="s">
        <v>7333</v>
      </c>
      <c r="G15" s="6">
        <f>COUNTIFS(Data!L2:L3367, "Positive", Data!E2:E3367, "&gt;0")</f>
        <v>288</v>
      </c>
    </row>
    <row r="16" spans="2:7" x14ac:dyDescent="0.25">
      <c r="B16" s="7" t="s">
        <v>4534</v>
      </c>
      <c r="C16" s="7">
        <f>AVERAGEIF(Data!G2:G3367,Countries!A32,Data!K2:K3367)</f>
        <v>0.77777777777777779</v>
      </c>
      <c r="F16" s="6" t="s">
        <v>7334</v>
      </c>
      <c r="G16" s="6">
        <f>COUNTIFS(Data!L2:L3367, "Negative",Data!E2:E3367, "&gt;0")</f>
        <v>189</v>
      </c>
    </row>
    <row r="17" spans="2:7" x14ac:dyDescent="0.25">
      <c r="B17" s="7" t="s">
        <v>4550</v>
      </c>
      <c r="C17" s="7">
        <f>AVERAGEIF(Data!G2:G3367,Countries!A41,Data!K2:K3367)</f>
        <v>3.1666666666666665</v>
      </c>
      <c r="F17" s="6" t="s">
        <v>7335</v>
      </c>
      <c r="G17" s="6">
        <f>COUNTIFS(Data!E2:E3367, "&gt;0", Data!L2:L3367, "Neutral")</f>
        <v>247</v>
      </c>
    </row>
    <row r="18" spans="2:7" x14ac:dyDescent="0.25">
      <c r="B18" s="7" t="s">
        <v>4598</v>
      </c>
      <c r="C18" s="7">
        <f>AVERAGEIF(Data!G2:G3367,Countries!A66,Data!K2:K3367)</f>
        <v>0</v>
      </c>
      <c r="F18" s="6" t="s">
        <v>7336</v>
      </c>
      <c r="G18" s="6">
        <f>SUMIF(Data!L2:L3367, "Positive",Data!E2:E3367)</f>
        <v>959</v>
      </c>
    </row>
    <row r="19" spans="2:7" x14ac:dyDescent="0.25">
      <c r="B19" s="7" t="s">
        <v>4619</v>
      </c>
      <c r="C19" s="7">
        <f>AVERAGEIF(Data!G2:G3367,Countries!A77,Data!K2:K3367)</f>
        <v>0.875</v>
      </c>
      <c r="F19" s="6" t="s">
        <v>7337</v>
      </c>
      <c r="G19" s="6">
        <f>SUMIF(Data!L2:L3367, "Negative", Data!E2:E3367)</f>
        <v>579</v>
      </c>
    </row>
    <row r="20" spans="2:7" x14ac:dyDescent="0.25">
      <c r="B20" s="7" t="s">
        <v>4631</v>
      </c>
      <c r="C20" s="7">
        <f>AVERAGEIF(Data!$G$2:$G$3367,Countries!A84,Data!$K$2:$K$3367)</f>
        <v>1.4545454545454546</v>
      </c>
      <c r="F20" s="6" t="s">
        <v>7338</v>
      </c>
      <c r="G20" s="6">
        <f>SUMIF(Data!L2:L3367, "Neutral", Data!E2:E3367)</f>
        <v>642</v>
      </c>
    </row>
    <row r="21" spans="2:7" x14ac:dyDescent="0.25">
      <c r="B21" s="7" t="s">
        <v>4668</v>
      </c>
      <c r="C21" s="7">
        <f>AVERAGEIF(Data!$G$2:$G$3367,Countries!A104,Data!$K$2:$K$3367)</f>
        <v>0.63636363636363635</v>
      </c>
    </row>
    <row r="22" spans="2:7" x14ac:dyDescent="0.25">
      <c r="B22" s="7" t="s">
        <v>4679</v>
      </c>
      <c r="C22" s="7">
        <f>AVERAGEIF(Data!$G$2:$G$3367,Countries!A112,Data!$K$2:$K$3367)</f>
        <v>0.25</v>
      </c>
    </row>
    <row r="23" spans="2:7" x14ac:dyDescent="0.25">
      <c r="B23" s="7" t="s">
        <v>4680</v>
      </c>
      <c r="C23" s="7">
        <f>AVERAGEIF(Data!$G$2:$G$3367,Countries!A113,Data!$K$2:$K$3367)</f>
        <v>0</v>
      </c>
    </row>
    <row r="24" spans="2:7" x14ac:dyDescent="0.25">
      <c r="B24" s="7" t="s">
        <v>4759</v>
      </c>
      <c r="C24" s="7">
        <f>AVERAGEIF(Data!$G$2:$G$3367,Countries!A157,Data!$K$2:$K$3367)</f>
        <v>0.33333333333333331</v>
      </c>
    </row>
    <row r="25" spans="2:7" x14ac:dyDescent="0.25">
      <c r="B25" s="7" t="s">
        <v>4777</v>
      </c>
      <c r="C25" s="7">
        <f>AVERAGEIF(Data!$G$2:$G$3367,Countries!A168,Data!$K$2:$K$3367)</f>
        <v>-0.42857142857142855</v>
      </c>
    </row>
    <row r="26" spans="2:7" x14ac:dyDescent="0.25">
      <c r="B26" s="7" t="s">
        <v>4789</v>
      </c>
      <c r="C26" s="7">
        <f>AVERAGEIF(Data!$G$2:$G$3367,Countries!A175,Data!$K$2:$K$3367)</f>
        <v>0</v>
      </c>
    </row>
    <row r="27" spans="2:7" x14ac:dyDescent="0.25">
      <c r="B27" s="7" t="s">
        <v>4802</v>
      </c>
      <c r="C27" s="7">
        <f>AVERAGEIF(Data!$G$2:$G$3367,Countries!A183,Data!$K$2:$K$3367)</f>
        <v>0.5</v>
      </c>
    </row>
    <row r="28" spans="2:7" x14ac:dyDescent="0.25">
      <c r="B28" s="7" t="s">
        <v>4826</v>
      </c>
      <c r="C28" s="7">
        <f>AVERAGEIF(Data!$G$2:$G$3367,Countries!A196,Data!$K$2:$K$3367)</f>
        <v>0.33333333333333331</v>
      </c>
    </row>
  </sheetData>
  <mergeCells count="4">
    <mergeCell ref="B2:C2"/>
    <mergeCell ref="F2:G2"/>
    <mergeCell ref="F13:G13"/>
    <mergeCell ref="B13:C13"/>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Countries</vt:lpstr>
      <vt:lpstr>Keywords</vt:lpstr>
      <vt:lpstr>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Aya Abdul-nabi</dc:creator>
  <cp:lastModifiedBy>Aya Abdul-nabi</cp:lastModifiedBy>
  <cp:lastPrinted>2024-03-14T01:04:04Z</cp:lastPrinted>
  <dcterms:modified xsi:type="dcterms:W3CDTF">2024-03-15T20:13:17Z</dcterms:modified>
</cp:coreProperties>
</file>